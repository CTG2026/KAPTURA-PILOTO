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tabRatio="500"/>
  </bookViews>
  <sheets>
    <sheet name="Rendición de Fletes" sheetId="1" r:id="rId1"/>
    <sheet name="Instructivo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<sst xmlns="http://schemas.openxmlformats.org/spreadsheetml/2006/main" count="162" uniqueCount="120">
  <si>
    <t xml:space="preserve"> RENDICIÓN DE VIAJES DE FLETES</t>
  </si>
  <si>
    <t>Empresa: Global Solutions Spa     Período: Julio 2026     Responsable: Pablo Riquelme</t>
  </si>
  <si>
    <t>Guía 1: obligatoria  |  Guía 2 y 3: opcionales (si el viaje tiene múltiples guías)</t>
  </si>
  <si>
    <t>N° GUÍAS DE DESPACHO</t>
  </si>
  <si>
    <t>N°</t>
  </si>
  <si>
    <t>CAMION ID</t>
  </si>
  <si>
    <t>GUÍA 1</t>
  </si>
  <si>
    <t>GUÍA 2</t>
  </si>
  <si>
    <t>GUÍA 3</t>
  </si>
  <si>
    <t>GUÍA 4</t>
  </si>
  <si>
    <t>ESTADO</t>
  </si>
  <si>
    <t>FECHA
DESPACHO</t>
  </si>
  <si>
    <t>ORIGEN</t>
  </si>
  <si>
    <t>DESTINO</t>
  </si>
  <si>
    <t>DESCRIPCIÓN
MERCADERÍA</t>
  </si>
  <si>
    <t>VALOR
NETO ($)</t>
  </si>
  <si>
    <t>IVA
(19%)</t>
  </si>
  <si>
    <t>TOTAL
FACTURA ($)</t>
  </si>
  <si>
    <t>GKFD84</t>
  </si>
  <si>
    <t>Entregado</t>
  </si>
  <si>
    <t>Casa Blanca</t>
  </si>
  <si>
    <t>Placilla - Santa Cruz - Marchihue</t>
  </si>
  <si>
    <t>Sulfato Potasio - otros</t>
  </si>
  <si>
    <t>WR9192</t>
  </si>
  <si>
    <t>Requinoa - San Fernando - Chimbarongo</t>
  </si>
  <si>
    <t>Nitrato de Calcio y Potacio</t>
  </si>
  <si>
    <t xml:space="preserve">Requinoa  </t>
  </si>
  <si>
    <t>Sulfato Magnesio</t>
  </si>
  <si>
    <t>TOTALES</t>
  </si>
  <si>
    <t>OBSERVACIONES</t>
  </si>
  <si>
    <t>INSTRUCTIVO DE CORRECTO LLENADO</t>
  </si>
  <si>
    <t>Planilla de Rendición de Viajes de Fletes  —  Lea este instructivo antes de completar la planilla</t>
  </si>
  <si>
    <t>①  ENCABEZADO DE LA PLANILLA  (parte superior)</t>
  </si>
  <si>
    <t>CAMPO</t>
  </si>
  <si>
    <t>DESCRIPCIÓN</t>
  </si>
  <si>
    <t>EJEMPLO</t>
  </si>
  <si>
    <t>TIPO INGRESO</t>
  </si>
  <si>
    <t>FORMATO / VALORES VÁLIDOS</t>
  </si>
  <si>
    <t>1</t>
  </si>
  <si>
    <t>Empresa</t>
  </si>
  <si>
    <t>Nombre legal o de fantasía de la empresa que rinde los fletes.</t>
  </si>
  <si>
    <t>Transportes XYZ Ltda.</t>
  </si>
  <si>
    <t>Manual</t>
  </si>
  <si>
    <t>Texto libre</t>
  </si>
  <si>
    <t>2</t>
  </si>
  <si>
    <t>Período</t>
  </si>
  <si>
    <t>Mes y año que cubre la rendición. Puede ser rango de fechas.</t>
  </si>
  <si>
    <t>Junio 2025</t>
  </si>
  <si>
    <t>Ej: Mes AAAA  o  01/06/2025–30/06/2025</t>
  </si>
  <si>
    <t>3</t>
  </si>
  <si>
    <t>Responsable</t>
  </si>
  <si>
    <t>Nombre completo del encargado que elabora el documento.</t>
  </si>
  <si>
    <t>Juan Pérez López</t>
  </si>
  <si>
    <t>②  DETALLE DE COLUMNAS  (tabla de registro de fletes)</t>
  </si>
  <si>
    <t>Número correlativo del registro. Se completa en orden ascendente.</t>
  </si>
  <si>
    <t>1, 2, 3…4</t>
  </si>
  <si>
    <t>Manual/Auto</t>
  </si>
  <si>
    <t>Entero positivo. No repetir ni dejar vacío.</t>
  </si>
  <si>
    <t>Numero Asociado a la Hoja de Carga como identificador unico del Flete o Viaje</t>
  </si>
  <si>
    <t>Camión 260608_XA7C0Y</t>
  </si>
  <si>
    <t>N° GUÍA DESPACHO</t>
  </si>
  <si>
    <t>Número de la guía de despacho que ampara el traslado. Documento tributario obligatorio.</t>
  </si>
  <si>
    <t>GD-000123</t>
  </si>
  <si>
    <t>Alfanumérico. Ej: GD-000123. No dejar en blanco.</t>
  </si>
  <si>
    <t>4</t>
  </si>
  <si>
    <t>Situación actual del flete. Indica si fue completado, está en curso o fue anulado.</t>
  </si>
  <si>
    <t>CONFORME  /  PARCIAL  /  NO ENTREGADO  /  RECHAZADO</t>
  </si>
  <si>
    <t>5</t>
  </si>
  <si>
    <t>FECHA DESPACHO</t>
  </si>
  <si>
    <t>Fecha en que se despachó la mercadería. No usar fechas futuras.</t>
  </si>
  <si>
    <t>15/06/2025</t>
  </si>
  <si>
    <t>Formato DD/MM/AAAA obligatorio.</t>
  </si>
  <si>
    <t>6</t>
  </si>
  <si>
    <t>Ciudad, comuna o dirección desde donde se despacha la carga.</t>
  </si>
  <si>
    <t>Santiago, Pudahuel</t>
  </si>
  <si>
    <t>Texto descriptivo. Especificar ciudad + comuna.</t>
  </si>
  <si>
    <t>7</t>
  </si>
  <si>
    <t>Ciudad, comuna o dirección de entrega de la mercadería.</t>
  </si>
  <si>
    <t>Antofagasta, Centro</t>
  </si>
  <si>
    <t>8</t>
  </si>
  <si>
    <t>DESCRIPCIÓN MERCADERÍA</t>
  </si>
  <si>
    <t>Contenido transportado. Debe coincidir con la guía de despacho emitida.</t>
  </si>
  <si>
    <t>Materiales de construcción</t>
  </si>
  <si>
    <t>Mínimo 3 palabras. Evitar 'varios' o 'mercadería'.</t>
  </si>
  <si>
    <t>9</t>
  </si>
  <si>
    <t>VALOR NETO ($)</t>
  </si>
  <si>
    <t>Monto neto del flete en pesos chilenos, SIN IVA. Único campo monetario de ingreso manual.</t>
  </si>
  <si>
    <t>85000</t>
  </si>
  <si>
    <t>Solo dígitos, sin puntos ni comas. Ej: 85000. No ingresar IVA aquí.</t>
  </si>
  <si>
    <t>10</t>
  </si>
  <si>
    <t>IVA (19%)</t>
  </si>
  <si>
    <t>Calculado automáticamente por la planilla. No modificar.</t>
  </si>
  <si>
    <t>16150</t>
  </si>
  <si>
    <t>Automático</t>
  </si>
  <si>
    <t>Fórmula: Valor Neto × 0,19. Solo lectura.</t>
  </si>
  <si>
    <t>11</t>
  </si>
  <si>
    <t>TOTAL FACTURA ($)</t>
  </si>
  <si>
    <t>Calculado automáticamente. Monto total incluyendo IVA.</t>
  </si>
  <si>
    <t>101150</t>
  </si>
  <si>
    <t>Fórmula: Valor Neto + IVA. Solo lectura.</t>
  </si>
  <si>
    <t>③  FILA DE TOTALES</t>
  </si>
  <si>
    <t xml:space="preserve">   ▸  La fila TOTALES suma automáticamente Valor Neto, IVA y Total Factura de todos los registros.</t>
  </si>
  <si>
    <t xml:space="preserve">   ▸  No ingresar datos en esta fila. Si los valores no se actualizan, presione F9 para recalcular.</t>
  </si>
  <si>
    <t xml:space="preserve">   ▸  Verificar que la suma coincida con los documentos de respaldo (facturas, boletas de servicio).</t>
  </si>
  <si>
    <t>④  ERRORES FRECUENTES Y CÓMO EVITARLOS</t>
  </si>
  <si>
    <t>ERROR FRECUENTE</t>
  </si>
  <si>
    <t>CÓMO EVITARLO / SOLUCIÓN</t>
  </si>
  <si>
    <t>Dejar guía de despacho en blanco</t>
  </si>
  <si>
    <t>El N° de guía es obligatorio. Sin él la rendición no tiene respaldo tributario.</t>
  </si>
  <si>
    <t>Ingresar valor con IVA en 'Valor Neto'</t>
  </si>
  <si>
    <t>Valor Neto debe ser el monto SIN IVA. El IVA se calcula solo.</t>
  </si>
  <si>
    <t>Modificar celdas de IVA o Total Factura</t>
  </si>
  <si>
    <t>Estas celdas tienen fórmulas. Modificarlas rompe los cálculos automáticos.</t>
  </si>
  <si>
    <t>Formato de fecha incorrecto</t>
  </si>
  <si>
    <t>Usar siempre DD/MM/AAAA. Otros formatos pueden ser mal interpretados por Excel.</t>
  </si>
  <si>
    <t>Dejar campo ESTADO en blanco</t>
  </si>
  <si>
    <t>Siempre indicar: PENDIENTE, EN TRÁNSITO, ENTREGADO o ANULADO.</t>
  </si>
  <si>
    <t>Descripción de mercadería genérica</t>
  </si>
  <si>
    <t>Evitar 'varios' o 'carga'. La descripción debe coincidir con la guía de despacho.</t>
  </si>
  <si>
    <t>Camion_ID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</si>
</sst>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7">
    <font>
      <sz val="11"/>
      <color theme="1"/>
      <name val="Calibri"/>
      <charset val="1"/>
    </font>
    <font>
      <b/>
      <sz val="14"/>
      <color rgb="FFFFFFFF"/>
      <name val="Arial"/>
      <charset val="134"/>
    </font>
    <font>
      <i/>
      <sz val="10"/>
      <color rgb="FF4F4F4F"/>
      <name val="Arial"/>
      <charset val="134"/>
    </font>
    <font>
      <b/>
      <sz val="11"/>
      <color rgb="FFFFFFFF"/>
      <name val="Arial"/>
      <charset val="134"/>
    </font>
    <font>
      <b/>
      <sz val="9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rgb="FF555555"/>
      <name val="Arial"/>
      <charset val="134"/>
    </font>
    <font>
      <b/>
      <sz val="9"/>
      <color rgb="FF555555"/>
      <name val="Arial"/>
      <charset val="134"/>
    </font>
    <font>
      <sz val="10"/>
      <color rgb="FF1F4E79"/>
      <name val="Arial"/>
      <charset val="134"/>
    </font>
    <font>
      <sz val="10"/>
      <name val="Arial"/>
      <charset val="134"/>
    </font>
    <font>
      <b/>
      <sz val="10"/>
      <color rgb="FFC00000"/>
      <name val="Arial"/>
      <charset val="134"/>
    </font>
    <font>
      <i/>
      <sz val="9"/>
      <color rgb="FF4F4F4F"/>
      <name val="Arial"/>
      <charset val="134"/>
    </font>
    <font>
      <i/>
      <sz val="8"/>
      <color rgb="FF4F4F4F"/>
      <name val="Arial"/>
      <charset val="134"/>
    </font>
    <font>
      <b/>
      <sz val="10"/>
      <color rgb="FFFFFFFF"/>
      <name val="Arial"/>
      <charset val="134"/>
    </font>
    <font>
      <sz val="8"/>
      <color theme="1"/>
      <name val="Calibri"/>
      <charset val="134"/>
      <scheme val="minor"/>
    </font>
    <font>
      <b/>
      <sz val="9"/>
      <color rgb="FF2E75B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1F4E79"/>
        <bgColor rgb="FF154360"/>
      </patternFill>
    </fill>
    <fill>
      <patternFill patternType="solid">
        <fgColor rgb="FFD6E4F0"/>
        <bgColor rgb="FFD6EAF8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5FB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5F5E3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FCE4D6"/>
        <bgColor rgb="FFFFF2CC"/>
      </patternFill>
    </fill>
    <fill>
      <patternFill patternType="solid">
        <fgColor rgb="FFEBF5FB"/>
        <bgColor rgb="FFF2F2F2"/>
      </patternFill>
    </fill>
    <fill>
      <patternFill patternType="solid">
        <fgColor rgb="FF154360"/>
        <bgColor rgb="FF1F4E79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8" borderId="6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9" borderId="9" applyNumberFormat="0" applyAlignment="0" applyProtection="0">
      <alignment vertical="center"/>
    </xf>
    <xf numFmtId="0" fontId="27" fillId="20" borderId="10" applyNumberFormat="0" applyAlignment="0" applyProtection="0">
      <alignment vertical="center"/>
    </xf>
    <xf numFmtId="0" fontId="28" fillId="20" borderId="9" applyNumberFormat="0" applyAlignment="0" applyProtection="0">
      <alignment vertical="center"/>
    </xf>
    <xf numFmtId="0" fontId="29" fillId="21" borderId="11" applyNumberFormat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 wrapText="1" inden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left" vertical="center" wrapText="1" indent="1"/>
    </xf>
    <xf numFmtId="0" fontId="7" fillId="6" borderId="1" xfId="0" applyFont="1" applyFill="1" applyBorder="1" applyAlignment="1">
      <alignment horizontal="left" vertical="center" wrapText="1" indent="1"/>
    </xf>
    <xf numFmtId="0" fontId="5" fillId="6" borderId="1" xfId="0" applyFont="1" applyFill="1" applyBorder="1" applyAlignment="1">
      <alignment horizontal="center" vertical="center" wrapText="1" inden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center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0" fontId="6" fillId="8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center" vertical="center" wrapText="1" indent="1"/>
    </xf>
    <xf numFmtId="0" fontId="6" fillId="9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left" vertical="center" wrapText="1" indent="1"/>
    </xf>
    <xf numFmtId="0" fontId="7" fillId="9" borderId="1" xfId="0" applyFont="1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center" vertical="center" wrapText="1" indent="1"/>
    </xf>
    <xf numFmtId="0" fontId="10" fillId="6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3" fillId="10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left" vertical="center" wrapText="1" indent="1"/>
    </xf>
    <xf numFmtId="0" fontId="5" fillId="9" borderId="2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indent="1"/>
    </xf>
    <xf numFmtId="0" fontId="13" fillId="14" borderId="2" xfId="0" applyFont="1" applyFill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0" fillId="4" borderId="1" xfId="0" applyFill="1" applyBorder="1"/>
    <xf numFmtId="0" fontId="14" fillId="15" borderId="2" xfId="0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14" borderId="1" xfId="0" applyFont="1" applyFill="1" applyBorder="1" applyAlignment="1">
      <alignment horizontal="left" vertical="center" indent="1"/>
    </xf>
    <xf numFmtId="58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3" fontId="9" fillId="9" borderId="1" xfId="0" applyNumberFormat="1" applyFont="1" applyFill="1" applyBorder="1" applyAlignment="1">
      <alignment horizontal="right" vertical="center"/>
    </xf>
    <xf numFmtId="0" fontId="5" fillId="1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indent="1"/>
    </xf>
    <xf numFmtId="58" fontId="5" fillId="7" borderId="1" xfId="0" applyNumberFormat="1" applyFont="1" applyFill="1" applyBorder="1" applyAlignment="1">
      <alignment horizontal="center" vertical="center"/>
    </xf>
    <xf numFmtId="3" fontId="9" fillId="17" borderId="1" xfId="0" applyNumberFormat="1" applyFont="1" applyFill="1" applyBorder="1" applyAlignment="1">
      <alignment horizontal="right" vertical="center"/>
    </xf>
    <xf numFmtId="0" fontId="15" fillId="0" borderId="5" xfId="0" applyFont="1" applyBorder="1" applyAlignment="1">
      <alignment horizontal="left"/>
    </xf>
    <xf numFmtId="3" fontId="5" fillId="7" borderId="1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 indent="1"/>
    </xf>
    <xf numFmtId="3" fontId="14" fillId="2" borderId="1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left" vertical="center" indent="1"/>
    </xf>
    <xf numFmtId="0" fontId="0" fillId="8" borderId="2" xfId="0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6EAF8"/>
      <rgbColor rgb="00660066"/>
      <rgbColor rgb="00FF8080"/>
      <rgbColor rgb="002E75B6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5FB"/>
      <rgbColor rgb="00D5F5E3"/>
      <rgbColor rgb="00E2EFDA"/>
      <rgbColor rgb="00F2F2F2"/>
      <rgbColor rgb="00FF99CC"/>
      <rgbColor rgb="00CC99FF"/>
      <rgbColor rgb="00FCE4D6"/>
      <rgbColor rgb="004472C4"/>
      <rgbColor rgb="0033CCCC"/>
      <rgbColor rgb="0099CC00"/>
      <rgbColor rgb="00FFCC00"/>
      <rgbColor rgb="00FF9900"/>
      <rgbColor rgb="00FF6600"/>
      <rgbColor rgb="00555555"/>
      <rgbColor rgb="00969696"/>
      <rgbColor rgb="00154360"/>
      <rgbColor rgb="0000B050"/>
      <rgbColor rgb="00003300"/>
      <rgbColor rgb="00333300"/>
      <rgbColor rgb="00993300"/>
      <rgbColor rgb="00993366"/>
      <rgbColor rgb="001F4E79"/>
      <rgbColor rgb="00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4"/>
  <sheetViews>
    <sheetView tabSelected="1" workbookViewId="0">
      <selection activeCell="A7" sqref="A7"/>
    </sheetView>
  </sheetViews>
  <sheetFormatPr defaultColWidth="8.70909090909091" defaultRowHeight="14.5"/>
  <cols>
    <col min="1" max="1" width="5" customWidth="1"/>
    <col min="2" max="2" width="11.1363636363636" customWidth="1"/>
    <col min="3" max="6" width="14" customWidth="1"/>
    <col min="7" max="8" width="13" customWidth="1"/>
    <col min="9" max="10" width="18" customWidth="1"/>
    <col min="11" max="11" width="24" customWidth="1"/>
    <col min="12" max="12" width="13" customWidth="1"/>
    <col min="13" max="13" width="11" customWidth="1"/>
    <col min="14" max="14" width="14" customWidth="1"/>
  </cols>
  <sheetData>
    <row r="1" ht="30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8" customHeight="1" spans="1:14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ht="13.5" customHeight="1" spans="1:14">
      <c r="C3" s="37" t="s">
        <v>2</v>
      </c>
      <c r="D3" s="37"/>
      <c r="E3" s="37"/>
      <c r="F3" s="38"/>
    </row>
    <row r="4" ht="18" customHeight="1" spans="1:14">
      <c r="A4" s="39"/>
      <c r="B4" s="40" t="s">
        <v>3</v>
      </c>
      <c r="C4" s="41"/>
      <c r="D4" s="41"/>
      <c r="E4" s="41"/>
      <c r="F4" s="42"/>
      <c r="G4" s="39"/>
      <c r="H4" s="39"/>
      <c r="I4" s="39"/>
      <c r="J4" s="39"/>
      <c r="K4" s="39"/>
      <c r="L4" s="39"/>
      <c r="M4" s="39"/>
      <c r="N4" s="39"/>
    </row>
    <row r="5" ht="30" customHeight="1" spans="1:14">
      <c r="A5" s="43" t="s">
        <v>4</v>
      </c>
      <c r="B5" s="43" t="s">
        <v>5</v>
      </c>
      <c r="C5" s="43" t="s">
        <v>6</v>
      </c>
      <c r="D5" s="43" t="s">
        <v>7</v>
      </c>
      <c r="E5" s="43" t="s">
        <v>8</v>
      </c>
      <c r="F5" s="43" t="s">
        <v>9</v>
      </c>
      <c r="G5" s="43" t="s">
        <v>10</v>
      </c>
      <c r="H5" s="43" t="s">
        <v>11</v>
      </c>
      <c r="I5" s="43" t="s">
        <v>12</v>
      </c>
      <c r="J5" s="43" t="s">
        <v>13</v>
      </c>
      <c r="K5" s="43" t="s">
        <v>14</v>
      </c>
      <c r="L5" s="43" t="s">
        <v>15</v>
      </c>
      <c r="M5" s="43" t="s">
        <v>16</v>
      </c>
      <c r="N5" s="43" t="s">
        <v>17</v>
      </c>
    </row>
    <row r="6" ht="18" customHeight="1" spans="1:14">
      <c r="A6" s="44">
        <v>1</v>
      </c>
      <c r="B6" s="45" t="s">
        <v>18</v>
      </c>
      <c r="C6" s="46">
        <v>24139</v>
      </c>
      <c r="D6" s="46">
        <v>24197</v>
      </c>
      <c r="E6" s="46">
        <v>24198</v>
      </c>
      <c r="F6" s="47"/>
      <c r="G6" s="44" t="s">
        <v>19</v>
      </c>
      <c r="H6" s="48">
        <v>46216</v>
      </c>
      <c r="I6" s="46" t="s">
        <v>20</v>
      </c>
      <c r="J6" s="46" t="s">
        <v>21</v>
      </c>
      <c r="K6" s="46" t="s">
        <v>22</v>
      </c>
      <c r="L6" s="49">
        <v>747200</v>
      </c>
      <c r="M6" s="50">
        <f>IF(L6="","",L6*0.19)</f>
        <v>141968</v>
      </c>
      <c r="N6" s="50">
        <f>IF(L6="","",L6+M6)</f>
        <v>889168</v>
      </c>
    </row>
    <row r="7" ht="18" customHeight="1" spans="1:14">
      <c r="A7" s="45">
        <v>2</v>
      </c>
      <c r="B7" s="45" t="s">
        <v>23</v>
      </c>
      <c r="C7" s="46">
        <v>24221</v>
      </c>
      <c r="D7" s="51">
        <v>24219</v>
      </c>
      <c r="E7" s="51">
        <v>24220</v>
      </c>
      <c r="F7" s="51"/>
      <c r="G7" s="45" t="s">
        <v>19</v>
      </c>
      <c r="H7" s="48">
        <v>46217</v>
      </c>
      <c r="I7" s="46" t="s">
        <v>20</v>
      </c>
      <c r="J7" s="46" t="s">
        <v>24</v>
      </c>
      <c r="K7" s="46" t="s">
        <v>25</v>
      </c>
      <c r="L7" s="49">
        <v>747200</v>
      </c>
      <c r="M7" s="50">
        <f>IF(L7="","",L7*0.19)</f>
        <v>141968</v>
      </c>
      <c r="N7" s="50">
        <f>IF(L7="","",L7+M7)</f>
        <v>889168</v>
      </c>
    </row>
    <row r="8" ht="18" customHeight="1" spans="1:14">
      <c r="A8" s="44">
        <v>3</v>
      </c>
      <c r="B8" s="45" t="s">
        <v>18</v>
      </c>
      <c r="C8" s="46">
        <v>24224</v>
      </c>
      <c r="D8" s="47"/>
      <c r="E8" s="47"/>
      <c r="F8" s="47"/>
      <c r="G8" s="45" t="s">
        <v>19</v>
      </c>
      <c r="H8" s="48">
        <v>46217</v>
      </c>
      <c r="I8" s="46" t="s">
        <v>20</v>
      </c>
      <c r="J8" s="46" t="s">
        <v>26</v>
      </c>
      <c r="K8" s="46" t="s">
        <v>27</v>
      </c>
      <c r="L8" s="49">
        <v>512000</v>
      </c>
      <c r="M8" s="50">
        <f>IF(L8="","",L8*0.19)</f>
        <v>97280</v>
      </c>
      <c r="N8" s="50">
        <f>IF(L8="","",L8+M8)</f>
        <v>609280</v>
      </c>
    </row>
    <row r="9" ht="18" customHeight="1" spans="1:14">
      <c r="A9" s="45">
        <v>4</v>
      </c>
      <c r="B9" s="44"/>
      <c r="C9" s="52"/>
      <c r="D9" s="51"/>
      <c r="E9" s="51"/>
      <c r="F9" s="51"/>
      <c r="G9" s="45"/>
      <c r="H9" s="53"/>
      <c r="I9" s="52"/>
      <c r="J9" s="52"/>
      <c r="K9" s="52"/>
      <c r="L9" s="49"/>
      <c r="M9" s="54"/>
      <c r="N9" s="54"/>
    </row>
    <row r="10" ht="18" customHeight="1" spans="1:14">
      <c r="A10" s="44">
        <v>5</v>
      </c>
      <c r="B10" s="44"/>
      <c r="C10" s="46"/>
      <c r="D10" s="47"/>
      <c r="E10" s="47"/>
      <c r="F10" s="47"/>
      <c r="G10" s="44"/>
      <c r="H10" s="48"/>
      <c r="I10" s="46"/>
      <c r="J10" s="46"/>
      <c r="K10" s="46"/>
      <c r="L10" s="49"/>
      <c r="M10" s="50" t="str">
        <f t="shared" ref="M10:M25" si="0">IF(L10="","",L10*0.19)</f>
        <v/>
      </c>
      <c r="N10" s="50" t="str">
        <f t="shared" ref="N10:N25" si="1">IF(L10="","",L10+M10)</f>
        <v/>
      </c>
    </row>
    <row r="11" ht="18" customHeight="1" spans="1:14">
      <c r="A11" s="45">
        <v>6</v>
      </c>
      <c r="B11" s="45"/>
      <c r="C11" s="55"/>
      <c r="D11" s="51"/>
      <c r="E11" s="51"/>
      <c r="F11" s="51"/>
      <c r="G11" s="45"/>
      <c r="H11" s="53"/>
      <c r="I11" s="52"/>
      <c r="J11" s="52"/>
      <c r="K11" s="52"/>
      <c r="L11" s="56"/>
      <c r="M11" s="54" t="str">
        <f t="shared" si="0"/>
        <v/>
      </c>
      <c r="N11" s="54" t="str">
        <f t="shared" si="1"/>
        <v/>
      </c>
    </row>
    <row r="12" ht="18" customHeight="1" spans="1:14">
      <c r="A12" s="44">
        <v>7</v>
      </c>
      <c r="B12" s="44"/>
      <c r="C12" s="46"/>
      <c r="D12" s="47"/>
      <c r="E12" s="47"/>
      <c r="F12" s="47"/>
      <c r="G12" s="44"/>
      <c r="H12" s="48"/>
      <c r="I12" s="46"/>
      <c r="J12" s="46"/>
      <c r="K12" s="46"/>
      <c r="L12" s="49"/>
      <c r="M12" s="50" t="str">
        <f t="shared" si="0"/>
        <v/>
      </c>
      <c r="N12" s="50" t="str">
        <f t="shared" si="1"/>
        <v/>
      </c>
    </row>
    <row r="13" ht="18" customHeight="1" spans="1:14">
      <c r="A13" s="45">
        <v>8</v>
      </c>
      <c r="B13" s="45"/>
      <c r="C13" s="52"/>
      <c r="D13" s="51"/>
      <c r="E13" s="51"/>
      <c r="F13" s="51"/>
      <c r="G13" s="45"/>
      <c r="H13" s="53"/>
      <c r="I13" s="52"/>
      <c r="J13" s="52"/>
      <c r="K13" s="52"/>
      <c r="L13" s="56"/>
      <c r="M13" s="54" t="str">
        <f t="shared" si="0"/>
        <v/>
      </c>
      <c r="N13" s="54" t="str">
        <f t="shared" si="1"/>
        <v/>
      </c>
    </row>
    <row r="14" ht="18" customHeight="1" spans="1:14">
      <c r="A14" s="44">
        <v>9</v>
      </c>
      <c r="B14" s="44"/>
      <c r="C14" s="46"/>
      <c r="D14" s="47"/>
      <c r="E14" s="47"/>
      <c r="F14" s="47"/>
      <c r="G14" s="44"/>
      <c r="H14" s="48"/>
      <c r="I14" s="46"/>
      <c r="J14" s="46"/>
      <c r="K14" s="46"/>
      <c r="L14" s="49"/>
      <c r="M14" s="50" t="str">
        <f t="shared" si="0"/>
        <v/>
      </c>
      <c r="N14" s="50" t="str">
        <f t="shared" si="1"/>
        <v/>
      </c>
    </row>
    <row r="15" ht="18" customHeight="1" spans="1:14">
      <c r="A15" s="45">
        <v>10</v>
      </c>
      <c r="B15" s="45"/>
      <c r="C15" s="52"/>
      <c r="D15" s="51"/>
      <c r="E15" s="51"/>
      <c r="F15" s="51"/>
      <c r="G15" s="45"/>
      <c r="H15" s="53"/>
      <c r="I15" s="52"/>
      <c r="J15" s="52"/>
      <c r="K15" s="52"/>
      <c r="L15" s="56"/>
      <c r="M15" s="54" t="str">
        <f t="shared" si="0"/>
        <v/>
      </c>
      <c r="N15" s="54" t="str">
        <f t="shared" si="1"/>
        <v/>
      </c>
    </row>
    <row r="16" ht="18" customHeight="1" spans="1:14">
      <c r="A16" s="44">
        <v>11</v>
      </c>
      <c r="B16" s="44"/>
      <c r="C16" s="46"/>
      <c r="D16" s="47"/>
      <c r="E16" s="47"/>
      <c r="F16" s="47"/>
      <c r="G16" s="44"/>
      <c r="H16" s="48"/>
      <c r="I16" s="46"/>
      <c r="J16" s="46"/>
      <c r="K16" s="46"/>
      <c r="L16" s="49"/>
      <c r="M16" s="50" t="str">
        <f t="shared" si="0"/>
        <v/>
      </c>
      <c r="N16" s="50" t="str">
        <f t="shared" si="1"/>
        <v/>
      </c>
    </row>
    <row r="17" ht="18" customHeight="1" spans="1:14">
      <c r="A17" s="45">
        <v>12</v>
      </c>
      <c r="B17" s="45"/>
      <c r="C17" s="52"/>
      <c r="D17" s="51"/>
      <c r="E17" s="51"/>
      <c r="F17" s="51"/>
      <c r="G17" s="45"/>
      <c r="H17" s="53"/>
      <c r="I17" s="52"/>
      <c r="J17" s="52"/>
      <c r="K17" s="52"/>
      <c r="L17" s="56"/>
      <c r="M17" s="54" t="str">
        <f t="shared" si="0"/>
        <v/>
      </c>
      <c r="N17" s="54" t="str">
        <f t="shared" si="1"/>
        <v/>
      </c>
    </row>
    <row r="18" ht="18" customHeight="1" spans="1:14">
      <c r="A18" s="44">
        <v>13</v>
      </c>
      <c r="B18" s="44"/>
      <c r="C18" s="46"/>
      <c r="D18" s="47"/>
      <c r="E18" s="47"/>
      <c r="F18" s="47"/>
      <c r="G18" s="44"/>
      <c r="H18" s="48"/>
      <c r="I18" s="46"/>
      <c r="J18" s="46"/>
      <c r="K18" s="46"/>
      <c r="L18" s="49"/>
      <c r="M18" s="50" t="str">
        <f t="shared" si="0"/>
        <v/>
      </c>
      <c r="N18" s="50" t="str">
        <f t="shared" si="1"/>
        <v/>
      </c>
    </row>
    <row r="19" ht="18" customHeight="1" spans="1:14">
      <c r="A19" s="45">
        <v>14</v>
      </c>
      <c r="B19" s="45"/>
      <c r="C19" s="52"/>
      <c r="D19" s="51"/>
      <c r="E19" s="51"/>
      <c r="F19" s="51"/>
      <c r="G19" s="45"/>
      <c r="H19" s="53"/>
      <c r="I19" s="52"/>
      <c r="J19" s="52"/>
      <c r="K19" s="52"/>
      <c r="L19" s="56"/>
      <c r="M19" s="54" t="str">
        <f t="shared" si="0"/>
        <v/>
      </c>
      <c r="N19" s="54" t="str">
        <f t="shared" si="1"/>
        <v/>
      </c>
    </row>
    <row r="20" ht="18" customHeight="1" spans="1:14">
      <c r="A20" s="44">
        <v>15</v>
      </c>
      <c r="B20" s="44"/>
      <c r="C20" s="46"/>
      <c r="D20" s="47"/>
      <c r="E20" s="47"/>
      <c r="F20" s="47"/>
      <c r="G20" s="44"/>
      <c r="H20" s="48"/>
      <c r="I20" s="46"/>
      <c r="J20" s="46"/>
      <c r="K20" s="46"/>
      <c r="L20" s="49"/>
      <c r="M20" s="50" t="str">
        <f t="shared" si="0"/>
        <v/>
      </c>
      <c r="N20" s="50" t="str">
        <f t="shared" si="1"/>
        <v/>
      </c>
    </row>
    <row r="21" ht="18" customHeight="1" spans="1:14">
      <c r="A21" s="45">
        <v>16</v>
      </c>
      <c r="B21" s="45"/>
      <c r="C21" s="52"/>
      <c r="D21" s="51"/>
      <c r="E21" s="51"/>
      <c r="F21" s="51"/>
      <c r="G21" s="45"/>
      <c r="H21" s="53"/>
      <c r="I21" s="52"/>
      <c r="J21" s="52"/>
      <c r="K21" s="52"/>
      <c r="L21" s="56"/>
      <c r="M21" s="54" t="str">
        <f t="shared" si="0"/>
        <v/>
      </c>
      <c r="N21" s="54" t="str">
        <f t="shared" si="1"/>
        <v/>
      </c>
    </row>
    <row r="22" ht="18" customHeight="1" spans="1:14">
      <c r="A22" s="44">
        <v>17</v>
      </c>
      <c r="B22" s="44"/>
      <c r="C22" s="46"/>
      <c r="D22" s="47"/>
      <c r="E22" s="47"/>
      <c r="F22" s="47"/>
      <c r="G22" s="44"/>
      <c r="H22" s="48"/>
      <c r="I22" s="46"/>
      <c r="J22" s="46"/>
      <c r="K22" s="46"/>
      <c r="L22" s="49"/>
      <c r="M22" s="50" t="str">
        <f t="shared" si="0"/>
        <v/>
      </c>
      <c r="N22" s="50" t="str">
        <f t="shared" si="1"/>
        <v/>
      </c>
    </row>
    <row r="23" ht="18" customHeight="1" spans="1:14">
      <c r="A23" s="45">
        <v>18</v>
      </c>
      <c r="B23" s="45"/>
      <c r="C23" s="52"/>
      <c r="D23" s="51"/>
      <c r="E23" s="51"/>
      <c r="F23" s="51"/>
      <c r="G23" s="45"/>
      <c r="H23" s="53"/>
      <c r="I23" s="52"/>
      <c r="J23" s="52"/>
      <c r="K23" s="52"/>
      <c r="L23" s="56"/>
      <c r="M23" s="54" t="str">
        <f t="shared" si="0"/>
        <v/>
      </c>
      <c r="N23" s="54" t="str">
        <f t="shared" si="1"/>
        <v/>
      </c>
    </row>
    <row r="24" ht="18" customHeight="1" spans="1:14">
      <c r="A24" s="44">
        <v>19</v>
      </c>
      <c r="B24" s="44"/>
      <c r="C24" s="46"/>
      <c r="D24" s="47"/>
      <c r="E24" s="47"/>
      <c r="F24" s="47"/>
      <c r="G24" s="44"/>
      <c r="H24" s="48"/>
      <c r="I24" s="46"/>
      <c r="J24" s="46"/>
      <c r="K24" s="46"/>
      <c r="L24" s="49"/>
      <c r="M24" s="50" t="str">
        <f t="shared" si="0"/>
        <v/>
      </c>
      <c r="N24" s="50" t="str">
        <f t="shared" si="1"/>
        <v/>
      </c>
    </row>
    <row r="25" ht="18" customHeight="1" spans="1:14">
      <c r="A25" s="45">
        <v>20</v>
      </c>
      <c r="B25" s="45"/>
      <c r="C25" s="52"/>
      <c r="D25" s="51"/>
      <c r="E25" s="51"/>
      <c r="F25" s="51"/>
      <c r="G25" s="45"/>
      <c r="H25" s="53"/>
      <c r="I25" s="52"/>
      <c r="J25" s="52"/>
      <c r="K25" s="52"/>
      <c r="L25" s="56"/>
      <c r="M25" s="54" t="str">
        <f t="shared" si="0"/>
        <v/>
      </c>
      <c r="N25" s="54" t="str">
        <f t="shared" si="1"/>
        <v/>
      </c>
    </row>
    <row r="26" ht="19.5" customHeight="1" spans="1:14">
      <c r="A26" s="57" t="s">
        <v>28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8">
        <f>SUM(L6:L25)</f>
        <v>2006400</v>
      </c>
      <c r="M26" s="58">
        <f>SUM(M6:M25)</f>
        <v>381216</v>
      </c>
      <c r="N26" s="58">
        <f>SUM(N6:N25)</f>
        <v>2387616</v>
      </c>
    </row>
    <row r="28" ht="18" customHeight="1" spans="1:14">
      <c r="A28" s="59" t="s">
        <v>29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</row>
    <row r="29" ht="18" customHeight="1" spans="1:14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</row>
    <row r="30" ht="18" customHeight="1" spans="1:14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</row>
    <row r="31" ht="18" customHeight="1" spans="1:14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</row>
    <row r="33" spans="1:14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</row>
    <row r="34" spans="1:1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</row>
  </sheetData>
  <mergeCells count="15">
    <mergeCell ref="A1:N1"/>
    <mergeCell ref="A2:N2"/>
    <mergeCell ref="C3:E3"/>
    <mergeCell ref="B4:F4"/>
    <mergeCell ref="A26:K26"/>
    <mergeCell ref="A28:N28"/>
    <mergeCell ref="A29:N29"/>
    <mergeCell ref="A30:N30"/>
    <mergeCell ref="A31:N31"/>
    <mergeCell ref="A33:E33"/>
    <mergeCell ref="G33:J33"/>
    <mergeCell ref="K33:N33"/>
    <mergeCell ref="A34:E34"/>
    <mergeCell ref="G34:J34"/>
    <mergeCell ref="K34:N34"/>
  </mergeCells>
  <conditionalFormatting sqref="C11">
    <cfRule type="duplicateValues" dxfId="0" priority="1"/>
  </conditionalFormatting>
  <pageMargins left="0.748031496062992" right="0.748031496062992" top="0.984251968503937" bottom="0.984251968503937" header="0.511811023622047" footer="0.511811023622047"/>
  <pageSetup paperSize="9" scale="44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opLeftCell="A26" workbookViewId="0">
      <selection activeCell="A38" sqref="$A38:$XFD41"/>
    </sheetView>
  </sheetViews>
  <sheetFormatPr defaultColWidth="8.70909090909091" defaultRowHeight="14.5" outlineLevelCol="5"/>
  <cols>
    <col min="1" max="1" width="5" customWidth="1"/>
    <col min="2" max="2" width="24" customWidth="1"/>
    <col min="3" max="3" width="44" customWidth="1"/>
    <col min="4" max="4" width="22" customWidth="1"/>
    <col min="5" max="5" width="16" customWidth="1"/>
    <col min="6" max="6" width="30" customWidth="1"/>
  </cols>
  <sheetData>
    <row r="1" ht="31.5" customHeight="1" spans="1:6">
      <c r="A1" s="1" t="s">
        <v>30</v>
      </c>
      <c r="B1" s="1"/>
      <c r="C1" s="1"/>
      <c r="D1" s="1"/>
      <c r="E1" s="1"/>
      <c r="F1" s="1"/>
    </row>
    <row r="2" ht="18" customHeight="1" spans="1:6">
      <c r="A2" s="2" t="s">
        <v>31</v>
      </c>
      <c r="B2" s="2"/>
      <c r="C2" s="2"/>
      <c r="D2" s="2"/>
      <c r="E2" s="2"/>
      <c r="F2" s="2"/>
    </row>
    <row r="3" ht="7.5" customHeight="1"/>
    <row r="4" ht="21.75" customHeight="1" spans="1:6">
      <c r="A4" s="3" t="s">
        <v>32</v>
      </c>
      <c r="B4" s="3"/>
      <c r="C4" s="3"/>
      <c r="D4" s="3"/>
      <c r="E4" s="3"/>
      <c r="F4" s="3"/>
    </row>
    <row r="5" ht="19.5" customHeight="1" spans="1:6">
      <c r="A5" s="4" t="s">
        <v>4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</row>
    <row r="6" ht="19.5" customHeight="1" spans="1:6">
      <c r="A6" s="5" t="s">
        <v>38</v>
      </c>
      <c r="B6" s="6" t="s">
        <v>39</v>
      </c>
      <c r="C6" s="7" t="s">
        <v>40</v>
      </c>
      <c r="D6" s="8" t="s">
        <v>41</v>
      </c>
      <c r="E6" s="9" t="s">
        <v>42</v>
      </c>
      <c r="F6" s="7" t="s">
        <v>43</v>
      </c>
    </row>
    <row r="7" ht="27.6" customHeight="1" spans="1:6">
      <c r="A7" s="10" t="s">
        <v>44</v>
      </c>
      <c r="B7" s="11" t="s">
        <v>45</v>
      </c>
      <c r="C7" s="12" t="s">
        <v>46</v>
      </c>
      <c r="D7" s="13" t="s">
        <v>47</v>
      </c>
      <c r="E7" s="14" t="s">
        <v>42</v>
      </c>
      <c r="F7" s="12" t="s">
        <v>48</v>
      </c>
    </row>
    <row r="8" ht="24.6" customHeight="1" spans="1:6">
      <c r="A8" s="5" t="s">
        <v>49</v>
      </c>
      <c r="B8" s="6" t="s">
        <v>50</v>
      </c>
      <c r="C8" s="7" t="s">
        <v>51</v>
      </c>
      <c r="D8" s="8" t="s">
        <v>52</v>
      </c>
      <c r="E8" s="9" t="s">
        <v>42</v>
      </c>
      <c r="F8" s="7" t="s">
        <v>43</v>
      </c>
    </row>
    <row r="9" ht="7.5" customHeight="1"/>
    <row r="10" ht="21.75" customHeight="1" spans="1:6">
      <c r="A10" s="3" t="s">
        <v>53</v>
      </c>
      <c r="B10" s="3"/>
      <c r="C10" s="3"/>
      <c r="D10" s="3"/>
      <c r="E10" s="3"/>
      <c r="F10" s="3"/>
    </row>
    <row r="11" ht="19.5" customHeight="1" spans="1:6">
      <c r="A11" s="4" t="s">
        <v>4</v>
      </c>
      <c r="B11" s="4" t="s">
        <v>33</v>
      </c>
      <c r="C11" s="4" t="s">
        <v>34</v>
      </c>
      <c r="D11" s="4" t="s">
        <v>35</v>
      </c>
      <c r="E11" s="4" t="s">
        <v>36</v>
      </c>
      <c r="F11" s="4" t="s">
        <v>37</v>
      </c>
    </row>
    <row r="12" ht="25.5" customHeight="1" spans="1:6">
      <c r="A12" s="5" t="s">
        <v>38</v>
      </c>
      <c r="B12" s="6" t="s">
        <v>4</v>
      </c>
      <c r="C12" s="7" t="s">
        <v>54</v>
      </c>
      <c r="D12" s="8" t="s">
        <v>55</v>
      </c>
      <c r="E12" s="9" t="s">
        <v>56</v>
      </c>
      <c r="F12" s="7" t="s">
        <v>57</v>
      </c>
    </row>
    <row r="13" ht="25.5" customHeight="1" spans="1:6">
      <c r="A13" s="5" t="s">
        <v>44</v>
      </c>
      <c r="B13" s="6" t="s">
        <v>5</v>
      </c>
      <c r="C13" s="7" t="s">
        <v>58</v>
      </c>
      <c r="D13" s="15" t="s">
        <v>59</v>
      </c>
      <c r="E13" s="9" t="s">
        <v>42</v>
      </c>
      <c r="F13" s="7" t="s">
        <v>57</v>
      </c>
    </row>
    <row r="14" ht="25.5" customHeight="1" spans="1:6">
      <c r="A14" s="5" t="s">
        <v>49</v>
      </c>
      <c r="B14" s="11" t="s">
        <v>60</v>
      </c>
      <c r="C14" s="12" t="s">
        <v>61</v>
      </c>
      <c r="D14" s="13" t="s">
        <v>62</v>
      </c>
      <c r="E14" s="14" t="s">
        <v>42</v>
      </c>
      <c r="F14" s="12" t="s">
        <v>63</v>
      </c>
    </row>
    <row r="15" ht="25.5" customHeight="1" spans="1:6">
      <c r="A15" s="5" t="s">
        <v>64</v>
      </c>
      <c r="B15" s="16" t="s">
        <v>10</v>
      </c>
      <c r="C15" s="17" t="s">
        <v>65</v>
      </c>
      <c r="D15" s="18" t="s">
        <v>19</v>
      </c>
      <c r="E15" s="19" t="s">
        <v>42</v>
      </c>
      <c r="F15" s="17" t="s">
        <v>66</v>
      </c>
    </row>
    <row r="16" ht="25.5" customHeight="1" spans="1:6">
      <c r="A16" s="5" t="s">
        <v>67</v>
      </c>
      <c r="B16" s="11" t="s">
        <v>68</v>
      </c>
      <c r="C16" s="12" t="s">
        <v>69</v>
      </c>
      <c r="D16" s="13" t="s">
        <v>70</v>
      </c>
      <c r="E16" s="14" t="s">
        <v>42</v>
      </c>
      <c r="F16" s="12" t="s">
        <v>71</v>
      </c>
    </row>
    <row r="17" ht="25.5" customHeight="1" spans="1:6">
      <c r="A17" s="5" t="s">
        <v>72</v>
      </c>
      <c r="B17" s="6" t="s">
        <v>12</v>
      </c>
      <c r="C17" s="7" t="s">
        <v>73</v>
      </c>
      <c r="D17" s="8" t="s">
        <v>74</v>
      </c>
      <c r="E17" s="9" t="s">
        <v>42</v>
      </c>
      <c r="F17" s="7" t="s">
        <v>75</v>
      </c>
    </row>
    <row r="18" ht="25.5" customHeight="1" spans="1:6">
      <c r="A18" s="5" t="s">
        <v>76</v>
      </c>
      <c r="B18" s="11" t="s">
        <v>13</v>
      </c>
      <c r="C18" s="12" t="s">
        <v>77</v>
      </c>
      <c r="D18" s="13" t="s">
        <v>78</v>
      </c>
      <c r="E18" s="14" t="s">
        <v>42</v>
      </c>
      <c r="F18" s="12" t="s">
        <v>75</v>
      </c>
    </row>
    <row r="19" ht="25.5" customHeight="1" spans="1:6">
      <c r="A19" s="5" t="s">
        <v>79</v>
      </c>
      <c r="B19" s="6" t="s">
        <v>80</v>
      </c>
      <c r="C19" s="7" t="s">
        <v>81</v>
      </c>
      <c r="D19" s="8" t="s">
        <v>82</v>
      </c>
      <c r="E19" s="9" t="s">
        <v>42</v>
      </c>
      <c r="F19" s="7" t="s">
        <v>83</v>
      </c>
    </row>
    <row r="20" ht="25.5" customHeight="1" spans="1:6">
      <c r="A20" s="5" t="s">
        <v>84</v>
      </c>
      <c r="B20" s="11" t="s">
        <v>85</v>
      </c>
      <c r="C20" s="12" t="s">
        <v>86</v>
      </c>
      <c r="D20" s="13" t="s">
        <v>87</v>
      </c>
      <c r="E20" s="14" t="s">
        <v>42</v>
      </c>
      <c r="F20" s="12" t="s">
        <v>88</v>
      </c>
    </row>
    <row r="21" ht="25.5" customHeight="1" spans="1:6">
      <c r="A21" s="5" t="s">
        <v>89</v>
      </c>
      <c r="B21" s="20" t="s">
        <v>90</v>
      </c>
      <c r="C21" s="21" t="s">
        <v>91</v>
      </c>
      <c r="D21" s="22" t="s">
        <v>92</v>
      </c>
      <c r="E21" s="23" t="s">
        <v>93</v>
      </c>
      <c r="F21" s="21" t="s">
        <v>94</v>
      </c>
    </row>
    <row r="22" ht="25.5" customHeight="1" spans="1:6">
      <c r="A22" s="5" t="s">
        <v>95</v>
      </c>
      <c r="B22" s="20" t="s">
        <v>96</v>
      </c>
      <c r="C22" s="21" t="s">
        <v>97</v>
      </c>
      <c r="D22" s="22" t="s">
        <v>98</v>
      </c>
      <c r="E22" s="23" t="s">
        <v>93</v>
      </c>
      <c r="F22" s="21" t="s">
        <v>99</v>
      </c>
    </row>
    <row r="23" ht="7.5" customHeight="1"/>
    <row r="24" ht="21.75" customHeight="1" spans="1:6">
      <c r="A24" s="3" t="s">
        <v>100</v>
      </c>
      <c r="B24" s="3"/>
      <c r="C24" s="3"/>
      <c r="D24" s="3"/>
      <c r="E24" s="3"/>
      <c r="F24" s="3"/>
    </row>
    <row r="25" ht="19.5" customHeight="1" spans="1:6">
      <c r="A25" s="24" t="s">
        <v>101</v>
      </c>
      <c r="B25" s="24"/>
      <c r="C25" s="24"/>
      <c r="D25" s="24"/>
      <c r="E25" s="24"/>
      <c r="F25" s="24"/>
    </row>
    <row r="26" ht="19.5" customHeight="1" spans="1:6">
      <c r="A26" s="25" t="s">
        <v>102</v>
      </c>
      <c r="B26" s="25"/>
      <c r="C26" s="25"/>
      <c r="D26" s="25"/>
      <c r="E26" s="25"/>
      <c r="F26" s="25"/>
    </row>
    <row r="27" ht="19.5" customHeight="1" spans="1:6">
      <c r="A27" s="24" t="s">
        <v>103</v>
      </c>
      <c r="B27" s="24"/>
      <c r="C27" s="24"/>
      <c r="D27" s="24"/>
      <c r="E27" s="24"/>
      <c r="F27" s="24"/>
    </row>
    <row r="28" ht="7.5" customHeight="1"/>
    <row r="29" ht="21.75" customHeight="1" spans="1:6">
      <c r="A29" s="26" t="s">
        <v>104</v>
      </c>
      <c r="B29" s="26"/>
      <c r="C29" s="26"/>
      <c r="D29" s="26"/>
      <c r="E29" s="26"/>
      <c r="F29" s="26"/>
    </row>
    <row r="30" ht="19.5" customHeight="1" spans="1:6">
      <c r="A30" s="27" t="s">
        <v>4</v>
      </c>
      <c r="B30" s="28" t="s">
        <v>105</v>
      </c>
      <c r="C30" s="28"/>
      <c r="D30" s="29" t="s">
        <v>106</v>
      </c>
      <c r="E30" s="29"/>
      <c r="F30" s="29"/>
    </row>
    <row r="31" ht="21.75" customHeight="1" spans="1:6">
      <c r="A31" s="30" t="s">
        <v>38</v>
      </c>
      <c r="B31" s="31" t="s">
        <v>107</v>
      </c>
      <c r="C31" s="31"/>
      <c r="D31" s="32" t="s">
        <v>108</v>
      </c>
      <c r="E31" s="32"/>
      <c r="F31" s="32"/>
    </row>
    <row r="32" ht="21.75" customHeight="1" spans="1:6">
      <c r="A32" s="33" t="s">
        <v>44</v>
      </c>
      <c r="B32" s="34" t="s">
        <v>109</v>
      </c>
      <c r="C32" s="34"/>
      <c r="D32" s="35" t="s">
        <v>110</v>
      </c>
      <c r="E32" s="35"/>
      <c r="F32" s="35"/>
    </row>
    <row r="33" ht="21.75" customHeight="1" spans="1:6">
      <c r="A33" s="30" t="s">
        <v>49</v>
      </c>
      <c r="B33" s="31" t="s">
        <v>111</v>
      </c>
      <c r="C33" s="31"/>
      <c r="D33" s="32" t="s">
        <v>112</v>
      </c>
      <c r="E33" s="32"/>
      <c r="F33" s="32"/>
    </row>
    <row r="34" ht="21.75" customHeight="1" spans="1:6">
      <c r="A34" s="33" t="s">
        <v>64</v>
      </c>
      <c r="B34" s="34" t="s">
        <v>113</v>
      </c>
      <c r="C34" s="34"/>
      <c r="D34" s="35" t="s">
        <v>114</v>
      </c>
      <c r="E34" s="35"/>
      <c r="F34" s="35"/>
    </row>
    <row r="35" ht="21.75" customHeight="1" spans="1:6">
      <c r="A35" s="30" t="s">
        <v>67</v>
      </c>
      <c r="B35" s="31" t="s">
        <v>115</v>
      </c>
      <c r="C35" s="31"/>
      <c r="D35" s="32" t="s">
        <v>116</v>
      </c>
      <c r="E35" s="32"/>
      <c r="F35" s="32"/>
    </row>
    <row r="36" ht="21.75" customHeight="1" spans="1:6">
      <c r="A36" s="33" t="s">
        <v>72</v>
      </c>
      <c r="B36" s="34" t="s">
        <v>117</v>
      </c>
      <c r="C36" s="34"/>
      <c r="D36" s="35" t="s">
        <v>118</v>
      </c>
      <c r="E36" s="35"/>
      <c r="F36" s="35"/>
    </row>
    <row r="37" ht="7.5" customHeight="1"/>
  </sheetData>
  <mergeCells count="23">
    <mergeCell ref="A1:F1"/>
    <mergeCell ref="A2:F2"/>
    <mergeCell ref="A4:F4"/>
    <mergeCell ref="A10:F10"/>
    <mergeCell ref="A24:F24"/>
    <mergeCell ref="A25:F25"/>
    <mergeCell ref="A26:F26"/>
    <mergeCell ref="A27:F27"/>
    <mergeCell ref="A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3"/>
  <sheetViews>
    <sheetView workbookViewId="0">
      <selection activeCell="G13" sqref="G13"/>
    </sheetView>
  </sheetViews>
  <sheetFormatPr defaultColWidth="11" defaultRowHeight="14.5" outlineLevelCol="6"/>
  <sheetData>
    <row r="13" spans="7:7">
      <c r="G13" t="s">
        <v>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Rendición de Fletes</vt:lpstr>
      <vt:lpstr>Instructivo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</cp:lastModifiedBy>
  <cp:revision>0</cp:revision>
  <dcterms:created xsi:type="dcterms:W3CDTF">2026-06-11T21:36:00Z</dcterms:created>
  <cp:lastPrinted>2026-06-15T18:57:00Z</cp:lastPrinted>
  <dcterms:modified xsi:type="dcterms:W3CDTF">2026-08-01T01:15:18Z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9E92AE704CCA49F89D1C34ABFDE8971B_13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0</vt:i4>
  </property>
</Properties>
</file>