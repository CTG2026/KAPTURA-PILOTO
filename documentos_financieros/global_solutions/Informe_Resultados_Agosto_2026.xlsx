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esupuesto" sheetId="1" state="visible" r:id="rId3"/>
    <sheet name="Financiero" sheetId="2" state="visible" r:id="rId4"/>
    <sheet name="Comercial" sheetId="3" state="visible" r:id="rId5"/>
    <sheet name="Operacional" sheetId="4" state="visible" r:id="rId6"/>
    <sheet name="Datos - Servicios Ago" sheetId="5" state="visible" r:id="rId7"/>
    <sheet name="Datos - Cartola Ago" sheetId="6" state="visible" r:id="rId8"/>
    <sheet name="Datos - Combustible y GPS Ago" sheetId="7" state="visible" r:id="rId9"/>
    <sheet name="Datos - GPS Dias Ag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<sst xmlns="http://schemas.openxmlformats.org/spreadsheetml/2006/main" count="1610" uniqueCount="322">
  <si>
    <t xml:space="preserve">PRESUPUESTO — PARAMETROS FIJOS — AGOSTO 2026</t>
  </si>
  <si>
    <t xml:space="preserve">Parametro</t>
  </si>
  <si>
    <t xml:space="preserve">Valor</t>
  </si>
  <si>
    <t xml:space="preserve">Nota</t>
  </si>
  <si>
    <t xml:space="preserve">SueldoConductorMes</t>
  </si>
  <si>
    <t xml:space="preserve">ComisionConductorPct</t>
  </si>
  <si>
    <t xml:space="preserve">ViaticoDia</t>
  </si>
  <si>
    <t xml:space="preserve">CoordinadorOperaciones</t>
  </si>
  <si>
    <t xml:space="preserve">AyudanteOperaciones</t>
  </si>
  <si>
    <t xml:space="preserve">AdministrativoControlGestion</t>
  </si>
  <si>
    <t xml:space="preserve">Arriendo</t>
  </si>
  <si>
    <t xml:space="preserve">Contabilidad</t>
  </si>
  <si>
    <t xml:space="preserve">GastosComunes</t>
  </si>
  <si>
    <t xml:space="preserve">Permisos</t>
  </si>
  <si>
    <t xml:space="preserve">ProvisionFiniquitos</t>
  </si>
  <si>
    <t xml:space="preserve">UFVigente</t>
  </si>
  <si>
    <t xml:space="preserve">Al 31-ago-2026</t>
  </si>
  <si>
    <t xml:space="preserve">UmbralB_UF</t>
  </si>
  <si>
    <t xml:space="preserve">UmbralC_UF</t>
  </si>
  <si>
    <t xml:space="preserve">ImpEspecificoPorLitro</t>
  </si>
  <si>
    <t xml:space="preserve">DiasHabilesMes</t>
  </si>
  <si>
    <t xml:space="preserve">Agosto: 31 dias, 10 fin de semana</t>
  </si>
  <si>
    <t xml:space="preserve">FactorIVA</t>
  </si>
  <si>
    <t xml:space="preserve">INFORME EJECUTIVO — AMBITO FINANCIERO — AGOSTO 2026</t>
  </si>
  <si>
    <t xml:space="preserve">Formulas vivas. Mismo criterio y estructura que julio.</t>
  </si>
  <si>
    <t xml:space="preserve">Concepto</t>
  </si>
  <si>
    <t xml:space="preserve">Monto</t>
  </si>
  <si>
    <t xml:space="preserve">RENTABILIDAD</t>
  </si>
  <si>
    <t xml:space="preserve">Ventas netas reales</t>
  </si>
  <si>
    <t xml:space="preserve">    Ventas por equipo:</t>
  </si>
  <si>
    <t xml:space="preserve">        DVDS36</t>
  </si>
  <si>
    <t xml:space="preserve">        GCFF12</t>
  </si>
  <si>
    <t xml:space="preserve">        GKFD84</t>
  </si>
  <si>
    <t xml:space="preserve">        WR9192</t>
  </si>
  <si>
    <t xml:space="preserve">        XR8555</t>
  </si>
  <si>
    <t xml:space="preserve">        BPLB35</t>
  </si>
  <si>
    <t xml:space="preserve">        Comision por terceros (10% s/ $2.136.395 facturado por terceros -- Global sin costo, pendiente corroborar desfase sept.)</t>
  </si>
  <si>
    <t xml:space="preserve">Costos de operacion</t>
  </si>
  <si>
    <t xml:space="preserve">    1. Combustible y costos de ruta</t>
  </si>
  <si>
    <t xml:space="preserve">        Combustible bruto (con IVA)</t>
  </si>
  <si>
    <t xml:space="preserve">        Combustible neto IVA</t>
  </si>
  <si>
    <t xml:space="preserve">        Venta anual proyectada (mes x 12)</t>
  </si>
  <si>
    <t xml:space="preserve">        UF vigente</t>
  </si>
  <si>
    <t xml:space="preserve">        Venta anual proyectada en UF</t>
  </si>
  <si>
    <t xml:space="preserve">        Umbral B UF/año</t>
  </si>
  <si>
    <t xml:space="preserve">        Umbral C UF/año</t>
  </si>
  <si>
    <t xml:space="preserve">        % Devolucion imp. especifico</t>
  </si>
  <si>
    <t xml:space="preserve">        Componente base imp. especifico</t>
  </si>
  <si>
    <t xml:space="preserve">        Litros agosto (camiones+camionetas)</t>
  </si>
  <si>
    <t xml:space="preserve">        Devolucion impuesto especifico diesel</t>
  </si>
  <si>
    <t xml:space="preserve">        Peajes (real concesionarias GKFD84+KSRC78, resto sin peaje en agosto)</t>
  </si>
  <si>
    <t xml:space="preserve">    2. Remuneraciones</t>
  </si>
  <si>
    <t xml:space="preserve">        2.1 Felipe Madariaga (conductor)</t>
  </si>
  <si>
    <t xml:space="preserve">            Sueldo</t>
  </si>
  <si>
    <t xml:space="preserve">            Comision 8% sobre sus ventas netas</t>
  </si>
  <si>
    <t xml:space="preserve">            Viatico (dias confirmados GPS)</t>
  </si>
  <si>
    <t xml:space="preserve">        2.2 Francisco Mancilla (conductor)</t>
  </si>
  <si>
    <t xml:space="preserve">        2.3 Manuel Madrid (conductor)</t>
  </si>
  <si>
    <t xml:space="preserve">        2.4 Felipe Vidal (conductor)</t>
  </si>
  <si>
    <t xml:space="preserve">    3. Mantencion</t>
  </si>
  <si>
    <t xml:space="preserve">    4. Otros costos operacionales</t>
  </si>
  <si>
    <t xml:space="preserve">        Otro / sin clasificar</t>
  </si>
  <si>
    <t xml:space="preserve">MARGEN OPERACIONAL ($)</t>
  </si>
  <si>
    <t xml:space="preserve">MARGEN OPERACIONAL (%)</t>
  </si>
  <si>
    <t xml:space="preserve">Margen Bruto ($) [Ventas - Combustible - Comision - Viatico - Peajes - Mantencion - Gasto Financiero]</t>
  </si>
  <si>
    <t xml:space="preserve">Margen Bruto (%)</t>
  </si>
  <si>
    <t xml:space="preserve">Gasto Financiero Factoring (3% Sollem RCV real + 3% Serlogin factorizado real)</t>
  </si>
  <si>
    <t xml:space="preserve">MARGEN NETO ($)</t>
  </si>
  <si>
    <t xml:space="preserve">MARGEN NETO (%)</t>
  </si>
  <si>
    <t xml:space="preserve">EBITDA ($) [=Margen Operacional, sin depreciacion]</t>
  </si>
  <si>
    <t xml:space="preserve">EBITDA (%)</t>
  </si>
  <si>
    <t xml:space="preserve">5. Costo Fijo Estructural (acumulable, fuera del margen del mes)</t>
  </si>
  <si>
    <t xml:space="preserve">        Coordinador Operaciones</t>
  </si>
  <si>
    <t xml:space="preserve">        Ayudante Operaciones</t>
  </si>
  <si>
    <t xml:space="preserve">        Administrativo / Control de Gestion</t>
  </si>
  <si>
    <t xml:space="preserve">        Arriendo</t>
  </si>
  <si>
    <t xml:space="preserve">        Contabilidad</t>
  </si>
  <si>
    <t xml:space="preserve">        Gastos comunes</t>
  </si>
  <si>
    <t xml:space="preserve">        Permisos</t>
  </si>
  <si>
    <t xml:space="preserve">        Provision finiquitos</t>
  </si>
  <si>
    <t xml:space="preserve">        Sueldo base conductor (Madariaga)</t>
  </si>
  <si>
    <t xml:space="preserve">        Sueldo base conductor (Mancilla)</t>
  </si>
  <si>
    <t xml:space="preserve">        Sueldo base conductor (Madrid)</t>
  </si>
  <si>
    <t xml:space="preserve">        Sueldo base conductor (Vidal)</t>
  </si>
  <si>
    <t xml:space="preserve">    TOTAL Costo Fijo (para punto de equilibrio)</t>
  </si>
  <si>
    <t xml:space="preserve">PUNTO DE EQUILIBRIO</t>
  </si>
  <si>
    <t xml:space="preserve">    Listado de costos considerados:</t>
  </si>
  <si>
    <t xml:space="preserve">        Variables: Combustible, Comision, Viatico, Peajes, Mantencion, Gasto Financiero</t>
  </si>
  <si>
    <t xml:space="preserve">        Fijos: Coordinador, Ayudante, Administrativo, Arriendo, Contabilidad, Gastos comunes, Permisos, Provision, Sueldo base x4 conductores</t>
  </si>
  <si>
    <t xml:space="preserve">Costo Fijo Total</t>
  </si>
  <si>
    <t xml:space="preserve">Margen Bruto %</t>
  </si>
  <si>
    <t xml:space="preserve">PUNTO DE EQUILIBRIO ($)</t>
  </si>
  <si>
    <t xml:space="preserve">Colchon real (Ventas - Punto de Equilibrio)</t>
  </si>
  <si>
    <t xml:space="preserve">LIQUIDEZ</t>
  </si>
  <si>
    <t xml:space="preserve">Ingresos reales a caja</t>
  </si>
  <si>
    <t xml:space="preserve">Egresos reales (incl. capex/retiros)</t>
  </si>
  <si>
    <t xml:space="preserve">FLUJO NETO DEL MES</t>
  </si>
  <si>
    <t xml:space="preserve">CxC — Mora Sollem a recuperar (no es costo)</t>
  </si>
  <si>
    <t xml:space="preserve">SOLVENCIA: Global no tiene deudas vigentes a agosto 2026 (confirmado por Carlos).</t>
  </si>
  <si>
    <t xml:space="preserve">INFORME EJECUTIVO — AMBITO COMERCIAL — AGOSTO 2026</t>
  </si>
  <si>
    <t xml:space="preserve">PILAR 1 — DISTRIBUCION / CONCENTRACION DE CARTERA</t>
  </si>
  <si>
    <t xml:space="preserve">Cliente</t>
  </si>
  <si>
    <t xml:space="preserve">Ventas agosto</t>
  </si>
  <si>
    <t xml:space="preserve">% de la cartera</t>
  </si>
  <si>
    <t xml:space="preserve">Sollem</t>
  </si>
  <si>
    <t xml:space="preserve">Serlog</t>
  </si>
  <si>
    <t xml:space="preserve">Nano Presmita</t>
  </si>
  <si>
    <t xml:space="preserve">Trans Luciano</t>
  </si>
  <si>
    <t xml:space="preserve">Don Hugo</t>
  </si>
  <si>
    <t xml:space="preserve">Trast</t>
  </si>
  <si>
    <t xml:space="preserve">Alfa Yam</t>
  </si>
  <si>
    <t xml:space="preserve">Ivan Arriaza</t>
  </si>
  <si>
    <t xml:space="preserve">TOTAL</t>
  </si>
  <si>
    <t xml:space="preserve">Sollem sube a 64,6% de la cartera en agosto (vs 50% en julio) -- concentracion aumento.</t>
  </si>
  <si>
    <t xml:space="preserve">PILAR 2 — FIDELIZACION</t>
  </si>
  <si>
    <t xml:space="preserve">Antiguedad (desde)</t>
  </si>
  <si>
    <t xml:space="preserve">Meses con actividad</t>
  </si>
  <si>
    <t xml:space="preserve">Sollem SpA</t>
  </si>
  <si>
    <t xml:space="preserve">2026-05-04</t>
  </si>
  <si>
    <t xml:space="preserve">Presmita</t>
  </si>
  <si>
    <t xml:space="preserve">2026-05-07</t>
  </si>
  <si>
    <t xml:space="preserve">Serlogin</t>
  </si>
  <si>
    <t xml:space="preserve">2026-06-09</t>
  </si>
  <si>
    <t xml:space="preserve">2026-07-28</t>
  </si>
  <si>
    <t xml:space="preserve">2026-08</t>
  </si>
  <si>
    <t xml:space="preserve">Alfa Jam</t>
  </si>
  <si>
    <t xml:space="preserve">2026-08-11</t>
  </si>
  <si>
    <t xml:space="preserve">PILAR 3 — DIVERSIFICACION</t>
  </si>
  <si>
    <t xml:space="preserve">Clientes activos en agosto</t>
  </si>
  <si>
    <t xml:space="preserve">Clientes nuevos en agosto</t>
  </si>
  <si>
    <t xml:space="preserve">Don Hugo, Trast (primer servicio)</t>
  </si>
  <si>
    <t xml:space="preserve">% dependencia Sollem</t>
  </si>
  <si>
    <t xml:space="preserve">INFORME EJECUTIVO — AMBITO OPERACIONAL — AGOSTO 2026</t>
  </si>
  <si>
    <t xml:space="preserve">COMBUSTIBLE — camiones + camionetas (Aramco+Copec)</t>
  </si>
  <si>
    <t xml:space="preserve">Patente</t>
  </si>
  <si>
    <t xml:space="preserve">Tipo</t>
  </si>
  <si>
    <t xml:space="preserve">Litros</t>
  </si>
  <si>
    <t xml:space="preserve">Monto $</t>
  </si>
  <si>
    <t xml:space="preserve">% del total</t>
  </si>
  <si>
    <t xml:space="preserve">RENDIMIENTO km/lt — SOLO CAMIONES</t>
  </si>
  <si>
    <t xml:space="preserve">Km GPS</t>
  </si>
  <si>
    <t xml:space="preserve">Rendimiento (km/lt)</t>
  </si>
  <si>
    <t xml:space="preserve">SIN DATOS COMPLETOS EN GPS FORGUARD</t>
  </si>
  <si>
    <t xml:space="preserve">MANTENCION — SOLO CAMIONES</t>
  </si>
  <si>
    <t xml:space="preserve">Patente (camión)</t>
  </si>
  <si>
    <t xml:space="preserve">Mantencion neta IVA</t>
  </si>
  <si>
    <t xml:space="preserve">DVDS36</t>
  </si>
  <si>
    <t xml:space="preserve">GCFF12</t>
  </si>
  <si>
    <t xml:space="preserve">GKFD84</t>
  </si>
  <si>
    <t xml:space="preserve">WR9192</t>
  </si>
  <si>
    <t xml:space="preserve">XR8555</t>
  </si>
  <si>
    <t xml:space="preserve">TOTAL mantencion camiones</t>
  </si>
  <si>
    <t xml:space="preserve">OCUPACION POR EQUIPO — fuente: GPS real</t>
  </si>
  <si>
    <t xml:space="preserve">Dias habiles del mes</t>
  </si>
  <si>
    <t xml:space="preserve">Dias con GPS real</t>
  </si>
  <si>
    <t xml:space="preserve">% Ocupacion</t>
  </si>
  <si>
    <t xml:space="preserve">BPLB35</t>
  </si>
  <si>
    <t xml:space="preserve">CALIDAD: sin fuente de datos disponible.</t>
  </si>
  <si>
    <t xml:space="preserve">SERVICIOS REALIZADOS — AGOSTO 2026</t>
  </si>
  <si>
    <t xml:space="preserve">Fecha (Fecha GD real)</t>
  </si>
  <si>
    <t xml:space="preserve">Origen</t>
  </si>
  <si>
    <t xml:space="preserve">Destino</t>
  </si>
  <si>
    <t xml:space="preserve">Flete Total (bruto)</t>
  </si>
  <si>
    <t xml:space="preserve">Flete Neto (=Bruto/1.19)</t>
  </si>
  <si>
    <t xml:space="preserve">Estado Pago</t>
  </si>
  <si>
    <t xml:space="preserve">Conductor</t>
  </si>
  <si>
    <t xml:space="preserve">Patente normalizada</t>
  </si>
  <si>
    <t xml:space="preserve">GPS confirma ese dia</t>
  </si>
  <si>
    <t xml:space="preserve">Dia unico conf. GPS x conductor</t>
  </si>
  <si>
    <t xml:space="preserve">2026-08-03</t>
  </si>
  <si>
    <t xml:space="preserve">Casa Blanca</t>
  </si>
  <si>
    <t xml:space="preserve">Peralillo - Santa Cruz - Placilla</t>
  </si>
  <si>
    <t xml:space="preserve">Pendiente</t>
  </si>
  <si>
    <t xml:space="preserve">Francisco Mancilla</t>
  </si>
  <si>
    <t xml:space="preserve">Coltauco</t>
  </si>
  <si>
    <t xml:space="preserve">Valparaiso</t>
  </si>
  <si>
    <t xml:space="preserve">Manuel Madrid</t>
  </si>
  <si>
    <t xml:space="preserve">2026-08-04</t>
  </si>
  <si>
    <t xml:space="preserve">Lampa</t>
  </si>
  <si>
    <t xml:space="preserve">Felipe Madariaga</t>
  </si>
  <si>
    <t xml:space="preserve">Chimbarongo</t>
  </si>
  <si>
    <t xml:space="preserve">2026-08-05</t>
  </si>
  <si>
    <t xml:space="preserve">Requinoa</t>
  </si>
  <si>
    <t xml:space="preserve">Codegua</t>
  </si>
  <si>
    <t xml:space="preserve">Curacavi</t>
  </si>
  <si>
    <t xml:space="preserve">Quinta Tilcoco, Rauco - Sarmiento - Sagrada Familia</t>
  </si>
  <si>
    <t xml:space="preserve">Marchihue - Lolol - Chimbarongo</t>
  </si>
  <si>
    <t xml:space="preserve">DSDV36</t>
  </si>
  <si>
    <t xml:space="preserve">2026-08-06</t>
  </si>
  <si>
    <t xml:space="preserve">Nicolas Vega</t>
  </si>
  <si>
    <t xml:space="preserve">2026-08-07</t>
  </si>
  <si>
    <t xml:space="preserve">San Fernando</t>
  </si>
  <si>
    <t xml:space="preserve">2026-08-10</t>
  </si>
  <si>
    <t xml:space="preserve">San Antonio</t>
  </si>
  <si>
    <t xml:space="preserve">Lolol - San Clemente - Linares</t>
  </si>
  <si>
    <t xml:space="preserve">Gultro </t>
  </si>
  <si>
    <t xml:space="preserve">Colina</t>
  </si>
  <si>
    <t xml:space="preserve">Peralillo - Pichidegua - Chepica</t>
  </si>
  <si>
    <t xml:space="preserve">2026-08-12</t>
  </si>
  <si>
    <t xml:space="preserve">2026-08-13</t>
  </si>
  <si>
    <t xml:space="preserve">Coinco - Malloa - Quinta Tilcoco</t>
  </si>
  <si>
    <t xml:space="preserve">2026-08-14</t>
  </si>
  <si>
    <t xml:space="preserve">2026-08-17</t>
  </si>
  <si>
    <t xml:space="preserve">Romeral</t>
  </si>
  <si>
    <t xml:space="preserve">Pagado</t>
  </si>
  <si>
    <t xml:space="preserve">2026-08-15</t>
  </si>
  <si>
    <t xml:space="preserve">Maipu</t>
  </si>
  <si>
    <t xml:space="preserve">Rancagua - Chimbarongo - Peralillo</t>
  </si>
  <si>
    <t xml:space="preserve">2026-08-19</t>
  </si>
  <si>
    <t xml:space="preserve">Coltauco . Requinoa</t>
  </si>
  <si>
    <t xml:space="preserve">2026-08-20</t>
  </si>
  <si>
    <t xml:space="preserve">Catemu - San Esteban</t>
  </si>
  <si>
    <t xml:space="preserve">Codegua - San Vicente - Santa Cruz - Pichidegua Lolol</t>
  </si>
  <si>
    <t xml:space="preserve">2026-08-21</t>
  </si>
  <si>
    <t xml:space="preserve">Coltauco - Requinoa - San Fernno</t>
  </si>
  <si>
    <t xml:space="preserve">-</t>
  </si>
  <si>
    <t xml:space="preserve">Alex Espinoza</t>
  </si>
  <si>
    <t xml:space="preserve">Buin</t>
  </si>
  <si>
    <t xml:space="preserve">Limache</t>
  </si>
  <si>
    <t xml:space="preserve">Padre Hurtado</t>
  </si>
  <si>
    <t xml:space="preserve">La Pintana</t>
  </si>
  <si>
    <t xml:space="preserve">2026-08-24</t>
  </si>
  <si>
    <t xml:space="preserve">2026-08-27</t>
  </si>
  <si>
    <t xml:space="preserve">Llayllay</t>
  </si>
  <si>
    <t xml:space="preserve">Pudahuel</t>
  </si>
  <si>
    <t xml:space="preserve">Rengo</t>
  </si>
  <si>
    <t xml:space="preserve">2026-08-25</t>
  </si>
  <si>
    <t xml:space="preserve">Macul</t>
  </si>
  <si>
    <t xml:space="preserve">Quillota - Nogales - Paquehue - San Felipe - Putaendo</t>
  </si>
  <si>
    <t xml:space="preserve">Linares</t>
  </si>
  <si>
    <t xml:space="preserve">Santa Cruz - Chepica</t>
  </si>
  <si>
    <t xml:space="preserve">Lolol</t>
  </si>
  <si>
    <t xml:space="preserve">2026-08-26</t>
  </si>
  <si>
    <t xml:space="preserve">Los Andes - San Felipe</t>
  </si>
  <si>
    <t xml:space="preserve">Chepica - Santa Cruz</t>
  </si>
  <si>
    <t xml:space="preserve">San Fernando - Chimbarongo - Santa Cruz - Lolol - Peralillo</t>
  </si>
  <si>
    <t xml:space="preserve">Hijuelas - San Felipe</t>
  </si>
  <si>
    <t xml:space="preserve">Francisco Medina</t>
  </si>
  <si>
    <t xml:space="preserve">2026-08-28</t>
  </si>
  <si>
    <t xml:space="preserve">2026-08-31</t>
  </si>
  <si>
    <t xml:space="preserve">Coltauco - Requinoa - Quinta Tilcoco</t>
  </si>
  <si>
    <t xml:space="preserve">Maria Pinto</t>
  </si>
  <si>
    <t xml:space="preserve">CARTOLA BANCARIA REAL — AGOSTO 2026</t>
  </si>
  <si>
    <t xml:space="preserve">Fecha</t>
  </si>
  <si>
    <t xml:space="preserve">Categoria</t>
  </si>
  <si>
    <t xml:space="preserve">Referencia</t>
  </si>
  <si>
    <t xml:space="preserve">Patente (si aplica)</t>
  </si>
  <si>
    <t xml:space="preserve">Concepto real (si es otro_por_clasificar)</t>
  </si>
  <si>
    <t xml:space="preserve">egreso</t>
  </si>
  <si>
    <t xml:space="preserve">combustible</t>
  </si>
  <si>
    <t xml:space="preserve">PAGO EN LINEA ESMAX</t>
  </si>
  <si>
    <t xml:space="preserve">sueldo_coordinador</t>
  </si>
  <si>
    <t xml:space="preserve">0159957802 Transf a RIQUELME OLEA</t>
  </si>
  <si>
    <t xml:space="preserve">otro_por_clasificar</t>
  </si>
  <si>
    <t xml:space="preserve">0168844255 Transf a Sebastián Zúñi</t>
  </si>
  <si>
    <t xml:space="preserve">sueldo_conductor</t>
  </si>
  <si>
    <t xml:space="preserve">0153706123 Transf a Francisco Manc</t>
  </si>
  <si>
    <t xml:space="preserve">019591141K Transf a Nicolás Matías</t>
  </si>
  <si>
    <t xml:space="preserve">ingreso</t>
  </si>
  <si>
    <t xml:space="preserve">factoring</t>
  </si>
  <si>
    <t xml:space="preserve">0966265701 Transf. INCOFIN S A</t>
  </si>
  <si>
    <t xml:space="preserve">0125155197 Transf a Manuel Madrid</t>
  </si>
  <si>
    <t xml:space="preserve">0142013436 Transf a Felipe Madaria</t>
  </si>
  <si>
    <t xml:space="preserve">Compra Nacional MD MERCADOPAGO *GA</t>
  </si>
  <si>
    <t xml:space="preserve">0175020268 Transf a Nicolás Carval</t>
  </si>
  <si>
    <t xml:space="preserve">Compra Nacional MD EL RENACUAJO</t>
  </si>
  <si>
    <t xml:space="preserve">mantencion</t>
  </si>
  <si>
    <t xml:space="preserve">Compra Nacional MD CARLOS BOLOMEY</t>
  </si>
  <si>
    <t xml:space="preserve">transferencia_interna</t>
  </si>
  <si>
    <t xml:space="preserve">0783031345 Transf a Global Solutio</t>
  </si>
  <si>
    <t xml:space="preserve">0159957802 Transf de PABLO SEBASTI</t>
  </si>
  <si>
    <t xml:space="preserve">Compra Nacional MD CONSTRU-MART RA</t>
  </si>
  <si>
    <t xml:space="preserve">0038458213 Transf. ZUNIGA ZUNIGA M</t>
  </si>
  <si>
    <t xml:space="preserve">Rev. Compra Nacional Off Line MD R</t>
  </si>
  <si>
    <t xml:space="preserve">0142954591 Transf a Marcelo Lira</t>
  </si>
  <si>
    <t xml:space="preserve">Compra Nacional MD RedGloba*PCY LT</t>
  </si>
  <si>
    <t xml:space="preserve">0140569097 Transf. ANDREA CLEMENTI</t>
  </si>
  <si>
    <t xml:space="preserve">0763079309 Transf.</t>
  </si>
  <si>
    <t xml:space="preserve">Compra Nacional MD VULKO</t>
  </si>
  <si>
    <t xml:space="preserve">Compra Nacional MD SZM REPUESTOS</t>
  </si>
  <si>
    <t xml:space="preserve">Compra Nacional MD BRASIL</t>
  </si>
  <si>
    <t xml:space="preserve">Compra Nacional MD IMBRA</t>
  </si>
  <si>
    <t xml:space="preserve">077851771K Transf. Banco Consorcio</t>
  </si>
  <si>
    <t xml:space="preserve">Compra Nacional MD ABZA LIMITADA</t>
  </si>
  <si>
    <t xml:space="preserve">Compra Nacional MD FENIC SANTIAGO</t>
  </si>
  <si>
    <t xml:space="preserve">Compra Nacional MD ARAMCO</t>
  </si>
  <si>
    <t xml:space="preserve">Compra Nacional MD RedGloba*MIGUEL</t>
  </si>
  <si>
    <t xml:space="preserve">Compra Nacional MD MERCADOPAGO *CO</t>
  </si>
  <si>
    <t xml:space="preserve">Compra Nacional MD ALVI RANCAGUA</t>
  </si>
  <si>
    <t xml:space="preserve">Compra Nacional MD IMPLEMENTOS S.A</t>
  </si>
  <si>
    <t xml:space="preserve">Compra Nacional MD VALPAR LTDA</t>
  </si>
  <si>
    <t xml:space="preserve">otro</t>
  </si>
  <si>
    <t xml:space="preserve">PAGO EN LINEA ENTEL PCS</t>
  </si>
  <si>
    <t xml:space="preserve">0965260307 Transf. AGRICOLA Y PACK</t>
  </si>
  <si>
    <t xml:space="preserve">Compra Nacional MD CASA DEL FRENO</t>
  </si>
  <si>
    <t xml:space="preserve">Compra Nacional MD PRONTO BARRA SN</t>
  </si>
  <si>
    <t xml:space="preserve">2026-08-18</t>
  </si>
  <si>
    <t xml:space="preserve">0995014807 Transf. Penta Financier</t>
  </si>
  <si>
    <t xml:space="preserve">0162639617 Transf a Francisco Medi</t>
  </si>
  <si>
    <t xml:space="preserve">Compra Nacional MD FARMACIA DIVINA</t>
  </si>
  <si>
    <t xml:space="preserve">Compra Nacional MD ACENOR RANCAGUA</t>
  </si>
  <si>
    <t xml:space="preserve">Compra Nacional MD PROSERCOM SPA</t>
  </si>
  <si>
    <t xml:space="preserve">0161896187 Transf a Pablo Morales</t>
  </si>
  <si>
    <t xml:space="preserve">0771726054 Transf a Las delicias d</t>
  </si>
  <si>
    <t xml:space="preserve">0134533420 Transf a Francisco Cald</t>
  </si>
  <si>
    <t xml:space="preserve">COM.MANTENCION PLAN</t>
  </si>
  <si>
    <t xml:space="preserve">Compra Nacional MD EL PALACIO DEL</t>
  </si>
  <si>
    <t xml:space="preserve">0080234333 Transf a Héctor Silva A</t>
  </si>
  <si>
    <t xml:space="preserve">0765528801 Transf a Zhiyi chen y c</t>
  </si>
  <si>
    <t xml:space="preserve">COMBUSTIBLE REAL (ARAMCO+COPEC) Y KM GPS POR EQUIPO — AGOSTO 2026</t>
  </si>
  <si>
    <t xml:space="preserve">Tipo equipo</t>
  </si>
  <si>
    <t xml:space="preserve">Litros (Aramco+Copec)</t>
  </si>
  <si>
    <t xml:space="preserve">Km recorridos (GPS, trip)</t>
  </si>
  <si>
    <t xml:space="preserve">Camión</t>
  </si>
  <si>
    <t xml:space="preserve">KSRC78</t>
  </si>
  <si>
    <t xml:space="preserve">Camioneta</t>
  </si>
  <si>
    <t xml:space="preserve">SIN GPS</t>
  </si>
  <si>
    <t xml:space="preserve">JYJV21</t>
  </si>
  <si>
    <t xml:space="preserve">DIAS REALES CON MOVIMIENTO GPS — AGOSTO 2026</t>
  </si>
  <si>
    <t xml:space="preserve">2026-08-22</t>
  </si>
  <si>
    <t xml:space="preserve">2026-08-16</t>
  </si>
  <si>
    <t xml:space="preserve">2026-08-01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</si>
</sst>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#,##0.00"/>
    <numFmt numFmtId="168" formatCode="#,##0.0"/>
    <numFmt numFmtId="169" formatCode="0.00"/>
    <numFmt numFmtId="170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.5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30"/>
  </cols>
  <sheetData>
    <row r="1" customFormat="false" ht="17.25" hidden="false" customHeight="true" outlineLevel="0" collapsed="false">
      <c r="A1" s="2" t="s">
        <v>0</v>
      </c>
      <c r="B1" s="2"/>
      <c r="C1" s="2"/>
    </row>
    <row r="3" customFormat="false" ht="15" hidden="false" customHeight="true" outlineLevel="0" collapsed="false">
      <c r="A3" s="1" t="s">
        <v>1</v>
      </c>
      <c r="B3" s="1" t="s">
        <v>2</v>
      </c>
      <c r="C3" s="1" t="s">
        <v>3</v>
      </c>
    </row>
    <row r="4" customFormat="false" ht="15" hidden="false" customHeight="true" outlineLevel="0" collapsed="false">
      <c r="A4" s="3"/>
      <c r="B4" s="3"/>
      <c r="C4" s="3"/>
    </row>
    <row r="5" customFormat="false" ht="15" hidden="false" customHeight="true" outlineLevel="0" collapsed="false">
      <c r="A5" s="4" t="s">
        <v>4</v>
      </c>
      <c r="B5" s="5" t="n">
        <v>660000</v>
      </c>
      <c r="C5" s="6"/>
    </row>
    <row r="6" customFormat="false" ht="15" hidden="false" customHeight="true" outlineLevel="0" collapsed="false">
      <c r="A6" s="4" t="s">
        <v>5</v>
      </c>
      <c r="B6" s="7" t="n">
        <v>0.08</v>
      </c>
      <c r="C6" s="6"/>
    </row>
    <row r="7" customFormat="false" ht="15" hidden="false" customHeight="true" outlineLevel="0" collapsed="false">
      <c r="A7" s="4" t="s">
        <v>6</v>
      </c>
      <c r="B7" s="5" t="n">
        <v>12000</v>
      </c>
      <c r="C7" s="6"/>
    </row>
    <row r="8" customFormat="false" ht="15" hidden="false" customHeight="true" outlineLevel="0" collapsed="false">
      <c r="A8" s="4" t="s">
        <v>7</v>
      </c>
      <c r="B8" s="5" t="n">
        <v>1500000</v>
      </c>
      <c r="C8" s="6"/>
    </row>
    <row r="9" customFormat="false" ht="15" hidden="false" customHeight="true" outlineLevel="0" collapsed="false">
      <c r="A9" s="4" t="s">
        <v>8</v>
      </c>
      <c r="B9" s="5" t="n">
        <v>900000</v>
      </c>
      <c r="C9" s="6"/>
    </row>
    <row r="10" customFormat="false" ht="15" hidden="false" customHeight="true" outlineLevel="0" collapsed="false">
      <c r="A10" s="4" t="s">
        <v>9</v>
      </c>
      <c r="B10" s="5" t="n">
        <v>500000</v>
      </c>
      <c r="C10" s="6"/>
    </row>
    <row r="11" customFormat="false" ht="15" hidden="false" customHeight="true" outlineLevel="0" collapsed="false">
      <c r="A11" s="4" t="s">
        <v>10</v>
      </c>
      <c r="B11" s="5" t="n">
        <v>450000</v>
      </c>
      <c r="C11" s="6"/>
    </row>
    <row r="12" customFormat="false" ht="15" hidden="false" customHeight="true" outlineLevel="0" collapsed="false">
      <c r="A12" s="4" t="s">
        <v>11</v>
      </c>
      <c r="B12" s="5" t="n">
        <v>50000</v>
      </c>
      <c r="C12" s="6"/>
    </row>
    <row r="13" customFormat="false" ht="15" hidden="false" customHeight="true" outlineLevel="0" collapsed="false">
      <c r="A13" s="4" t="s">
        <v>12</v>
      </c>
      <c r="B13" s="5" t="n">
        <v>100000</v>
      </c>
      <c r="C13" s="6"/>
    </row>
    <row r="14" customFormat="false" ht="15" hidden="false" customHeight="true" outlineLevel="0" collapsed="false">
      <c r="A14" s="4" t="s">
        <v>13</v>
      </c>
      <c r="B14" s="5" t="n">
        <v>0</v>
      </c>
      <c r="C14" s="6"/>
    </row>
    <row r="15" customFormat="false" ht="15" hidden="false" customHeight="true" outlineLevel="0" collapsed="false">
      <c r="A15" s="4" t="s">
        <v>14</v>
      </c>
      <c r="B15" s="5" t="n">
        <v>0</v>
      </c>
      <c r="C15" s="6"/>
    </row>
    <row r="16" customFormat="false" ht="15" hidden="false" customHeight="true" outlineLevel="0" collapsed="false">
      <c r="A16" s="4" t="s">
        <v>15</v>
      </c>
      <c r="B16" s="5" t="n">
        <v>40873</v>
      </c>
      <c r="C16" s="6" t="s">
        <v>16</v>
      </c>
    </row>
    <row r="17" customFormat="false" ht="15" hidden="false" customHeight="true" outlineLevel="0" collapsed="false">
      <c r="A17" s="4" t="s">
        <v>17</v>
      </c>
      <c r="B17" s="5" t="n">
        <v>8000</v>
      </c>
      <c r="C17" s="6"/>
    </row>
    <row r="18" customFormat="false" ht="15" hidden="false" customHeight="true" outlineLevel="0" collapsed="false">
      <c r="A18" s="4" t="s">
        <v>18</v>
      </c>
      <c r="B18" s="5" t="n">
        <v>20000</v>
      </c>
      <c r="C18" s="6"/>
    </row>
    <row r="19" customFormat="false" ht="15" hidden="false" customHeight="true" outlineLevel="0" collapsed="false">
      <c r="A19" s="4" t="s">
        <v>19</v>
      </c>
      <c r="B19" s="5" t="n">
        <v>102</v>
      </c>
      <c r="C19" s="6"/>
    </row>
    <row r="20" customFormat="false" ht="15" hidden="false" customHeight="true" outlineLevel="0" collapsed="false">
      <c r="A20" s="4" t="s">
        <v>20</v>
      </c>
      <c r="B20" s="5" t="n">
        <v>21</v>
      </c>
      <c r="C20" s="6" t="s">
        <v>21</v>
      </c>
    </row>
    <row r="21" customFormat="false" ht="15" hidden="false" customHeight="true" outlineLevel="0" collapsed="false">
      <c r="A21" s="4" t="s">
        <v>22</v>
      </c>
      <c r="B21" s="8" t="n">
        <v>1.19</v>
      </c>
      <c r="C21" s="6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3" outlineLevelCol="0"/>
  <cols>
    <col collapsed="false" customWidth="true" hidden="false" outlineLevel="0" max="1" min="1" style="1" width="58"/>
    <col collapsed="false" customWidth="true" hidden="true" outlineLevel="0" max="2" min="2" style="1" width="3"/>
    <col collapsed="false" customWidth="true" hidden="false" outlineLevel="0" max="3" min="3" style="1" width="16"/>
  </cols>
  <sheetData>
    <row r="1" customFormat="false" ht="17.25" hidden="false" customHeight="true" outlineLevel="0" collapsed="false">
      <c r="A1" s="2" t="s">
        <v>23</v>
      </c>
      <c r="B1" s="2"/>
      <c r="C1" s="2"/>
    </row>
    <row r="2" customFormat="false" ht="15" hidden="false" customHeight="true" outlineLevel="0" collapsed="false">
      <c r="A2" s="9" t="s">
        <v>24</v>
      </c>
      <c r="B2" s="9"/>
      <c r="C2" s="9"/>
    </row>
    <row r="4" customFormat="false" ht="15" hidden="false" customHeight="true" outlineLevel="0" collapsed="false">
      <c r="A4" s="3" t="s">
        <v>25</v>
      </c>
      <c r="B4" s="3"/>
      <c r="C4" s="3" t="s">
        <v>26</v>
      </c>
    </row>
    <row r="5" customFormat="false" ht="15" hidden="false" customHeight="true" outlineLevel="0" collapsed="false">
      <c r="A5" s="10" t="s">
        <v>27</v>
      </c>
      <c r="B5" s="10"/>
      <c r="C5" s="10"/>
    </row>
    <row r="6" customFormat="false" ht="15" hidden="false" customHeight="true" outlineLevel="0" collapsed="false">
      <c r="A6" s="11" t="s">
        <v>28</v>
      </c>
      <c r="C6" s="12" t="n">
        <f aca="false">C8+C9+C10+C11+C12+C13+C14</f>
        <v>27879313.4649412</v>
      </c>
    </row>
    <row r="7" customFormat="false" ht="15" hidden="true" customHeight="true" outlineLevel="1" collapsed="false">
      <c r="A7" s="13" t="s">
        <v>29</v>
      </c>
    </row>
    <row r="8" customFormat="false" ht="15" hidden="true" customHeight="true" outlineLevel="2" collapsed="false">
      <c r="A8" s="14" t="s">
        <v>30</v>
      </c>
      <c r="C8" s="15" t="n">
        <f aca="false">SUMIFS('Datos - Servicios Ago'!$G$4:$G$75,'Datos - Servicios Ago'!$J$4:$J$75,"DVDS36")</f>
        <v>3520840.33613445</v>
      </c>
    </row>
    <row r="9" customFormat="false" ht="15" hidden="true" customHeight="true" outlineLevel="2" collapsed="false">
      <c r="A9" s="14" t="s">
        <v>31</v>
      </c>
      <c r="C9" s="15" t="n">
        <f aca="false">SUMIFS('Datos - Servicios Ago'!$G$4:$G$75,'Datos - Servicios Ago'!$J$4:$J$75,"GCFF12")</f>
        <v>8369328</v>
      </c>
    </row>
    <row r="10" customFormat="false" ht="15" hidden="true" customHeight="true" outlineLevel="2" collapsed="false">
      <c r="A10" s="14" t="s">
        <v>32</v>
      </c>
      <c r="C10" s="15" t="n">
        <f aca="false">SUMIFS('Datos - Servicios Ago'!$G$4:$G$75,'Datos - Servicios Ago'!$J$4:$J$75,"GKFD84")</f>
        <v>7992732.25630252</v>
      </c>
    </row>
    <row r="11" customFormat="false" ht="15" hidden="true" customHeight="true" outlineLevel="2" collapsed="false">
      <c r="A11" s="14" t="s">
        <v>33</v>
      </c>
      <c r="C11" s="15" t="n">
        <f aca="false">SUMIFS('Datos - Servicios Ago'!$G$4:$G$75,'Datos - Servicios Ago'!$J$4:$J$75,"WR9192")</f>
        <v>687305</v>
      </c>
    </row>
    <row r="12" customFormat="false" ht="15" hidden="true" customHeight="true" outlineLevel="2" collapsed="false">
      <c r="A12" s="14" t="s">
        <v>34</v>
      </c>
      <c r="C12" s="15" t="n">
        <f aca="false">SUMIFS('Datos - Servicios Ago'!$G$4:$G$75,'Datos - Servicios Ago'!$J$4:$J$75,"XR8555")</f>
        <v>7095467.8725042</v>
      </c>
    </row>
    <row r="13" customFormat="false" ht="15" hidden="true" customHeight="true" outlineLevel="2" collapsed="false">
      <c r="A13" s="14" t="s">
        <v>35</v>
      </c>
      <c r="C13" s="15" t="n">
        <f aca="false">SUMIFS('Datos - Servicios Ago'!$G$4:$G$75,'Datos - Servicios Ago'!$J$4:$J$75,"BPLB35")</f>
        <v>0</v>
      </c>
    </row>
    <row r="14" customFormat="false" ht="15" hidden="true" customHeight="true" outlineLevel="2" collapsed="false">
      <c r="A14" s="14" t="s">
        <v>36</v>
      </c>
      <c r="C14" s="15" t="n">
        <v>213640</v>
      </c>
    </row>
    <row r="15" customFormat="false" ht="15" hidden="false" customHeight="true" outlineLevel="0" collapsed="false">
      <c r="A15" s="11" t="s">
        <v>37</v>
      </c>
      <c r="C15" s="12" t="n">
        <f aca="false">C16+C29+C46+C52</f>
        <v>21031020.8634558</v>
      </c>
    </row>
    <row r="16" customFormat="false" ht="15" hidden="true" customHeight="true" outlineLevel="1" collapsed="false">
      <c r="A16" s="11" t="s">
        <v>38</v>
      </c>
      <c r="C16" s="12" t="n">
        <f aca="false">C18-C27+C28</f>
        <v>10177072.1123109</v>
      </c>
    </row>
    <row r="17" customFormat="false" ht="15" hidden="true" customHeight="true" outlineLevel="2" collapsed="false">
      <c r="A17" s="14" t="s">
        <v>39</v>
      </c>
      <c r="C17" s="15" t="n">
        <f aca="false">SUMIFS('Datos - Cartola Ago'!$D$4:$D$179,'Datos - Cartola Ago'!$C$4:$C$179,"combustible",'Datos - Cartola Ago'!$B$4:$B$179,"egreso")</f>
        <v>11761000</v>
      </c>
    </row>
    <row r="18" customFormat="false" ht="15" hidden="true" customHeight="true" outlineLevel="2" collapsed="false">
      <c r="A18" s="14" t="s">
        <v>40</v>
      </c>
      <c r="C18" s="15" t="n">
        <f aca="false">C17/Presupuesto!$B$21</f>
        <v>9883193.27731093</v>
      </c>
    </row>
    <row r="19" customFormat="false" ht="15" hidden="true" customHeight="true" outlineLevel="2" collapsed="false">
      <c r="A19" s="14" t="s">
        <v>41</v>
      </c>
      <c r="C19" s="15" t="n">
        <f aca="false">C6*12</f>
        <v>334551761.579294</v>
      </c>
    </row>
    <row r="20" customFormat="false" ht="15" hidden="true" customHeight="true" outlineLevel="2" collapsed="false">
      <c r="A20" s="14" t="s">
        <v>42</v>
      </c>
      <c r="C20" s="15" t="n">
        <f aca="false">Presupuesto!$B$16</f>
        <v>40873</v>
      </c>
    </row>
    <row r="21" customFormat="false" ht="15" hidden="true" customHeight="true" outlineLevel="2" collapsed="false">
      <c r="A21" s="14" t="s">
        <v>43</v>
      </c>
      <c r="C21" s="15" t="n">
        <f aca="false">C19/C20</f>
        <v>8185.15307364994</v>
      </c>
    </row>
    <row r="22" customFormat="false" ht="15" hidden="true" customHeight="true" outlineLevel="2" collapsed="false">
      <c r="A22" s="14" t="s">
        <v>44</v>
      </c>
      <c r="C22" s="15" t="n">
        <f aca="false">Presupuesto!$B$17</f>
        <v>8000</v>
      </c>
    </row>
    <row r="23" customFormat="false" ht="15" hidden="true" customHeight="true" outlineLevel="2" collapsed="false">
      <c r="A23" s="14" t="s">
        <v>45</v>
      </c>
      <c r="C23" s="15" t="n">
        <f aca="false">Presupuesto!$B$18</f>
        <v>20000</v>
      </c>
    </row>
    <row r="24" customFormat="false" ht="15" hidden="true" customHeight="true" outlineLevel="2" collapsed="false">
      <c r="A24" s="14" t="s">
        <v>46</v>
      </c>
      <c r="C24" s="16" t="n">
        <f aca="false">IF(C21&lt;=2400,0.8,IF(C21&lt;=C22,0.7,IF(C21&lt;=C23,0.525,0.31)))</f>
        <v>0.525</v>
      </c>
    </row>
    <row r="25" customFormat="false" ht="15" hidden="true" customHeight="true" outlineLevel="2" collapsed="false">
      <c r="A25" s="14" t="s">
        <v>47</v>
      </c>
      <c r="C25" s="15" t="n">
        <f aca="false">Presupuesto!$B$19</f>
        <v>102</v>
      </c>
    </row>
    <row r="26" customFormat="false" ht="15" hidden="true" customHeight="true" outlineLevel="2" collapsed="false">
      <c r="A26" s="14" t="s">
        <v>48</v>
      </c>
      <c r="C26" s="17" t="n">
        <f aca="false">SUM('Datos - Combustible y GPS Ago'!C4:C10)</f>
        <v>10042.3</v>
      </c>
    </row>
    <row r="27" customFormat="false" ht="15" hidden="true" customHeight="true" outlineLevel="2" collapsed="false">
      <c r="A27" s="14" t="s">
        <v>49</v>
      </c>
      <c r="C27" s="15" t="n">
        <f aca="false">C26*C25*C24</f>
        <v>537765.165</v>
      </c>
    </row>
    <row r="28" customFormat="false" ht="15" hidden="true" customHeight="true" outlineLevel="2" collapsed="false">
      <c r="A28" s="14" t="s">
        <v>50</v>
      </c>
      <c r="C28" s="15" t="n">
        <v>831644</v>
      </c>
    </row>
    <row r="29" customFormat="false" ht="15" hidden="true" customHeight="true" outlineLevel="1" collapsed="false">
      <c r="A29" s="11" t="s">
        <v>51</v>
      </c>
      <c r="C29" s="12" t="n">
        <f aca="false">C30+C34+C38+C42</f>
        <v>6631538.75114487</v>
      </c>
    </row>
    <row r="30" customFormat="false" ht="15" hidden="true" customHeight="true" outlineLevel="2" collapsed="false">
      <c r="A30" s="14" t="s">
        <v>52</v>
      </c>
      <c r="C30" s="12" t="n">
        <f aca="false">C31+C32+C33</f>
        <v>2047838.9005042</v>
      </c>
    </row>
    <row r="31" customFormat="false" ht="15" hidden="true" customHeight="true" outlineLevel="3" collapsed="false">
      <c r="A31" s="14" t="s">
        <v>53</v>
      </c>
      <c r="C31" s="15" t="n">
        <f aca="false">SUMIFS('Datos - Cartola Ago'!$D$4:$D$179,'Datos - Cartola Ago'!$C$4:$C$179,"sueldo_conductor",'Datos - Cartola Ago'!$E$4:$E$179,"*Madaria*")</f>
        <v>1254600</v>
      </c>
    </row>
    <row r="32" customFormat="false" ht="15" hidden="true" customHeight="true" outlineLevel="3" collapsed="false">
      <c r="A32" s="14" t="s">
        <v>54</v>
      </c>
      <c r="C32" s="15" t="n">
        <f aca="false">SUMIFS('Datos - Servicios Ago'!$G$4:$G$75,'Datos - Servicios Ago'!$I$4:$I$75,"*Madaria*")*Presupuesto!$B$6</f>
        <v>685238.900504202</v>
      </c>
    </row>
    <row r="33" customFormat="false" ht="15" hidden="true" customHeight="true" outlineLevel="3" collapsed="false">
      <c r="A33" s="14" t="s">
        <v>55</v>
      </c>
      <c r="C33" s="15" t="n">
        <f aca="false">Presupuesto!$B$7*SUMIFS('Datos - Servicios Ago'!$L$4:$L$75,'Datos - Servicios Ago'!$I$4:$I$75,"*Madaria*")</f>
        <v>108000</v>
      </c>
    </row>
    <row r="34" customFormat="false" ht="15" hidden="true" customHeight="true" outlineLevel="2" collapsed="false">
      <c r="A34" s="14" t="s">
        <v>56</v>
      </c>
      <c r="C34" s="12" t="n">
        <f aca="false">C35+C36+C37</f>
        <v>2378898.34084034</v>
      </c>
    </row>
    <row r="35" customFormat="false" ht="15" hidden="true" customHeight="true" outlineLevel="3" collapsed="false">
      <c r="A35" s="14" t="s">
        <v>53</v>
      </c>
      <c r="C35" s="15" t="n">
        <f aca="false">SUMIFS('Datos - Cartola Ago'!$D$4:$D$179,'Datos - Cartola Ago'!$C$4:$C$179,"sueldo_conductor",'Datos - Cartola Ago'!$E$4:$E$179,"*Manc*")</f>
        <v>1535100</v>
      </c>
    </row>
    <row r="36" customFormat="false" ht="15" hidden="true" customHeight="true" outlineLevel="3" collapsed="false">
      <c r="A36" s="14" t="s">
        <v>54</v>
      </c>
      <c r="C36" s="15" t="n">
        <f aca="false">SUMIFS('Datos - Servicios Ago'!$G$4:$G$75,'Datos - Servicios Ago'!$I$4:$I$75,"*Manc*")*Presupuesto!$B$6</f>
        <v>699798.340840336</v>
      </c>
    </row>
    <row r="37" customFormat="false" ht="15" hidden="true" customHeight="true" outlineLevel="3" collapsed="false">
      <c r="A37" s="14" t="s">
        <v>55</v>
      </c>
      <c r="C37" s="15" t="n">
        <f aca="false">Presupuesto!$B$7*SUMIFS('Datos - Servicios Ago'!$L$4:$L$75,'Datos - Servicios Ago'!$I$4:$I$75,"*Manc*")</f>
        <v>144000</v>
      </c>
    </row>
    <row r="38" customFormat="false" ht="15" hidden="true" customHeight="true" outlineLevel="2" collapsed="false">
      <c r="A38" s="14" t="s">
        <v>57</v>
      </c>
      <c r="C38" s="12" t="n">
        <f aca="false">C39+C40+C41</f>
        <v>2204801.50980034</v>
      </c>
    </row>
    <row r="39" customFormat="false" ht="15" hidden="true" customHeight="true" outlineLevel="3" collapsed="false">
      <c r="A39" s="14" t="s">
        <v>53</v>
      </c>
      <c r="C39" s="15" t="n">
        <f aca="false">SUMIFS('Datos - Cartola Ago'!$D$4:$D$179,'Datos - Cartola Ago'!$C$4:$C$179,"sueldo_conductor",'Datos - Cartola Ago'!$E$4:$E$179,"*Madrid*")</f>
        <v>1436000</v>
      </c>
    </row>
    <row r="40" customFormat="false" ht="15" hidden="true" customHeight="true" outlineLevel="3" collapsed="false">
      <c r="A40" s="14" t="s">
        <v>54</v>
      </c>
      <c r="C40" s="15" t="n">
        <f aca="false">SUMIFS('Datos - Servicios Ago'!$G$4:$G$75,'Datos - Servicios Ago'!$I$4:$I$75,"*Madrid*")*Presupuesto!$B$6</f>
        <v>576801.509800336</v>
      </c>
    </row>
    <row r="41" customFormat="false" ht="15" hidden="true" customHeight="true" outlineLevel="3" collapsed="false">
      <c r="A41" s="14" t="s">
        <v>55</v>
      </c>
      <c r="C41" s="15" t="n">
        <f aca="false">Presupuesto!$B$7*SUMIFS('Datos - Servicios Ago'!$L$4:$L$75,'Datos - Servicios Ago'!$I$4:$I$75,"*Madrid*")</f>
        <v>192000</v>
      </c>
    </row>
    <row r="42" customFormat="false" ht="15" hidden="true" customHeight="true" outlineLevel="2" collapsed="false">
      <c r="A42" s="14" t="s">
        <v>58</v>
      </c>
      <c r="C42" s="12" t="n">
        <f aca="false">C43+C44+C45</f>
        <v>0</v>
      </c>
    </row>
    <row r="43" customFormat="false" ht="15" hidden="true" customHeight="true" outlineLevel="3" collapsed="false">
      <c r="A43" s="14" t="s">
        <v>53</v>
      </c>
      <c r="C43" s="15" t="n">
        <f aca="false">SUMIFS('Datos - Cartola Ago'!$D$4:$D$179,'Datos - Cartola Ago'!$C$4:$C$179,"sueldo_conductor",'Datos - Cartola Ago'!$E$4:$E$179,"*Vidal*")</f>
        <v>0</v>
      </c>
    </row>
    <row r="44" customFormat="false" ht="15" hidden="true" customHeight="true" outlineLevel="3" collapsed="false">
      <c r="A44" s="14" t="s">
        <v>54</v>
      </c>
      <c r="C44" s="15" t="n">
        <f aca="false">SUMIFS('Datos - Servicios Ago'!$G$4:$G$75,'Datos - Servicios Ago'!$I$4:$I$75,"*Vidal*")*Presupuesto!$B$6</f>
        <v>0</v>
      </c>
    </row>
    <row r="45" customFormat="false" ht="15" hidden="true" customHeight="true" outlineLevel="3" collapsed="false">
      <c r="A45" s="14" t="s">
        <v>55</v>
      </c>
      <c r="C45" s="15" t="n">
        <f aca="false">Presupuesto!$B$7*SUMIFS('Datos - Servicios Ago'!$L$4:$L$75,'Datos - Servicios Ago'!$I$4:$I$75,"*Vidal*")</f>
        <v>0</v>
      </c>
    </row>
    <row r="46" customFormat="false" ht="15" hidden="true" customHeight="true" outlineLevel="1" collapsed="false">
      <c r="A46" s="11" t="s">
        <v>59</v>
      </c>
      <c r="C46" s="12" t="n">
        <f aca="false">C47+C48+C49+C50+C51</f>
        <v>0</v>
      </c>
    </row>
    <row r="47" customFormat="false" ht="15" hidden="true" customHeight="true" outlineLevel="2" collapsed="false">
      <c r="A47" s="14" t="s">
        <v>30</v>
      </c>
      <c r="C47" s="15" t="n">
        <f aca="false">SUMIFS('Datos - Cartola Ago'!$D$4:$D$179,'Datos - Cartola Ago'!$C$4:$C$179,"mantencion",'Datos - Cartola Ago'!$B$4:$B$179,"egreso",'Datos - Cartola Ago'!$F$4:$F$179,A47)/Presupuesto!$B$21</f>
        <v>0</v>
      </c>
    </row>
    <row r="48" customFormat="false" ht="15" hidden="true" customHeight="true" outlineLevel="2" collapsed="false">
      <c r="A48" s="14" t="s">
        <v>31</v>
      </c>
      <c r="C48" s="15" t="n">
        <f aca="false">SUMIFS('Datos - Cartola Ago'!$D$4:$D$179,'Datos - Cartola Ago'!$C$4:$C$179,"mantencion",'Datos - Cartola Ago'!$B$4:$B$179,"egreso",'Datos - Cartola Ago'!$F$4:$F$179,A48)/Presupuesto!$B$21</f>
        <v>0</v>
      </c>
    </row>
    <row r="49" customFormat="false" ht="15" hidden="true" customHeight="true" outlineLevel="2" collapsed="false">
      <c r="A49" s="14" t="s">
        <v>32</v>
      </c>
      <c r="C49" s="15" t="n">
        <f aca="false">SUMIFS('Datos - Cartola Ago'!$D$4:$D$179,'Datos - Cartola Ago'!$C$4:$C$179,"mantencion",'Datos - Cartola Ago'!$B$4:$B$179,"egreso",'Datos - Cartola Ago'!$F$4:$F$179,A49)/Presupuesto!$B$21</f>
        <v>0</v>
      </c>
    </row>
    <row r="50" customFormat="false" ht="15" hidden="true" customHeight="true" outlineLevel="2" collapsed="false">
      <c r="A50" s="14" t="s">
        <v>33</v>
      </c>
      <c r="C50" s="15" t="n">
        <f aca="false">SUMIFS('Datos - Cartola Ago'!$D$4:$D$179,'Datos - Cartola Ago'!$C$4:$C$179,"mantencion",'Datos - Cartola Ago'!$B$4:$B$179,"egreso",'Datos - Cartola Ago'!$F$4:$F$179,A50)/Presupuesto!$B$21</f>
        <v>0</v>
      </c>
    </row>
    <row r="51" customFormat="false" ht="15" hidden="true" customHeight="true" outlineLevel="2" collapsed="false">
      <c r="A51" s="14" t="s">
        <v>34</v>
      </c>
      <c r="C51" s="15" t="n">
        <f aca="false">SUMIFS('Datos - Cartola Ago'!$D$4:$D$179,'Datos - Cartola Ago'!$C$4:$C$179,"mantencion",'Datos - Cartola Ago'!$B$4:$B$179,"egreso",'Datos - Cartola Ago'!$F$4:$F$179,A51)/Presupuesto!$B$21</f>
        <v>0</v>
      </c>
    </row>
    <row r="52" customFormat="false" ht="15" hidden="true" customHeight="true" outlineLevel="1" collapsed="false">
      <c r="A52" s="11" t="s">
        <v>60</v>
      </c>
      <c r="C52" s="12" t="n">
        <f aca="false">C53</f>
        <v>4222410</v>
      </c>
    </row>
    <row r="53" customFormat="false" ht="15" hidden="true" customHeight="true" outlineLevel="2" collapsed="false">
      <c r="A53" s="14" t="s">
        <v>61</v>
      </c>
      <c r="C53" s="15" t="n">
        <f aca="false">SUMIFS('Datos - Cartola Ago'!$D$4:$D$179,'Datos - Cartola Ago'!$C$4:$C$179,"otro",'Datos - Cartola Ago'!$B$4:$B$179,"egreso")+SUMIFS('Datos - Cartola Ago'!$D$4:$D$179,'Datos - Cartola Ago'!$C$4:$C$179,"otro_por_clasificar",'Datos - Cartola Ago'!$B$4:$B$179,"egreso")</f>
        <v>4222410</v>
      </c>
    </row>
    <row r="54" customFormat="false" ht="15" hidden="false" customHeight="true" outlineLevel="0" collapsed="false"/>
    <row r="55" customFormat="false" ht="15" hidden="false" customHeight="true" outlineLevel="0" collapsed="false">
      <c r="A55" s="18" t="s">
        <v>62</v>
      </c>
      <c r="C55" s="19" t="n">
        <f aca="false">C6-C15</f>
        <v>6848292.60148538</v>
      </c>
    </row>
    <row r="56" customFormat="false" ht="15" hidden="false" customHeight="true" outlineLevel="0" collapsed="false">
      <c r="A56" s="18" t="s">
        <v>63</v>
      </c>
      <c r="C56" s="20" t="n">
        <f aca="false">C55/C6</f>
        <v>0.245640647144961</v>
      </c>
    </row>
    <row r="57" customFormat="false" ht="15" hidden="false" customHeight="true" outlineLevel="0" collapsed="false"/>
    <row r="58" customFormat="false" ht="15" hidden="false" customHeight="true" outlineLevel="0" collapsed="false">
      <c r="A58" s="21" t="s">
        <v>64</v>
      </c>
      <c r="C58" s="22" t="n">
        <f aca="false">C6-C18+C27-C28-(C32+C36+C40+C44)-(C33+C37+C41+C45)-C48-C131</f>
        <v>15296402.6014854</v>
      </c>
    </row>
    <row r="59" customFormat="false" ht="15" hidden="false" customHeight="true" outlineLevel="0" collapsed="false">
      <c r="A59" s="21" t="s">
        <v>65</v>
      </c>
      <c r="C59" s="23" t="n">
        <f aca="false">C58/C6</f>
        <v>0.548664966973485</v>
      </c>
    </row>
    <row r="60" customFormat="false" ht="15" hidden="false" customHeight="true" outlineLevel="0" collapsed="false">
      <c r="A60" s="21" t="s">
        <v>66</v>
      </c>
      <c r="C60" s="24" t="n">
        <v>710011</v>
      </c>
    </row>
    <row r="61" customFormat="false" ht="15" hidden="false" customHeight="true" outlineLevel="0" collapsed="false">
      <c r="A61" s="18" t="s">
        <v>67</v>
      </c>
      <c r="C61" s="19" t="n">
        <f aca="false">C55-C60</f>
        <v>6138281.60148538</v>
      </c>
    </row>
    <row r="62" customFormat="false" ht="15" hidden="false" customHeight="true" outlineLevel="0" collapsed="false">
      <c r="A62" s="18" t="s">
        <v>68</v>
      </c>
      <c r="C62" s="20" t="n">
        <f aca="false">C61/C6</f>
        <v>0.220173341398969</v>
      </c>
    </row>
    <row r="63" customFormat="false" ht="15" hidden="false" customHeight="true" outlineLevel="0" collapsed="false">
      <c r="A63" s="21" t="s">
        <v>69</v>
      </c>
      <c r="C63" s="22" t="n">
        <f aca="false">C55</f>
        <v>6848292.60148538</v>
      </c>
    </row>
    <row r="64" customFormat="false" ht="15" hidden="false" customHeight="true" outlineLevel="0" collapsed="false">
      <c r="A64" s="21" t="s">
        <v>70</v>
      </c>
      <c r="C64" s="23" t="n">
        <f aca="false">C63/C6</f>
        <v>0.245640647144961</v>
      </c>
    </row>
    <row r="65" customFormat="false" ht="15" hidden="false" customHeight="true" outlineLevel="0" collapsed="false"/>
    <row r="66" customFormat="false" ht="15" hidden="false" customHeight="true" outlineLevel="0" collapsed="false">
      <c r="A66" s="11" t="s">
        <v>71</v>
      </c>
    </row>
    <row r="67" customFormat="false" ht="15" hidden="true" customHeight="true" outlineLevel="2" collapsed="false">
      <c r="A67" s="14" t="s">
        <v>72</v>
      </c>
      <c r="C67" s="15" t="n">
        <f aca="false">Presupuesto!$B$8</f>
        <v>1500000</v>
      </c>
    </row>
    <row r="68" customFormat="false" ht="15" hidden="true" customHeight="true" outlineLevel="2" collapsed="false">
      <c r="A68" s="14" t="s">
        <v>73</v>
      </c>
      <c r="C68" s="15" t="n">
        <f aca="false">Presupuesto!$B$9</f>
        <v>900000</v>
      </c>
    </row>
    <row r="69" customFormat="false" ht="15" hidden="true" customHeight="true" outlineLevel="2" collapsed="false">
      <c r="A69" s="14" t="s">
        <v>74</v>
      </c>
      <c r="C69" s="15" t="n">
        <f aca="false">Presupuesto!$B$10</f>
        <v>500000</v>
      </c>
    </row>
    <row r="70" customFormat="false" ht="15" hidden="true" customHeight="true" outlineLevel="2" collapsed="false">
      <c r="A70" s="14" t="s">
        <v>75</v>
      </c>
      <c r="C70" s="15" t="n">
        <f aca="false">Presupuesto!$B$11</f>
        <v>450000</v>
      </c>
    </row>
    <row r="71" customFormat="false" ht="15" hidden="true" customHeight="true" outlineLevel="2" collapsed="false">
      <c r="A71" s="14" t="s">
        <v>76</v>
      </c>
      <c r="C71" s="15" t="n">
        <f aca="false">Presupuesto!$B$12</f>
        <v>50000</v>
      </c>
    </row>
    <row r="72" customFormat="false" ht="15" hidden="true" customHeight="true" outlineLevel="2" collapsed="false">
      <c r="A72" s="14" t="s">
        <v>77</v>
      </c>
      <c r="C72" s="15" t="n">
        <f aca="false">Presupuesto!$B$13</f>
        <v>100000</v>
      </c>
    </row>
    <row r="73" customFormat="false" ht="15" hidden="true" customHeight="true" outlineLevel="2" collapsed="false">
      <c r="A73" s="14" t="s">
        <v>78</v>
      </c>
      <c r="C73" s="15" t="n">
        <f aca="false">Presupuesto!$B$14</f>
        <v>0</v>
      </c>
    </row>
    <row r="74" customFormat="false" ht="15" hidden="true" customHeight="true" outlineLevel="2" collapsed="false">
      <c r="A74" s="14" t="s">
        <v>79</v>
      </c>
      <c r="C74" s="15" t="n">
        <f aca="false">Presupuesto!$B$15</f>
        <v>0</v>
      </c>
    </row>
    <row r="75" customFormat="false" ht="15" hidden="true" customHeight="true" outlineLevel="2" collapsed="false">
      <c r="A75" s="14" t="s">
        <v>80</v>
      </c>
      <c r="C75" s="15" t="n">
        <f aca="false">Presupuesto!$B$5</f>
        <v>660000</v>
      </c>
    </row>
    <row r="76" customFormat="false" ht="15" hidden="true" customHeight="true" outlineLevel="2" collapsed="false">
      <c r="A76" s="14" t="s">
        <v>81</v>
      </c>
      <c r="C76" s="15" t="n">
        <f aca="false">Presupuesto!$B$5</f>
        <v>660000</v>
      </c>
    </row>
    <row r="77" customFormat="false" ht="15" hidden="true" customHeight="true" outlineLevel="2" collapsed="false">
      <c r="A77" s="14" t="s">
        <v>82</v>
      </c>
      <c r="C77" s="15" t="n">
        <f aca="false">Presupuesto!$B$5</f>
        <v>660000</v>
      </c>
    </row>
    <row r="78" customFormat="false" ht="15" hidden="true" customHeight="true" outlineLevel="2" collapsed="false">
      <c r="A78" s="14" t="s">
        <v>83</v>
      </c>
      <c r="C78" s="15" t="n">
        <f aca="false">Presupuesto!$B$5</f>
        <v>660000</v>
      </c>
    </row>
    <row r="79" customFormat="false" ht="15" hidden="true" customHeight="true" outlineLevel="1" collapsed="false">
      <c r="A79" s="11" t="s">
        <v>84</v>
      </c>
      <c r="C79" s="12" t="n">
        <f aca="false">C67+C68+C69+C70+C71+C72+C73+C74+C75+C76+C77+C78</f>
        <v>6140000</v>
      </c>
    </row>
    <row r="80" customFormat="false" ht="15" hidden="false" customHeight="true" outlineLevel="0" collapsed="false">
      <c r="A80" s="25"/>
      <c r="B80" s="25"/>
      <c r="C80" s="25"/>
    </row>
    <row r="81" customFormat="false" ht="15" hidden="false" customHeight="true" outlineLevel="0" collapsed="false">
      <c r="A81" s="26" t="s">
        <v>85</v>
      </c>
    </row>
    <row r="82" customFormat="false" ht="15" hidden="true" customHeight="true" outlineLevel="1" collapsed="false">
      <c r="A82" s="13" t="s">
        <v>86</v>
      </c>
    </row>
    <row r="83" customFormat="false" ht="15" hidden="true" customHeight="true" outlineLevel="2" collapsed="false">
      <c r="A83" s="14" t="s">
        <v>87</v>
      </c>
    </row>
    <row r="84" customFormat="false" ht="15" hidden="true" customHeight="true" outlineLevel="2" collapsed="false">
      <c r="A84" s="14" t="s">
        <v>88</v>
      </c>
    </row>
    <row r="85" customFormat="false" ht="15" hidden="false" customHeight="true" outlineLevel="0" collapsed="false">
      <c r="A85" s="21" t="s">
        <v>89</v>
      </c>
      <c r="C85" s="22" t="n">
        <f aca="false">C79</f>
        <v>6140000</v>
      </c>
    </row>
    <row r="86" customFormat="false" ht="15" hidden="false" customHeight="true" outlineLevel="0" collapsed="false">
      <c r="A86" s="21" t="s">
        <v>90</v>
      </c>
      <c r="C86" s="23" t="n">
        <f aca="false">C59</f>
        <v>0.548664966973485</v>
      </c>
    </row>
    <row r="87" customFormat="false" ht="15" hidden="false" customHeight="true" outlineLevel="0" collapsed="false">
      <c r="A87" s="18" t="s">
        <v>91</v>
      </c>
      <c r="C87" s="19" t="n">
        <f aca="false">C79/C86</f>
        <v>11190800.1596478</v>
      </c>
    </row>
    <row r="88" customFormat="false" ht="15" hidden="false" customHeight="true" outlineLevel="0" collapsed="false">
      <c r="A88" s="21" t="s">
        <v>92</v>
      </c>
      <c r="C88" s="12" t="n">
        <f aca="false">C6-C87</f>
        <v>16688513.3052934</v>
      </c>
    </row>
    <row r="89" customFormat="false" ht="15" hidden="false" customHeight="true" outlineLevel="0" collapsed="false">
      <c r="A89" s="25"/>
      <c r="B89" s="25"/>
      <c r="C89" s="25"/>
    </row>
    <row r="90" customFormat="false" ht="15" hidden="false" customHeight="true" outlineLevel="0" collapsed="false">
      <c r="A90" s="26" t="s">
        <v>93</v>
      </c>
    </row>
    <row r="91" customFormat="false" ht="15" hidden="false" customHeight="true" outlineLevel="0" collapsed="false">
      <c r="A91" s="21" t="s">
        <v>94</v>
      </c>
      <c r="C91" s="12" t="n">
        <f aca="false">SUMIFS('Datos - Cartola Ago'!$D$4:$D$179,'Datos - Cartola Ago'!$B$4:$B$179,"ingreso")</f>
        <v>24602219</v>
      </c>
    </row>
    <row r="92" customFormat="false" ht="15" hidden="false" customHeight="true" outlineLevel="0" collapsed="false">
      <c r="A92" s="21" t="s">
        <v>95</v>
      </c>
      <c r="C92" s="12" t="n">
        <f aca="false">SUMIFS('Datos - Cartola Ago'!$D$4:$D$179,'Datos - Cartola Ago'!$B$4:$B$179,"egreso")</f>
        <v>28751248</v>
      </c>
    </row>
    <row r="93" customFormat="false" ht="15" hidden="false" customHeight="true" outlineLevel="0" collapsed="false">
      <c r="A93" s="18" t="s">
        <v>96</v>
      </c>
      <c r="C93" s="19" t="n">
        <f aca="false">C91-C92</f>
        <v>-4149029</v>
      </c>
    </row>
    <row r="94" customFormat="false" ht="15" hidden="false" customHeight="true" outlineLevel="0" collapsed="false"/>
    <row r="95" customFormat="false" ht="15" hidden="false" customHeight="true" outlineLevel="0" collapsed="false">
      <c r="A95" s="21" t="s">
        <v>97</v>
      </c>
      <c r="C95" s="24" t="n">
        <v>0</v>
      </c>
    </row>
    <row r="96" customFormat="false" ht="15" hidden="false" customHeight="true" outlineLevel="0" collapsed="false">
      <c r="A96" s="25"/>
      <c r="B96" s="25"/>
      <c r="C96" s="25"/>
    </row>
    <row r="97" customFormat="false" ht="15" hidden="false" customHeight="true" outlineLevel="0" collapsed="false">
      <c r="A97" s="27" t="s">
        <v>98</v>
      </c>
    </row>
  </sheetData>
  <mergeCells count="6">
    <mergeCell ref="A1:C1"/>
    <mergeCell ref="A2:C2"/>
    <mergeCell ref="A5:C5"/>
    <mergeCell ref="A80:C80"/>
    <mergeCell ref="A89:C89"/>
    <mergeCell ref="A96:C9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36"/>
  </cols>
  <sheetData>
    <row r="1" customFormat="false" ht="17.25" hidden="false" customHeight="true" outlineLevel="0" collapsed="false">
      <c r="A1" s="2" t="s">
        <v>99</v>
      </c>
      <c r="B1" s="2"/>
      <c r="C1" s="2"/>
    </row>
    <row r="4" customFormat="false" ht="15" hidden="false" customHeight="true" outlineLevel="0" collapsed="false">
      <c r="A4" s="10" t="s">
        <v>100</v>
      </c>
      <c r="B4" s="10"/>
      <c r="C4" s="10"/>
    </row>
    <row r="5" customFormat="false" ht="15" hidden="false" customHeight="true" outlineLevel="0" collapsed="false">
      <c r="A5" s="28" t="s">
        <v>101</v>
      </c>
      <c r="B5" s="28" t="s">
        <v>102</v>
      </c>
      <c r="C5" s="28" t="s">
        <v>103</v>
      </c>
    </row>
    <row r="6" customFormat="false" ht="15" hidden="false" customHeight="true" outlineLevel="0" collapsed="false">
      <c r="A6" s="21" t="s">
        <v>104</v>
      </c>
      <c r="B6" s="22" t="n">
        <v>22906855</v>
      </c>
      <c r="C6" s="23" t="n">
        <f aca="false">B6/$B$14</f>
        <v>0.645910122646158</v>
      </c>
    </row>
    <row r="7" customFormat="false" ht="15" hidden="false" customHeight="true" outlineLevel="0" collapsed="false">
      <c r="A7" s="21" t="s">
        <v>105</v>
      </c>
      <c r="B7" s="22" t="n">
        <v>3614314</v>
      </c>
      <c r="C7" s="23" t="n">
        <f aca="false">B7/$B$14</f>
        <v>0.101913684747283</v>
      </c>
    </row>
    <row r="8" customFormat="false" ht="15" hidden="false" customHeight="true" outlineLevel="0" collapsed="false">
      <c r="A8" s="21" t="s">
        <v>106</v>
      </c>
      <c r="B8" s="22" t="n">
        <v>3600000</v>
      </c>
      <c r="C8" s="23" t="n">
        <f aca="false">B8/$B$14</f>
        <v>0.101510069432324</v>
      </c>
    </row>
    <row r="9" customFormat="false" ht="15" hidden="false" customHeight="true" outlineLevel="0" collapsed="false">
      <c r="A9" s="21" t="s">
        <v>107</v>
      </c>
      <c r="B9" s="22" t="n">
        <v>2249100</v>
      </c>
      <c r="C9" s="23" t="n">
        <f aca="false">B9/$B$14</f>
        <v>0.0634184158778441</v>
      </c>
    </row>
    <row r="10" customFormat="false" ht="15" hidden="false" customHeight="true" outlineLevel="0" collapsed="false">
      <c r="A10" s="21" t="s">
        <v>108</v>
      </c>
      <c r="B10" s="22" t="n">
        <v>1080000</v>
      </c>
      <c r="C10" s="23" t="n">
        <f aca="false">B10/$B$14</f>
        <v>0.0304530208296971</v>
      </c>
    </row>
    <row r="11" customFormat="false" ht="15" hidden="false" customHeight="true" outlineLevel="0" collapsed="false">
      <c r="A11" s="21" t="s">
        <v>109</v>
      </c>
      <c r="B11" s="22" t="n">
        <v>817893</v>
      </c>
      <c r="C11" s="23" t="n">
        <f aca="false">B11/$B$14</f>
        <v>0.0230623264495032</v>
      </c>
    </row>
    <row r="12" customFormat="false" ht="15" hidden="false" customHeight="true" outlineLevel="0" collapsed="false">
      <c r="A12" s="21" t="s">
        <v>110</v>
      </c>
      <c r="B12" s="22" t="n">
        <v>779800</v>
      </c>
      <c r="C12" s="23" t="n">
        <f aca="false">B12/$B$14</f>
        <v>0.0219882089287016</v>
      </c>
    </row>
    <row r="13" customFormat="false" ht="15" hidden="false" customHeight="true" outlineLevel="0" collapsed="false">
      <c r="A13" s="21" t="s">
        <v>111</v>
      </c>
      <c r="B13" s="22" t="n">
        <v>416500</v>
      </c>
      <c r="C13" s="23" t="n">
        <f aca="false">B13/$B$14</f>
        <v>0.0117441510884897</v>
      </c>
    </row>
    <row r="14" customFormat="false" ht="15" hidden="false" customHeight="true" outlineLevel="0" collapsed="false">
      <c r="A14" s="11" t="s">
        <v>112</v>
      </c>
      <c r="B14" s="12" t="n">
        <f aca="false">SUM(B6:B13)</f>
        <v>35464462</v>
      </c>
    </row>
    <row r="16" customFormat="false" ht="15" hidden="false" customHeight="true" outlineLevel="0" collapsed="false">
      <c r="A16" s="29" t="s">
        <v>113</v>
      </c>
      <c r="B16" s="29"/>
      <c r="C16" s="29"/>
    </row>
    <row r="18" customFormat="false" ht="15" hidden="false" customHeight="true" outlineLevel="0" collapsed="false">
      <c r="A18" s="10" t="s">
        <v>114</v>
      </c>
      <c r="B18" s="10"/>
      <c r="C18" s="10"/>
      <c r="D18" s="10"/>
      <c r="E18" s="10"/>
    </row>
    <row r="19" customFormat="false" ht="15" hidden="false" customHeight="true" outlineLevel="0" collapsed="false">
      <c r="A19" s="28" t="s">
        <v>101</v>
      </c>
      <c r="B19" s="28" t="s">
        <v>115</v>
      </c>
      <c r="C19" s="28" t="s">
        <v>116</v>
      </c>
    </row>
    <row r="20" customFormat="false" ht="15" hidden="false" customHeight="true" outlineLevel="0" collapsed="false">
      <c r="A20" s="21" t="s">
        <v>117</v>
      </c>
      <c r="B20" s="21" t="s">
        <v>118</v>
      </c>
      <c r="C20" s="21" t="n">
        <v>5</v>
      </c>
    </row>
    <row r="21" customFormat="false" ht="15" hidden="false" customHeight="true" outlineLevel="0" collapsed="false">
      <c r="A21" s="21" t="s">
        <v>119</v>
      </c>
      <c r="B21" s="21" t="s">
        <v>120</v>
      </c>
      <c r="C21" s="21" t="n">
        <v>5</v>
      </c>
    </row>
    <row r="22" customFormat="false" ht="15" hidden="false" customHeight="true" outlineLevel="0" collapsed="false">
      <c r="A22" s="21" t="s">
        <v>121</v>
      </c>
      <c r="B22" s="21" t="s">
        <v>122</v>
      </c>
      <c r="C22" s="21" t="n">
        <v>3</v>
      </c>
    </row>
    <row r="23" customFormat="false" ht="15" hidden="false" customHeight="true" outlineLevel="0" collapsed="false">
      <c r="A23" s="21" t="s">
        <v>107</v>
      </c>
      <c r="B23" s="21" t="s">
        <v>123</v>
      </c>
      <c r="C23" s="21" t="n">
        <v>3</v>
      </c>
    </row>
    <row r="24" customFormat="false" ht="15" hidden="false" customHeight="true" outlineLevel="0" collapsed="false">
      <c r="A24" s="21" t="s">
        <v>108</v>
      </c>
      <c r="B24" s="21" t="s">
        <v>124</v>
      </c>
      <c r="C24" s="21" t="n">
        <v>1</v>
      </c>
    </row>
    <row r="25" customFormat="false" ht="15" hidden="false" customHeight="true" outlineLevel="0" collapsed="false">
      <c r="A25" s="21" t="s">
        <v>109</v>
      </c>
      <c r="B25" s="21" t="s">
        <v>124</v>
      </c>
      <c r="C25" s="21" t="n">
        <v>1</v>
      </c>
    </row>
    <row r="26" customFormat="false" ht="15" hidden="false" customHeight="true" outlineLevel="0" collapsed="false">
      <c r="A26" s="21" t="s">
        <v>125</v>
      </c>
      <c r="B26" s="21" t="s">
        <v>126</v>
      </c>
      <c r="C26" s="21" t="n">
        <v>2</v>
      </c>
    </row>
    <row r="28" customFormat="false" ht="15" hidden="false" customHeight="true" outlineLevel="0" collapsed="false">
      <c r="A28" s="10" t="s">
        <v>127</v>
      </c>
      <c r="B28" s="10"/>
      <c r="C28" s="10"/>
    </row>
    <row r="29" customFormat="false" ht="15" hidden="false" customHeight="true" outlineLevel="0" collapsed="false">
      <c r="A29" s="21" t="s">
        <v>128</v>
      </c>
      <c r="B29" s="11" t="n">
        <v>8</v>
      </c>
    </row>
    <row r="30" customFormat="false" ht="15" hidden="false" customHeight="true" outlineLevel="0" collapsed="false">
      <c r="A30" s="21" t="s">
        <v>129</v>
      </c>
      <c r="B30" s="11" t="s">
        <v>130</v>
      </c>
    </row>
    <row r="31" customFormat="false" ht="15" hidden="false" customHeight="true" outlineLevel="0" collapsed="false">
      <c r="A31" s="21" t="s">
        <v>131</v>
      </c>
      <c r="B31" s="30" t="n">
        <f aca="false">B6/B14</f>
        <v>0.645910122646158</v>
      </c>
    </row>
  </sheetData>
  <mergeCells count="5">
    <mergeCell ref="A1:C1"/>
    <mergeCell ref="A4:C4"/>
    <mergeCell ref="A16:C16"/>
    <mergeCell ref="A18:E18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5" min="5" style="1" width="12"/>
  </cols>
  <sheetData>
    <row r="1" customFormat="false" ht="17.25" hidden="false" customHeight="true" outlineLevel="0" collapsed="false">
      <c r="A1" s="2" t="s">
        <v>132</v>
      </c>
      <c r="B1" s="2"/>
      <c r="C1" s="2"/>
      <c r="D1" s="2"/>
      <c r="E1" s="2"/>
    </row>
    <row r="4" customFormat="false" ht="15" hidden="false" customHeight="true" outlineLevel="0" collapsed="false">
      <c r="A4" s="10" t="s">
        <v>133</v>
      </c>
      <c r="B4" s="10"/>
      <c r="C4" s="10"/>
      <c r="D4" s="10"/>
      <c r="E4" s="10"/>
    </row>
    <row r="5" customFormat="false" ht="15" hidden="false" customHeight="true" outlineLevel="0" collapsed="false">
      <c r="A5" s="3" t="s">
        <v>134</v>
      </c>
      <c r="B5" s="3" t="s">
        <v>135</v>
      </c>
      <c r="C5" s="3" t="s">
        <v>136</v>
      </c>
      <c r="D5" s="3" t="s">
        <v>137</v>
      </c>
      <c r="E5" s="3" t="s">
        <v>138</v>
      </c>
    </row>
    <row r="6" customFormat="false" ht="15" hidden="false" customHeight="true" outlineLevel="0" collapsed="false">
      <c r="A6" s="31" t="str">
        <f aca="false">'Datos - Combustible y GPS Ago'!A4</f>
        <v>DVDS36</v>
      </c>
      <c r="B6" s="31" t="str">
        <f aca="false">'Datos - Combustible y GPS Ago'!B4</f>
        <v>Camión</v>
      </c>
      <c r="C6" s="32" t="n">
        <f aca="false">'Datos - Combustible y GPS Ago'!C4</f>
        <v>1150.1</v>
      </c>
      <c r="D6" s="33" t="n">
        <f aca="false">'Datos - Combustible y GPS Ago'!D4</f>
        <v>1409841</v>
      </c>
      <c r="E6" s="34" t="n">
        <f aca="false">D6/SUM('Datos - Combustible y GPS Ago'!D4:D10)</f>
        <v>0.113576729128829</v>
      </c>
    </row>
    <row r="7" customFormat="false" ht="15" hidden="false" customHeight="true" outlineLevel="0" collapsed="false">
      <c r="A7" s="31" t="str">
        <f aca="false">'Datos - Combustible y GPS Ago'!A5</f>
        <v>GCFF12</v>
      </c>
      <c r="B7" s="31" t="str">
        <f aca="false">'Datos - Combustible y GPS Ago'!B5</f>
        <v>Camión</v>
      </c>
      <c r="C7" s="32" t="n">
        <f aca="false">'Datos - Combustible y GPS Ago'!C5</f>
        <v>3031.3</v>
      </c>
      <c r="D7" s="33" t="n">
        <f aca="false">'Datos - Combustible y GPS Ago'!D5</f>
        <v>3736980</v>
      </c>
      <c r="E7" s="34" t="n">
        <f aca="false">D7/SUM('Datos - Combustible y GPS Ago'!D4:D10)</f>
        <v>0.301050944907866</v>
      </c>
    </row>
    <row r="8" customFormat="false" ht="15" hidden="false" customHeight="true" outlineLevel="0" collapsed="false">
      <c r="A8" s="31" t="str">
        <f aca="false">'Datos - Combustible y GPS Ago'!A6</f>
        <v>GKFD84</v>
      </c>
      <c r="B8" s="31" t="str">
        <f aca="false">'Datos - Combustible y GPS Ago'!B6</f>
        <v>Camión</v>
      </c>
      <c r="C8" s="32" t="n">
        <f aca="false">'Datos - Combustible y GPS Ago'!C6</f>
        <v>2987</v>
      </c>
      <c r="D8" s="33" t="n">
        <f aca="false">'Datos - Combustible y GPS Ago'!D6</f>
        <v>3663449</v>
      </c>
      <c r="E8" s="34" t="n">
        <f aca="false">D8/SUM('Datos - Combustible y GPS Ago'!D4:D10)</f>
        <v>0.295127290772703</v>
      </c>
    </row>
    <row r="9" customFormat="false" ht="15" hidden="false" customHeight="true" outlineLevel="0" collapsed="false">
      <c r="A9" s="31" t="str">
        <f aca="false">'Datos - Combustible y GPS Ago'!A7</f>
        <v>KSRC78</v>
      </c>
      <c r="B9" s="31" t="str">
        <f aca="false">'Datos - Combustible y GPS Ago'!B7</f>
        <v>Camioneta</v>
      </c>
      <c r="C9" s="32" t="n">
        <f aca="false">'Datos - Combustible y GPS Ago'!C7</f>
        <v>714.8</v>
      </c>
      <c r="D9" s="33" t="n">
        <f aca="false">'Datos - Combustible y GPS Ago'!D7</f>
        <v>907953</v>
      </c>
      <c r="E9" s="34" t="n">
        <f aca="false">D9/SUM('Datos - Combustible y GPS Ago'!D4:D10)</f>
        <v>0.0731446538600504</v>
      </c>
    </row>
    <row r="10" customFormat="false" ht="15" hidden="false" customHeight="true" outlineLevel="0" collapsed="false">
      <c r="A10" s="31" t="str">
        <f aca="false">'Datos - Combustible y GPS Ago'!A8</f>
        <v>WR9192</v>
      </c>
      <c r="B10" s="31" t="str">
        <f aca="false">'Datos - Combustible y GPS Ago'!B8</f>
        <v>Camión</v>
      </c>
      <c r="C10" s="32" t="n">
        <f aca="false">'Datos - Combustible y GPS Ago'!C8</f>
        <v>1558.6</v>
      </c>
      <c r="D10" s="33" t="n">
        <f aca="false">'Datos - Combustible y GPS Ago'!D8</f>
        <v>1973411</v>
      </c>
      <c r="E10" s="34" t="n">
        <f aca="false">D10/SUM('Datos - Combustible y GPS Ago'!D4:D10)</f>
        <v>0.158977903612429</v>
      </c>
    </row>
    <row r="11" customFormat="false" ht="15" hidden="false" customHeight="true" outlineLevel="0" collapsed="false">
      <c r="A11" s="31" t="str">
        <f aca="false">'Datos - Combustible y GPS Ago'!A9</f>
        <v>XR8555</v>
      </c>
      <c r="B11" s="31" t="str">
        <f aca="false">'Datos - Combustible y GPS Ago'!B9</f>
        <v>Camión</v>
      </c>
      <c r="C11" s="32" t="n">
        <f aca="false">'Datos - Combustible y GPS Ago'!C9</f>
        <v>523.1</v>
      </c>
      <c r="D11" s="33" t="n">
        <f aca="false">'Datos - Combustible y GPS Ago'!D9</f>
        <v>623347</v>
      </c>
      <c r="E11" s="34" t="n">
        <f aca="false">D11/SUM('Datos - Combustible y GPS Ago'!D4:D10)</f>
        <v>0.0502168069819703</v>
      </c>
    </row>
    <row r="12" customFormat="false" ht="15" hidden="false" customHeight="true" outlineLevel="0" collapsed="false">
      <c r="A12" s="31" t="str">
        <f aca="false">'Datos - Combustible y GPS Ago'!A10</f>
        <v>JYJV21</v>
      </c>
      <c r="B12" s="31" t="str">
        <f aca="false">'Datos - Combustible y GPS Ago'!B10</f>
        <v>Camioneta</v>
      </c>
      <c r="C12" s="32" t="n">
        <f aca="false">'Datos - Combustible y GPS Ago'!C10</f>
        <v>77.4</v>
      </c>
      <c r="D12" s="33" t="n">
        <f aca="false">'Datos - Combustible y GPS Ago'!D10</f>
        <v>98134</v>
      </c>
      <c r="E12" s="34" t="n">
        <f aca="false">D12/SUM('Datos - Combustible y GPS Ago'!D4:D10)</f>
        <v>0.00790567073615285</v>
      </c>
    </row>
    <row r="14" customFormat="false" ht="15" hidden="false" customHeight="true" outlineLevel="0" collapsed="false">
      <c r="A14" s="10" t="s">
        <v>139</v>
      </c>
      <c r="B14" s="10"/>
      <c r="C14" s="10"/>
      <c r="D14" s="10"/>
      <c r="E14" s="10"/>
    </row>
    <row r="15" customFormat="false" ht="23.25" hidden="false" customHeight="true" outlineLevel="0" collapsed="false">
      <c r="A15" s="3" t="s">
        <v>134</v>
      </c>
      <c r="B15" s="3" t="s">
        <v>136</v>
      </c>
      <c r="C15" s="3" t="s">
        <v>140</v>
      </c>
      <c r="D15" s="3" t="s">
        <v>141</v>
      </c>
    </row>
    <row r="16" customFormat="false" ht="15" hidden="false" customHeight="true" outlineLevel="0" collapsed="false">
      <c r="A16" s="31" t="str">
        <f aca="false">IF('Datos - Combustible y GPS Ago'!B4="Camión",'Datos - Combustible y GPS Ago'!A4,"")</f>
        <v>DVDS36</v>
      </c>
      <c r="B16" s="32" t="n">
        <f aca="false">IF('Datos - Combustible y GPS Ago'!B4="Camión",'Datos - Combustible y GPS Ago'!C4,"")</f>
        <v>1150.1</v>
      </c>
      <c r="C16" s="32" t="n">
        <f aca="false">IF(AND('Datos - Combustible y GPS Ago'!B4="Camión",ISNUMBER('Datos - Combustible y GPS Ago'!E4)),'Datos - Combustible y GPS Ago'!E4,"")</f>
        <v>4373.267</v>
      </c>
      <c r="D16" s="35" t="n">
        <f aca="false">IFERROR(C16/B16,"")</f>
        <v>3.80251021650291</v>
      </c>
    </row>
    <row r="17" customFormat="false" ht="15" hidden="false" customHeight="true" outlineLevel="0" collapsed="false">
      <c r="A17" s="31" t="str">
        <f aca="false">IF('Datos - Combustible y GPS Ago'!B5="Camión",'Datos - Combustible y GPS Ago'!A5,"")</f>
        <v>GCFF12</v>
      </c>
      <c r="B17" s="32" t="n">
        <f aca="false">IF('Datos - Combustible y GPS Ago'!B5="Camión",'Datos - Combustible y GPS Ago'!C5,"")</f>
        <v>3031.3</v>
      </c>
      <c r="C17" s="32" t="n">
        <f aca="false">IF(AND('Datos - Combustible y GPS Ago'!B5="Camión",ISNUMBER('Datos - Combustible y GPS Ago'!E5)),'Datos - Combustible y GPS Ago'!E5,"")</f>
        <v>5299.228</v>
      </c>
      <c r="D17" s="35" t="n">
        <f aca="false">IFERROR(C17/B17,"")</f>
        <v>1.74817009203972</v>
      </c>
    </row>
    <row r="18" customFormat="false" ht="15" hidden="false" customHeight="true" outlineLevel="0" collapsed="false">
      <c r="A18" s="31" t="str">
        <f aca="false">IF('Datos - Combustible y GPS Ago'!B6="Camión",'Datos - Combustible y GPS Ago'!A6,"")</f>
        <v>GKFD84</v>
      </c>
      <c r="B18" s="32" t="n">
        <f aca="false">IF('Datos - Combustible y GPS Ago'!B6="Camión",'Datos - Combustible y GPS Ago'!C6,"")</f>
        <v>2987</v>
      </c>
      <c r="C18" s="32" t="n">
        <f aca="false">IF(AND('Datos - Combustible y GPS Ago'!B6="Camión",ISNUMBER('Datos - Combustible y GPS Ago'!E6)),'Datos - Combustible y GPS Ago'!E6,"")</f>
        <v>6568.06</v>
      </c>
      <c r="D18" s="35" t="n">
        <f aca="false">IFERROR(C18/B18,"")</f>
        <v>2.19888182122531</v>
      </c>
    </row>
    <row r="19" customFormat="false" ht="15" hidden="false" customHeight="true" outlineLevel="0" collapsed="false">
      <c r="A19" s="31" t="str">
        <f aca="false">IF('Datos - Combustible y GPS Ago'!B7="Camión",'Datos - Combustible y GPS Ago'!A7,"")</f>
        <v/>
      </c>
      <c r="B19" s="32" t="str">
        <f aca="false">IF('Datos - Combustible y GPS Ago'!B7="Camión",'Datos - Combustible y GPS Ago'!C7,"")</f>
        <v/>
      </c>
      <c r="C19" s="32" t="str">
        <f aca="false">IF(AND('Datos - Combustible y GPS Ago'!B7="Camión",ISNUMBER('Datos - Combustible y GPS Ago'!E7)),'Datos - Combustible y GPS Ago'!E7,"")</f>
        <v/>
      </c>
      <c r="D19" s="35" t="str">
        <f aca="false">IFERROR(C19/B19,"")</f>
        <v/>
      </c>
    </row>
    <row r="20" customFormat="false" ht="15" hidden="false" customHeight="true" outlineLevel="0" collapsed="false">
      <c r="A20" s="31" t="str">
        <f aca="false">IF('Datos - Combustible y GPS Ago'!B8="Camión",'Datos - Combustible y GPS Ago'!A8,"")</f>
        <v>WR9192</v>
      </c>
      <c r="B20" s="32" t="n">
        <f aca="false">IF('Datos - Combustible y GPS Ago'!B8="Camión",'Datos - Combustible y GPS Ago'!C8,"")</f>
        <v>1558.6</v>
      </c>
      <c r="C20" s="32" t="n">
        <f aca="false">IF(AND('Datos - Combustible y GPS Ago'!B8="Camión",ISNUMBER('Datos - Combustible y GPS Ago'!E8)),'Datos - Combustible y GPS Ago'!E8,"")</f>
        <v>112.527</v>
      </c>
      <c r="D20" s="35" t="n">
        <f aca="false">IFERROR(C20/B20,"")</f>
        <v>0.0721974849223662</v>
      </c>
      <c r="E20" s="27" t="s">
        <v>142</v>
      </c>
    </row>
    <row r="21" customFormat="false" ht="15" hidden="false" customHeight="true" outlineLevel="0" collapsed="false">
      <c r="A21" s="31" t="str">
        <f aca="false">IF('Datos - Combustible y GPS Ago'!B9="Camión",'Datos - Combustible y GPS Ago'!A9,"")</f>
        <v>XR8555</v>
      </c>
      <c r="B21" s="32" t="n">
        <f aca="false">IF('Datos - Combustible y GPS Ago'!B9="Camión",'Datos - Combustible y GPS Ago'!C9,"")</f>
        <v>523.1</v>
      </c>
      <c r="C21" s="32" t="n">
        <f aca="false">IF(AND('Datos - Combustible y GPS Ago'!B9="Camión",ISNUMBER('Datos - Combustible y GPS Ago'!E9)),'Datos - Combustible y GPS Ago'!E9,"")</f>
        <v>5338.884</v>
      </c>
      <c r="D21" s="35" t="n">
        <f aca="false">IFERROR(C21/B21,"")</f>
        <v>10.206239724718</v>
      </c>
      <c r="E21" s="27" t="s">
        <v>142</v>
      </c>
    </row>
    <row r="22" customFormat="false" ht="15" hidden="false" customHeight="true" outlineLevel="0" collapsed="false">
      <c r="A22" s="31" t="str">
        <f aca="false">IF('Datos - Combustible y GPS Ago'!B10="Camión",'Datos - Combustible y GPS Ago'!A10,"")</f>
        <v/>
      </c>
      <c r="B22" s="32" t="str">
        <f aca="false">IF('Datos - Combustible y GPS Ago'!B10="Camión",'Datos - Combustible y GPS Ago'!C10,"")</f>
        <v/>
      </c>
      <c r="C22" s="32" t="str">
        <f aca="false">IF(AND('Datos - Combustible y GPS Ago'!B10="Camión",ISNUMBER('Datos - Combustible y GPS Ago'!E10)),'Datos - Combustible y GPS Ago'!E10,"")</f>
        <v/>
      </c>
      <c r="D22" s="35" t="str">
        <f aca="false">IFERROR(C22/B22,"")</f>
        <v/>
      </c>
    </row>
    <row r="24" customFormat="false" ht="15" hidden="false" customHeight="true" outlineLevel="0" collapsed="false">
      <c r="A24" s="10" t="s">
        <v>143</v>
      </c>
      <c r="B24" s="10"/>
      <c r="C24" s="10"/>
      <c r="D24" s="10"/>
      <c r="E24" s="10"/>
    </row>
    <row r="25" customFormat="false" ht="15" hidden="false" customHeight="true" outlineLevel="0" collapsed="false">
      <c r="A25" s="3" t="s">
        <v>144</v>
      </c>
      <c r="B25" s="3" t="s">
        <v>145</v>
      </c>
    </row>
    <row r="26" customFormat="false" ht="15" hidden="false" customHeight="true" outlineLevel="0" collapsed="false">
      <c r="A26" s="31" t="s">
        <v>146</v>
      </c>
      <c r="B26" s="36" t="n">
        <f aca="false">SUMIFS('Datos - Cartola Ago'!$D$4:$D$179,'Datos - Cartola Ago'!$C$4:$C$179,"mantencion",'Datos - Cartola Ago'!$B$4:$B$179,"egreso",'Datos - Cartola Ago'!$F$4:$F$179,A26)/Presupuesto!$B$21</f>
        <v>0</v>
      </c>
    </row>
    <row r="27" customFormat="false" ht="15" hidden="false" customHeight="true" outlineLevel="0" collapsed="false">
      <c r="A27" s="31" t="s">
        <v>147</v>
      </c>
      <c r="B27" s="36" t="n">
        <f aca="false">SUMIFS('Datos - Cartola Ago'!$D$4:$D$179,'Datos - Cartola Ago'!$C$4:$C$179,"mantencion",'Datos - Cartola Ago'!$B$4:$B$179,"egreso",'Datos - Cartola Ago'!$F$4:$F$179,A27)/Presupuesto!$B$21</f>
        <v>0</v>
      </c>
    </row>
    <row r="28" customFormat="false" ht="15" hidden="false" customHeight="true" outlineLevel="0" collapsed="false">
      <c r="A28" s="31" t="s">
        <v>148</v>
      </c>
      <c r="B28" s="36" t="n">
        <f aca="false">SUMIFS('Datos - Cartola Ago'!$D$4:$D$179,'Datos - Cartola Ago'!$C$4:$C$179,"mantencion",'Datos - Cartola Ago'!$B$4:$B$179,"egreso",'Datos - Cartola Ago'!$F$4:$F$179,A28)/Presupuesto!$B$21</f>
        <v>0</v>
      </c>
    </row>
    <row r="29" customFormat="false" ht="15" hidden="false" customHeight="true" outlineLevel="0" collapsed="false">
      <c r="A29" s="31" t="s">
        <v>149</v>
      </c>
      <c r="B29" s="36" t="n">
        <f aca="false">SUMIFS('Datos - Cartola Ago'!$D$4:$D$179,'Datos - Cartola Ago'!$C$4:$C$179,"mantencion",'Datos - Cartola Ago'!$B$4:$B$179,"egreso",'Datos - Cartola Ago'!$F$4:$F$179,A29)/Presupuesto!$B$21</f>
        <v>0</v>
      </c>
    </row>
    <row r="30" customFormat="false" ht="15" hidden="false" customHeight="true" outlineLevel="0" collapsed="false">
      <c r="A30" s="31" t="s">
        <v>150</v>
      </c>
      <c r="B30" s="36" t="n">
        <f aca="false">SUMIFS('Datos - Cartola Ago'!$D$4:$D$179,'Datos - Cartola Ago'!$C$4:$C$179,"mantencion",'Datos - Cartola Ago'!$B$4:$B$179,"egreso",'Datos - Cartola Ago'!$F$4:$F$179,A30)/Presupuesto!$B$21</f>
        <v>0</v>
      </c>
    </row>
    <row r="31" customFormat="false" ht="15" hidden="false" customHeight="true" outlineLevel="0" collapsed="false">
      <c r="A31" s="37" t="s">
        <v>151</v>
      </c>
      <c r="B31" s="38" t="n">
        <f aca="false">B26+B27+B28+B29+B30</f>
        <v>0</v>
      </c>
    </row>
    <row r="33" customFormat="false" ht="15" hidden="false" customHeight="true" outlineLevel="0" collapsed="false">
      <c r="A33" s="10" t="s">
        <v>152</v>
      </c>
      <c r="B33" s="10"/>
      <c r="C33" s="10"/>
      <c r="D33" s="10"/>
    </row>
    <row r="34" customFormat="false" ht="15" hidden="false" customHeight="true" outlineLevel="0" collapsed="false">
      <c r="A34" s="39" t="s">
        <v>153</v>
      </c>
      <c r="B34" s="38" t="n">
        <f aca="false">Presupuesto!$B$20</f>
        <v>21</v>
      </c>
    </row>
    <row r="35" customFormat="false" ht="15" hidden="false" customHeight="true" outlineLevel="0" collapsed="false">
      <c r="A35" s="3" t="s">
        <v>134</v>
      </c>
      <c r="B35" s="3" t="s">
        <v>154</v>
      </c>
      <c r="C35" s="3" t="s">
        <v>155</v>
      </c>
    </row>
    <row r="36" customFormat="false" ht="15" hidden="false" customHeight="true" outlineLevel="0" collapsed="false">
      <c r="A36" s="31" t="s">
        <v>146</v>
      </c>
      <c r="B36" s="31" t="n">
        <f aca="false">COUNTIF('Datos - GPS Dias Ago'!$A$4:$A$88,A36)</f>
        <v>18</v>
      </c>
      <c r="C36" s="40" t="n">
        <f aca="false">B36/$B$34</f>
        <v>0.857142857142857</v>
      </c>
    </row>
    <row r="37" customFormat="false" ht="15" hidden="false" customHeight="true" outlineLevel="0" collapsed="false">
      <c r="A37" s="31" t="s">
        <v>147</v>
      </c>
      <c r="B37" s="31" t="n">
        <f aca="false">COUNTIF('Datos - GPS Dias Ago'!$A$4:$A$88,A37)</f>
        <v>20</v>
      </c>
      <c r="C37" s="40" t="n">
        <f aca="false">B37/$B$34</f>
        <v>0.952380952380952</v>
      </c>
    </row>
    <row r="38" customFormat="false" ht="15" hidden="false" customHeight="true" outlineLevel="0" collapsed="false">
      <c r="A38" s="31" t="s">
        <v>148</v>
      </c>
      <c r="B38" s="31" t="n">
        <f aca="false">COUNTIF('Datos - GPS Dias Ago'!$A$4:$A$88,A38)</f>
        <v>20</v>
      </c>
      <c r="C38" s="40" t="n">
        <f aca="false">B38/$B$34</f>
        <v>0.952380952380952</v>
      </c>
    </row>
    <row r="39" customFormat="false" ht="15" hidden="false" customHeight="true" outlineLevel="0" collapsed="false">
      <c r="A39" s="31" t="s">
        <v>149</v>
      </c>
      <c r="B39" s="31" t="n">
        <f aca="false">COUNTIF('Datos - GPS Dias Ago'!$A$4:$A$88,A39)</f>
        <v>7</v>
      </c>
      <c r="C39" s="40" t="n">
        <f aca="false">B39/$B$34</f>
        <v>0.333333333333333</v>
      </c>
    </row>
    <row r="40" customFormat="false" ht="15" hidden="false" customHeight="true" outlineLevel="0" collapsed="false">
      <c r="A40" s="31" t="s">
        <v>150</v>
      </c>
      <c r="B40" s="31" t="n">
        <f aca="false">COUNTIF('Datos - GPS Dias Ago'!$A$4:$A$88,A40)</f>
        <v>20</v>
      </c>
      <c r="C40" s="40" t="n">
        <f aca="false">B40/$B$34</f>
        <v>0.952380952380952</v>
      </c>
    </row>
    <row r="41" customFormat="false" ht="15" hidden="false" customHeight="true" outlineLevel="0" collapsed="false">
      <c r="A41" s="31" t="s">
        <v>156</v>
      </c>
      <c r="B41" s="31" t="n">
        <f aca="false">COUNTIF('Datos - GPS Dias Ago'!$A$4:$A$88,A41)</f>
        <v>0</v>
      </c>
      <c r="C41" s="40" t="n">
        <f aca="false">B41/$B$34</f>
        <v>0</v>
      </c>
    </row>
    <row r="43" customFormat="false" ht="15" hidden="false" customHeight="true" outlineLevel="0" collapsed="false">
      <c r="A43" s="29" t="s">
        <v>157</v>
      </c>
      <c r="B43" s="29"/>
      <c r="C43" s="29"/>
      <c r="D43" s="29"/>
    </row>
  </sheetData>
  <mergeCells count="6">
    <mergeCell ref="A1:E1"/>
    <mergeCell ref="A4:E4"/>
    <mergeCell ref="A14:E14"/>
    <mergeCell ref="A24:E24"/>
    <mergeCell ref="A33:D33"/>
    <mergeCell ref="A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7" min="6" style="1" width="16"/>
    <col collapsed="false" customWidth="true" hidden="false" outlineLevel="0" max="8" min="8" style="1" width="12"/>
    <col collapsed="false" customWidth="true" hidden="false" outlineLevel="0" max="9" min="9" style="1" width="20"/>
    <col collapsed="false" customWidth="true" hidden="false" outlineLevel="0" max="11" min="10" style="1" width="18"/>
    <col collapsed="false" customWidth="true" hidden="false" outlineLevel="0" max="12" min="12" style="1" width="20"/>
  </cols>
  <sheetData>
    <row r="1" customFormat="false" ht="17.25" hidden="false" customHeight="true" outlineLevel="0" collapsed="false">
      <c r="A1" s="2" t="s">
        <v>158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28" t="s">
        <v>134</v>
      </c>
      <c r="B3" s="28" t="s">
        <v>159</v>
      </c>
      <c r="C3" s="28" t="s">
        <v>101</v>
      </c>
      <c r="D3" s="28" t="s">
        <v>160</v>
      </c>
      <c r="E3" s="28" t="s">
        <v>161</v>
      </c>
      <c r="F3" s="28" t="s">
        <v>162</v>
      </c>
      <c r="G3" s="28" t="s">
        <v>163</v>
      </c>
      <c r="H3" s="28" t="s">
        <v>164</v>
      </c>
      <c r="I3" s="28" t="s">
        <v>165</v>
      </c>
      <c r="J3" s="41" t="s">
        <v>166</v>
      </c>
      <c r="K3" s="41" t="s">
        <v>167</v>
      </c>
      <c r="L3" s="41" t="s">
        <v>168</v>
      </c>
    </row>
    <row r="4" customFormat="false" ht="15" hidden="false" customHeight="true" outlineLevel="0" collapsed="false">
      <c r="A4" s="4" t="s">
        <v>147</v>
      </c>
      <c r="B4" s="42" t="s">
        <v>169</v>
      </c>
      <c r="C4" s="4" t="s">
        <v>104</v>
      </c>
      <c r="D4" s="4" t="s">
        <v>170</v>
      </c>
      <c r="E4" s="4" t="s">
        <v>171</v>
      </c>
      <c r="F4" s="43" t="n">
        <v>882869.33</v>
      </c>
      <c r="G4" s="43" t="n">
        <f aca="false">F4/1.19</f>
        <v>741907</v>
      </c>
      <c r="H4" s="4" t="s">
        <v>172</v>
      </c>
      <c r="I4" s="4" t="s">
        <v>173</v>
      </c>
      <c r="J4" s="4" t="str">
        <f aca="false">IF(A4="DSDV36","DVDS36",A4)</f>
        <v>GCFF12</v>
      </c>
      <c r="K4" s="4" t="n">
        <f aca="false">IF(SUMPRODUCT(('Datos - GPS Dias Ago'!$A$5:$A$88=J4)*('Datos - GPS Dias Ago'!$B$5:$B$88=TEXT(B4,"yyyy-mm-dd")))&gt;0,1,0)</f>
        <v>1</v>
      </c>
      <c r="L4" s="4" t="n">
        <f aca="false">IF(AND(COUNTIFS($I$4:I4,I4,$B$4:B4,B4)=1,K4=1),1,0)</f>
        <v>1</v>
      </c>
    </row>
    <row r="5" customFormat="false" ht="15" hidden="false" customHeight="true" outlineLevel="0" collapsed="false">
      <c r="A5" s="4" t="s">
        <v>150</v>
      </c>
      <c r="B5" s="42" t="s">
        <v>169</v>
      </c>
      <c r="C5" s="4" t="s">
        <v>106</v>
      </c>
      <c r="D5" s="4" t="s">
        <v>174</v>
      </c>
      <c r="E5" s="4" t="s">
        <v>175</v>
      </c>
      <c r="F5" s="43" t="n">
        <v>450000</v>
      </c>
      <c r="G5" s="43" t="n">
        <f aca="false">F5/1.19</f>
        <v>378151.260504202</v>
      </c>
      <c r="H5" s="4" t="s">
        <v>172</v>
      </c>
      <c r="I5" s="4" t="s">
        <v>176</v>
      </c>
      <c r="J5" s="4" t="str">
        <f aca="false">IF(A5="DSDV36","DVDS36",A5)</f>
        <v>XR8555</v>
      </c>
      <c r="K5" s="4" t="n">
        <f aca="false">IF(SUMPRODUCT(('Datos - GPS Dias Ago'!$A$5:$A$88=J5)*('Datos - GPS Dias Ago'!$B$5:$B$88=TEXT(B5,"yyyy-mm-dd")))&gt;0,1,0)</f>
        <v>1</v>
      </c>
      <c r="L5" s="4" t="n">
        <f aca="false">IF(AND(COUNTIFS($I$4:I5,I5,$B$4:B5,B5)=1,K5=1),1,0)</f>
        <v>1</v>
      </c>
    </row>
    <row r="6" customFormat="false" ht="15" hidden="false" customHeight="true" outlineLevel="0" collapsed="false">
      <c r="A6" s="4" t="s">
        <v>148</v>
      </c>
      <c r="B6" s="42" t="s">
        <v>177</v>
      </c>
      <c r="C6" s="4" t="s">
        <v>104</v>
      </c>
      <c r="D6" s="4" t="s">
        <v>170</v>
      </c>
      <c r="E6" s="4" t="s">
        <v>178</v>
      </c>
      <c r="F6" s="43" t="n">
        <v>364633.85</v>
      </c>
      <c r="G6" s="43" t="n">
        <f aca="false">F6/1.19</f>
        <v>306415</v>
      </c>
      <c r="H6" s="4" t="s">
        <v>172</v>
      </c>
      <c r="I6" s="4" t="s">
        <v>179</v>
      </c>
      <c r="J6" s="4" t="str">
        <f aca="false">IF(A6="DSDV36","DVDS36",A6)</f>
        <v>GKFD84</v>
      </c>
      <c r="K6" s="4" t="n">
        <f aca="false">IF(SUMPRODUCT(('Datos - GPS Dias Ago'!$A$5:$A$88=J6)*('Datos - GPS Dias Ago'!$B$5:$B$88=TEXT(B6,"yyyy-mm-dd")))&gt;0,1,0)</f>
        <v>1</v>
      </c>
      <c r="L6" s="4" t="n">
        <f aca="false">IF(AND(COUNTIFS($I$4:I6,I6,$B$4:B6,B6)=1,K6=1),1,0)</f>
        <v>1</v>
      </c>
    </row>
    <row r="7" customFormat="false" ht="15" hidden="false" customHeight="true" outlineLevel="0" collapsed="false">
      <c r="A7" s="4" t="s">
        <v>148</v>
      </c>
      <c r="B7" s="42" t="s">
        <v>177</v>
      </c>
      <c r="C7" s="4" t="s">
        <v>104</v>
      </c>
      <c r="D7" s="4" t="s">
        <v>170</v>
      </c>
      <c r="E7" s="4" t="s">
        <v>180</v>
      </c>
      <c r="F7" s="43" t="n">
        <v>668669.33</v>
      </c>
      <c r="G7" s="43" t="n">
        <f aca="false">F7/1.19</f>
        <v>561907</v>
      </c>
      <c r="H7" s="4" t="s">
        <v>172</v>
      </c>
      <c r="I7" s="4" t="s">
        <v>179</v>
      </c>
      <c r="J7" s="4" t="str">
        <f aca="false">IF(A7="DSDV36","DVDS36",A7)</f>
        <v>GKFD84</v>
      </c>
      <c r="K7" s="4" t="n">
        <f aca="false">IF(SUMPRODUCT(('Datos - GPS Dias Ago'!$A$5:$A$88=J7)*('Datos - GPS Dias Ago'!$B$5:$B$88=TEXT(B7,"yyyy-mm-dd")))&gt;0,1,0)</f>
        <v>1</v>
      </c>
      <c r="L7" s="4" t="n">
        <f aca="false">IF(AND(COUNTIFS($I$4:I7,I7,$B$4:B7,B7)=1,K7=1),1,0)</f>
        <v>0</v>
      </c>
    </row>
    <row r="8" customFormat="false" ht="15" hidden="false" customHeight="true" outlineLevel="0" collapsed="false">
      <c r="A8" s="4" t="s">
        <v>150</v>
      </c>
      <c r="B8" s="42" t="s">
        <v>181</v>
      </c>
      <c r="C8" s="4" t="s">
        <v>107</v>
      </c>
      <c r="D8" s="4" t="s">
        <v>182</v>
      </c>
      <c r="E8" s="4" t="s">
        <v>183</v>
      </c>
      <c r="F8" s="43" t="n">
        <v>249900</v>
      </c>
      <c r="G8" s="43" t="n">
        <f aca="false">F8/1.19</f>
        <v>210000</v>
      </c>
      <c r="H8" s="4" t="s">
        <v>172</v>
      </c>
      <c r="I8" s="4" t="s">
        <v>176</v>
      </c>
      <c r="J8" s="4" t="str">
        <f aca="false">IF(A8="DSDV36","DVDS36",A8)</f>
        <v>XR8555</v>
      </c>
      <c r="K8" s="4" t="n">
        <f aca="false">IF(SUMPRODUCT(('Datos - GPS Dias Ago'!$A$5:$A$88=J8)*('Datos - GPS Dias Ago'!$B$5:$B$88=TEXT(B8,"yyyy-mm-dd")))&gt;0,1,0)</f>
        <v>1</v>
      </c>
      <c r="L8" s="4" t="n">
        <f aca="false">IF(AND(COUNTIFS($I$4:I8,I8,$B$4:B8,B8)=1,K8=1),1,0)</f>
        <v>1</v>
      </c>
    </row>
    <row r="9" customFormat="false" ht="15" hidden="false" customHeight="true" outlineLevel="0" collapsed="false">
      <c r="A9" s="4" t="s">
        <v>150</v>
      </c>
      <c r="B9" s="42" t="s">
        <v>181</v>
      </c>
      <c r="C9" s="4" t="s">
        <v>107</v>
      </c>
      <c r="D9" s="4" t="s">
        <v>182</v>
      </c>
      <c r="E9" s="4" t="s">
        <v>183</v>
      </c>
      <c r="F9" s="43" t="n">
        <v>249900</v>
      </c>
      <c r="G9" s="43" t="n">
        <f aca="false">F9/1.19</f>
        <v>210000</v>
      </c>
      <c r="H9" s="4" t="s">
        <v>172</v>
      </c>
      <c r="I9" s="4" t="s">
        <v>176</v>
      </c>
      <c r="J9" s="4" t="str">
        <f aca="false">IF(A9="DSDV36","DVDS36",A9)</f>
        <v>XR8555</v>
      </c>
      <c r="K9" s="4" t="n">
        <f aca="false">IF(SUMPRODUCT(('Datos - GPS Dias Ago'!$A$5:$A$88=J9)*('Datos - GPS Dias Ago'!$B$5:$B$88=TEXT(B9,"yyyy-mm-dd")))&gt;0,1,0)</f>
        <v>1</v>
      </c>
      <c r="L9" s="4" t="n">
        <f aca="false">IF(AND(COUNTIFS($I$4:I9,I9,$B$4:B9,B9)=1,K9=1),1,0)</f>
        <v>0</v>
      </c>
    </row>
    <row r="10" customFormat="false" ht="15" hidden="false" customHeight="true" outlineLevel="0" collapsed="false">
      <c r="A10" s="4" t="s">
        <v>147</v>
      </c>
      <c r="B10" s="42" t="s">
        <v>181</v>
      </c>
      <c r="C10" s="4" t="s">
        <v>104</v>
      </c>
      <c r="D10" s="4" t="s">
        <v>170</v>
      </c>
      <c r="E10" s="4" t="s">
        <v>178</v>
      </c>
      <c r="F10" s="43" t="n">
        <v>364633.85</v>
      </c>
      <c r="G10" s="43" t="n">
        <f aca="false">F10/1.19</f>
        <v>306415</v>
      </c>
      <c r="H10" s="4" t="s">
        <v>172</v>
      </c>
      <c r="I10" s="4" t="s">
        <v>173</v>
      </c>
      <c r="J10" s="4" t="str">
        <f aca="false">IF(A10="DSDV36","DVDS36",A10)</f>
        <v>GCFF12</v>
      </c>
      <c r="K10" s="4" t="n">
        <f aca="false">IF(SUMPRODUCT(('Datos - GPS Dias Ago'!$A$5:$A$88=J10)*('Datos - GPS Dias Ago'!$B$5:$B$88=TEXT(B10,"yyyy-mm-dd")))&gt;0,1,0)</f>
        <v>1</v>
      </c>
      <c r="L10" s="4" t="n">
        <f aca="false">IF(AND(COUNTIFS($I$4:I10,I10,$B$4:B10,B10)=1,K10=1),1,0)</f>
        <v>1</v>
      </c>
    </row>
    <row r="11" customFormat="false" ht="15" hidden="false" customHeight="true" outlineLevel="0" collapsed="false">
      <c r="A11" s="4" t="s">
        <v>147</v>
      </c>
      <c r="B11" s="42" t="s">
        <v>181</v>
      </c>
      <c r="C11" s="4" t="s">
        <v>105</v>
      </c>
      <c r="D11" s="4" t="s">
        <v>184</v>
      </c>
      <c r="E11" s="4" t="s">
        <v>185</v>
      </c>
      <c r="F11" s="43" t="n">
        <v>869222.41</v>
      </c>
      <c r="G11" s="43" t="n">
        <f aca="false">F11/1.19</f>
        <v>730439</v>
      </c>
      <c r="H11" s="4" t="s">
        <v>172</v>
      </c>
      <c r="I11" s="4" t="s">
        <v>173</v>
      </c>
      <c r="J11" s="4" t="str">
        <f aca="false">IF(A11="DSDV36","DVDS36",A11)</f>
        <v>GCFF12</v>
      </c>
      <c r="K11" s="4" t="n">
        <f aca="false">IF(SUMPRODUCT(('Datos - GPS Dias Ago'!$A$5:$A$88=J11)*('Datos - GPS Dias Ago'!$B$5:$B$88=TEXT(B11,"yyyy-mm-dd")))&gt;0,1,0)</f>
        <v>1</v>
      </c>
      <c r="L11" s="4" t="n">
        <f aca="false">IF(AND(COUNTIFS($I$4:I11,I11,$B$4:B11,B11)=1,K11=1),1,0)</f>
        <v>0</v>
      </c>
    </row>
    <row r="12" customFormat="false" ht="15" hidden="false" customHeight="true" outlineLevel="0" collapsed="false">
      <c r="A12" s="4" t="s">
        <v>148</v>
      </c>
      <c r="B12" s="42" t="s">
        <v>181</v>
      </c>
      <c r="C12" s="4" t="s">
        <v>104</v>
      </c>
      <c r="D12" s="4" t="s">
        <v>170</v>
      </c>
      <c r="E12" s="4" t="s">
        <v>178</v>
      </c>
      <c r="F12" s="43" t="n">
        <v>364633.85</v>
      </c>
      <c r="G12" s="43" t="n">
        <f aca="false">F12/1.19</f>
        <v>306415</v>
      </c>
      <c r="H12" s="4" t="s">
        <v>172</v>
      </c>
      <c r="I12" s="4" t="s">
        <v>179</v>
      </c>
      <c r="J12" s="4" t="str">
        <f aca="false">IF(A12="DSDV36","DVDS36",A12)</f>
        <v>GKFD84</v>
      </c>
      <c r="K12" s="4" t="n">
        <f aca="false">IF(SUMPRODUCT(('Datos - GPS Dias Ago'!$A$5:$A$88=J12)*('Datos - GPS Dias Ago'!$B$5:$B$88=TEXT(B12,"yyyy-mm-dd")))&gt;0,1,0)</f>
        <v>1</v>
      </c>
      <c r="L12" s="4" t="n">
        <f aca="false">IF(AND(COUNTIFS($I$4:I12,I12,$B$4:B12,B12)=1,K12=1),1,0)</f>
        <v>1</v>
      </c>
    </row>
    <row r="13" customFormat="false" ht="15" hidden="false" customHeight="true" outlineLevel="0" collapsed="false">
      <c r="A13" s="4" t="s">
        <v>148</v>
      </c>
      <c r="B13" s="42" t="s">
        <v>181</v>
      </c>
      <c r="C13" s="4" t="s">
        <v>104</v>
      </c>
      <c r="D13" s="4" t="s">
        <v>170</v>
      </c>
      <c r="E13" s="4" t="s">
        <v>186</v>
      </c>
      <c r="F13" s="43" t="n">
        <v>811112.33</v>
      </c>
      <c r="G13" s="43" t="n">
        <f aca="false">F13/1.19</f>
        <v>681607</v>
      </c>
      <c r="H13" s="4" t="s">
        <v>172</v>
      </c>
      <c r="I13" s="4" t="s">
        <v>179</v>
      </c>
      <c r="J13" s="4" t="str">
        <f aca="false">IF(A13="DSDV36","DVDS36",A13)</f>
        <v>GKFD84</v>
      </c>
      <c r="K13" s="4" t="n">
        <f aca="false">IF(SUMPRODUCT(('Datos - GPS Dias Ago'!$A$5:$A$88=J13)*('Datos - GPS Dias Ago'!$B$5:$B$88=TEXT(B13,"yyyy-mm-dd")))&gt;0,1,0)</f>
        <v>1</v>
      </c>
      <c r="L13" s="4" t="n">
        <f aca="false">IF(AND(COUNTIFS($I$4:I13,I13,$B$4:B13,B13)=1,K13=1),1,0)</f>
        <v>0</v>
      </c>
    </row>
    <row r="14" customFormat="false" ht="15" hidden="false" customHeight="true" outlineLevel="0" collapsed="false">
      <c r="A14" s="4" t="s">
        <v>187</v>
      </c>
      <c r="B14" s="42" t="s">
        <v>188</v>
      </c>
      <c r="C14" s="4" t="s">
        <v>106</v>
      </c>
      <c r="D14" s="4" t="s">
        <v>174</v>
      </c>
      <c r="E14" s="4" t="s">
        <v>175</v>
      </c>
      <c r="F14" s="43" t="n">
        <v>450000</v>
      </c>
      <c r="G14" s="43" t="n">
        <f aca="false">F14/1.19</f>
        <v>378151.260504202</v>
      </c>
      <c r="H14" s="4" t="s">
        <v>172</v>
      </c>
      <c r="I14" s="4" t="s">
        <v>189</v>
      </c>
      <c r="J14" s="4" t="str">
        <f aca="false">IF(A14="DSDV36","DVDS36",A14)</f>
        <v>DVDS36</v>
      </c>
      <c r="K14" s="4" t="n">
        <f aca="false">IF(SUMPRODUCT(('Datos - GPS Dias Ago'!$A$5:$A$88=J14)*('Datos - GPS Dias Ago'!$B$5:$B$88=TEXT(B14,"yyyy-mm-dd")))&gt;0,1,0)</f>
        <v>1</v>
      </c>
      <c r="L14" s="4" t="n">
        <f aca="false">IF(AND(COUNTIFS($I$4:I14,I14,$B$4:B14,B14)=1,K14=1),1,0)</f>
        <v>1</v>
      </c>
    </row>
    <row r="15" customFormat="false" ht="15" hidden="false" customHeight="true" outlineLevel="0" collapsed="false">
      <c r="A15" s="4" t="s">
        <v>148</v>
      </c>
      <c r="B15" s="42" t="s">
        <v>190</v>
      </c>
      <c r="C15" s="4" t="s">
        <v>104</v>
      </c>
      <c r="D15" s="4" t="s">
        <v>170</v>
      </c>
      <c r="E15" s="4" t="s">
        <v>191</v>
      </c>
      <c r="F15" s="43" t="n">
        <v>654162.04</v>
      </c>
      <c r="G15" s="43" t="n">
        <f aca="false">F15/1.19</f>
        <v>549716</v>
      </c>
      <c r="H15" s="4" t="s">
        <v>172</v>
      </c>
      <c r="I15" s="4" t="s">
        <v>179</v>
      </c>
      <c r="J15" s="4" t="str">
        <f aca="false">IF(A15="DSDV36","DVDS36",A15)</f>
        <v>GKFD84</v>
      </c>
      <c r="K15" s="4" t="n">
        <f aca="false">IF(SUMPRODUCT(('Datos - GPS Dias Ago'!$A$5:$A$88=J15)*('Datos - GPS Dias Ago'!$B$5:$B$88=TEXT(B15,"yyyy-mm-dd")))&gt;0,1,0)</f>
        <v>1</v>
      </c>
      <c r="L15" s="4" t="n">
        <f aca="false">IF(AND(COUNTIFS($I$4:I15,I15,$B$4:B15,B15)=1,K15=1),1,0)</f>
        <v>1</v>
      </c>
    </row>
    <row r="16" customFormat="false" ht="15" hidden="false" customHeight="true" outlineLevel="0" collapsed="false">
      <c r="A16" s="4" t="s">
        <v>150</v>
      </c>
      <c r="B16" s="42" t="s">
        <v>190</v>
      </c>
      <c r="C16" s="4" t="s">
        <v>104</v>
      </c>
      <c r="D16" s="4" t="s">
        <v>170</v>
      </c>
      <c r="E16" s="4" t="s">
        <v>178</v>
      </c>
      <c r="F16" s="43" t="n">
        <v>364633.85</v>
      </c>
      <c r="G16" s="43" t="n">
        <f aca="false">F16/1.19</f>
        <v>306415</v>
      </c>
      <c r="H16" s="4" t="s">
        <v>172</v>
      </c>
      <c r="I16" s="4" t="s">
        <v>176</v>
      </c>
      <c r="J16" s="4" t="str">
        <f aca="false">IF(A16="DSDV36","DVDS36",A16)</f>
        <v>XR8555</v>
      </c>
      <c r="K16" s="4" t="n">
        <f aca="false">IF(SUMPRODUCT(('Datos - GPS Dias Ago'!$A$5:$A$88=J16)*('Datos - GPS Dias Ago'!$B$5:$B$88=TEXT(B16,"yyyy-mm-dd")))&gt;0,1,0)</f>
        <v>1</v>
      </c>
      <c r="L16" s="4" t="n">
        <f aca="false">IF(AND(COUNTIFS($I$4:I16,I16,$B$4:B16,B16)=1,K16=1),1,0)</f>
        <v>1</v>
      </c>
    </row>
    <row r="17" customFormat="false" ht="15" hidden="false" customHeight="true" outlineLevel="0" collapsed="false">
      <c r="A17" s="4" t="s">
        <v>148</v>
      </c>
      <c r="B17" s="42" t="s">
        <v>190</v>
      </c>
      <c r="C17" s="4" t="s">
        <v>104</v>
      </c>
      <c r="D17" s="4" t="s">
        <v>180</v>
      </c>
      <c r="E17" s="4" t="s">
        <v>170</v>
      </c>
      <c r="F17" s="43" t="n">
        <v>334156.165</v>
      </c>
      <c r="G17" s="43" t="n">
        <f aca="false">F17/1.19</f>
        <v>280803.5</v>
      </c>
      <c r="H17" s="4" t="s">
        <v>172</v>
      </c>
      <c r="I17" s="4" t="s">
        <v>179</v>
      </c>
      <c r="J17" s="4" t="str">
        <f aca="false">IF(A17="DSDV36","DVDS36",A17)</f>
        <v>GKFD84</v>
      </c>
      <c r="K17" s="4" t="n">
        <f aca="false">IF(SUMPRODUCT(('Datos - GPS Dias Ago'!$A$5:$A$88=J17)*('Datos - GPS Dias Ago'!$B$5:$B$88=TEXT(B17,"yyyy-mm-dd")))&gt;0,1,0)</f>
        <v>1</v>
      </c>
      <c r="L17" s="4" t="n">
        <f aca="false">IF(AND(COUNTIFS($I$4:I17,I17,$B$4:B17,B17)=1,K17=1),1,0)</f>
        <v>0</v>
      </c>
    </row>
    <row r="18" customFormat="false" ht="15" hidden="false" customHeight="true" outlineLevel="0" collapsed="false">
      <c r="A18" s="4" t="s">
        <v>150</v>
      </c>
      <c r="B18" s="42" t="s">
        <v>190</v>
      </c>
      <c r="C18" s="4" t="s">
        <v>104</v>
      </c>
      <c r="D18" s="4" t="s">
        <v>170</v>
      </c>
      <c r="E18" s="4" t="s">
        <v>191</v>
      </c>
      <c r="F18" s="43" t="n">
        <v>654162.04</v>
      </c>
      <c r="G18" s="43" t="n">
        <f aca="false">F18/1.19</f>
        <v>549716</v>
      </c>
      <c r="H18" s="4" t="s">
        <v>172</v>
      </c>
      <c r="I18" s="4" t="s">
        <v>176</v>
      </c>
      <c r="J18" s="4" t="str">
        <f aca="false">IF(A18="DSDV36","DVDS36",A18)</f>
        <v>XR8555</v>
      </c>
      <c r="K18" s="4" t="n">
        <f aca="false">IF(SUMPRODUCT(('Datos - GPS Dias Ago'!$A$5:$A$88=J18)*('Datos - GPS Dias Ago'!$B$5:$B$88=TEXT(B18,"yyyy-mm-dd")))&gt;0,1,0)</f>
        <v>1</v>
      </c>
      <c r="L18" s="4" t="n">
        <f aca="false">IF(AND(COUNTIFS($I$4:I18,I18,$B$4:B18,B18)=1,K18=1),1,0)</f>
        <v>0</v>
      </c>
    </row>
    <row r="19" customFormat="false" ht="15" hidden="false" customHeight="true" outlineLevel="0" collapsed="false">
      <c r="A19" s="4" t="s">
        <v>150</v>
      </c>
      <c r="B19" s="42" t="s">
        <v>188</v>
      </c>
      <c r="C19" s="4" t="s">
        <v>104</v>
      </c>
      <c r="D19" s="4" t="s">
        <v>170</v>
      </c>
      <c r="E19" s="4" t="s">
        <v>178</v>
      </c>
      <c r="F19" s="43" t="n">
        <v>364633.85</v>
      </c>
      <c r="G19" s="43" t="n">
        <f aca="false">F19/1.19</f>
        <v>306415</v>
      </c>
      <c r="H19" s="4" t="s">
        <v>172</v>
      </c>
      <c r="I19" s="4" t="s">
        <v>176</v>
      </c>
      <c r="J19" s="4" t="str">
        <f aca="false">IF(A19="DSDV36","DVDS36",A19)</f>
        <v>XR8555</v>
      </c>
      <c r="K19" s="4" t="n">
        <f aca="false">IF(SUMPRODUCT(('Datos - GPS Dias Ago'!$A$5:$A$88=J19)*('Datos - GPS Dias Ago'!$B$5:$B$88=TEXT(B19,"yyyy-mm-dd")))&gt;0,1,0)</f>
        <v>1</v>
      </c>
      <c r="L19" s="4" t="n">
        <f aca="false">IF(AND(COUNTIFS($I$4:I19,I19,$B$4:B19,B19)=1,K19=1),1,0)</f>
        <v>1</v>
      </c>
    </row>
    <row r="20" customFormat="false" ht="15" hidden="false" customHeight="true" outlineLevel="0" collapsed="false">
      <c r="A20" s="4" t="s">
        <v>187</v>
      </c>
      <c r="B20" s="42" t="s">
        <v>192</v>
      </c>
      <c r="C20" s="4" t="s">
        <v>106</v>
      </c>
      <c r="D20" s="4" t="s">
        <v>174</v>
      </c>
      <c r="E20" s="4" t="s">
        <v>175</v>
      </c>
      <c r="F20" s="43" t="n">
        <v>450000</v>
      </c>
      <c r="G20" s="43" t="n">
        <f aca="false">F20/1.19</f>
        <v>378151.260504202</v>
      </c>
      <c r="H20" s="4" t="s">
        <v>172</v>
      </c>
      <c r="I20" s="4" t="s">
        <v>189</v>
      </c>
      <c r="J20" s="4" t="str">
        <f aca="false">IF(A20="DSDV36","DVDS36",A20)</f>
        <v>DVDS36</v>
      </c>
      <c r="K20" s="4" t="n">
        <f aca="false">IF(SUMPRODUCT(('Datos - GPS Dias Ago'!$A$5:$A$88=J20)*('Datos - GPS Dias Ago'!$B$5:$B$88=TEXT(B20,"yyyy-mm-dd")))&gt;0,1,0)</f>
        <v>1</v>
      </c>
      <c r="L20" s="4" t="n">
        <f aca="false">IF(AND(COUNTIFS($I$4:I20,I20,$B$4:B20,B20)=1,K20=1),1,0)</f>
        <v>1</v>
      </c>
    </row>
    <row r="21" customFormat="false" ht="15" hidden="false" customHeight="true" outlineLevel="0" collapsed="false">
      <c r="A21" s="4" t="s">
        <v>147</v>
      </c>
      <c r="B21" s="42" t="s">
        <v>192</v>
      </c>
      <c r="C21" s="4" t="s">
        <v>105</v>
      </c>
      <c r="D21" s="4" t="s">
        <v>193</v>
      </c>
      <c r="E21" s="4" t="s">
        <v>184</v>
      </c>
      <c r="F21" s="43" t="n">
        <v>196826</v>
      </c>
      <c r="G21" s="43" t="n">
        <f aca="false">F21/1.19</f>
        <v>165400</v>
      </c>
      <c r="H21" s="4" t="s">
        <v>172</v>
      </c>
      <c r="I21" s="4" t="s">
        <v>173</v>
      </c>
      <c r="J21" s="4" t="str">
        <f aca="false">IF(A21="DSDV36","DVDS36",A21)</f>
        <v>GCFF12</v>
      </c>
      <c r="K21" s="4" t="n">
        <f aca="false">IF(SUMPRODUCT(('Datos - GPS Dias Ago'!$A$5:$A$88=J21)*('Datos - GPS Dias Ago'!$B$5:$B$88=TEXT(B21,"yyyy-mm-dd")))&gt;0,1,0)</f>
        <v>1</v>
      </c>
      <c r="L21" s="4" t="n">
        <f aca="false">IF(AND(COUNTIFS($I$4:I21,I21,$B$4:B21,B21)=1,K21=1),1,0)</f>
        <v>1</v>
      </c>
    </row>
    <row r="22" customFormat="false" ht="15" hidden="false" customHeight="true" outlineLevel="0" collapsed="false">
      <c r="A22" s="4" t="s">
        <v>147</v>
      </c>
      <c r="B22" s="42" t="s">
        <v>192</v>
      </c>
      <c r="C22" s="4" t="s">
        <v>105</v>
      </c>
      <c r="D22" s="4" t="s">
        <v>184</v>
      </c>
      <c r="E22" s="4" t="s">
        <v>194</v>
      </c>
      <c r="F22" s="43" t="n">
        <v>950810</v>
      </c>
      <c r="G22" s="43" t="n">
        <f aca="false">F22/1.19</f>
        <v>799000</v>
      </c>
      <c r="H22" s="4" t="s">
        <v>172</v>
      </c>
      <c r="I22" s="4" t="s">
        <v>173</v>
      </c>
      <c r="J22" s="4" t="str">
        <f aca="false">IF(A22="DSDV36","DVDS36",A22)</f>
        <v>GCFF12</v>
      </c>
      <c r="K22" s="4" t="n">
        <f aca="false">IF(SUMPRODUCT(('Datos - GPS Dias Ago'!$A$5:$A$88=J22)*('Datos - GPS Dias Ago'!$B$5:$B$88=TEXT(B22,"yyyy-mm-dd")))&gt;0,1,0)</f>
        <v>1</v>
      </c>
      <c r="L22" s="4" t="n">
        <f aca="false">IF(AND(COUNTIFS($I$4:I22,I22,$B$4:B22,B22)=1,K22=1),1,0)</f>
        <v>0</v>
      </c>
    </row>
    <row r="23" customFormat="false" ht="15" hidden="false" customHeight="true" outlineLevel="0" collapsed="false">
      <c r="A23" s="4" t="s">
        <v>150</v>
      </c>
      <c r="B23" s="42" t="s">
        <v>192</v>
      </c>
      <c r="C23" s="4" t="s">
        <v>107</v>
      </c>
      <c r="D23" s="4" t="s">
        <v>183</v>
      </c>
      <c r="E23" s="4" t="s">
        <v>174</v>
      </c>
      <c r="F23" s="43" t="n">
        <v>249900</v>
      </c>
      <c r="G23" s="43" t="n">
        <f aca="false">F23/1.19</f>
        <v>210000</v>
      </c>
      <c r="H23" s="4" t="s">
        <v>172</v>
      </c>
      <c r="I23" s="4" t="s">
        <v>176</v>
      </c>
      <c r="J23" s="4" t="str">
        <f aca="false">IF(A23="DSDV36","DVDS36",A23)</f>
        <v>XR8555</v>
      </c>
      <c r="K23" s="4" t="n">
        <f aca="false">IF(SUMPRODUCT(('Datos - GPS Dias Ago'!$A$5:$A$88=J23)*('Datos - GPS Dias Ago'!$B$5:$B$88=TEXT(B23,"yyyy-mm-dd")))&gt;0,1,0)</f>
        <v>1</v>
      </c>
      <c r="L23" s="4" t="n">
        <f aca="false">IF(AND(COUNTIFS($I$4:I23,I23,$B$4:B23,B23)=1,K23=1),1,0)</f>
        <v>1</v>
      </c>
    </row>
    <row r="24" customFormat="false" ht="15" hidden="false" customHeight="true" outlineLevel="0" collapsed="false">
      <c r="A24" s="4" t="s">
        <v>148</v>
      </c>
      <c r="B24" s="42" t="s">
        <v>192</v>
      </c>
      <c r="C24" s="4" t="s">
        <v>107</v>
      </c>
      <c r="D24" s="4" t="s">
        <v>183</v>
      </c>
      <c r="E24" s="4" t="s">
        <v>174</v>
      </c>
      <c r="F24" s="43" t="n">
        <v>249900</v>
      </c>
      <c r="G24" s="43" t="n">
        <f aca="false">F24/1.19</f>
        <v>210000</v>
      </c>
      <c r="H24" s="4" t="s">
        <v>172</v>
      </c>
      <c r="I24" s="4" t="s">
        <v>179</v>
      </c>
      <c r="J24" s="4" t="str">
        <f aca="false">IF(A24="DSDV36","DVDS36",A24)</f>
        <v>GKFD84</v>
      </c>
      <c r="K24" s="4" t="n">
        <f aca="false">IF(SUMPRODUCT(('Datos - GPS Dias Ago'!$A$5:$A$88=J24)*('Datos - GPS Dias Ago'!$B$5:$B$88=TEXT(B24,"yyyy-mm-dd")))&gt;0,1,0)</f>
        <v>1</v>
      </c>
      <c r="L24" s="4" t="n">
        <f aca="false">IF(AND(COUNTIFS($I$4:I24,I24,$B$4:B24,B24)=1,K24=1),1,0)</f>
        <v>1</v>
      </c>
    </row>
    <row r="25" customFormat="false" ht="15" hidden="false" customHeight="true" outlineLevel="0" collapsed="false">
      <c r="A25" s="4" t="s">
        <v>148</v>
      </c>
      <c r="B25" s="42" t="s">
        <v>126</v>
      </c>
      <c r="C25" s="4" t="s">
        <v>111</v>
      </c>
      <c r="D25" s="4" t="s">
        <v>195</v>
      </c>
      <c r="E25" s="4" t="s">
        <v>196</v>
      </c>
      <c r="F25" s="43" t="n">
        <v>416500</v>
      </c>
      <c r="G25" s="43" t="n">
        <f aca="false">F25/1.19</f>
        <v>350000</v>
      </c>
      <c r="H25" s="4" t="s">
        <v>172</v>
      </c>
      <c r="I25" s="4" t="s">
        <v>179</v>
      </c>
      <c r="J25" s="4" t="str">
        <f aca="false">IF(A25="DSDV36","DVDS36",A25)</f>
        <v>GKFD84</v>
      </c>
      <c r="K25" s="4" t="n">
        <f aca="false">IF(SUMPRODUCT(('Datos - GPS Dias Ago'!$A$5:$A$88=J25)*('Datos - GPS Dias Ago'!$B$5:$B$88=TEXT(B25,"yyyy-mm-dd")))&gt;0,1,0)</f>
        <v>1</v>
      </c>
      <c r="L25" s="4" t="n">
        <f aca="false">IF(AND(COUNTIFS($I$4:I25,I25,$B$4:B25,B25)=1,K25=1),1,0)</f>
        <v>1</v>
      </c>
    </row>
    <row r="26" customFormat="false" ht="15" hidden="false" customHeight="true" outlineLevel="0" collapsed="false">
      <c r="A26" s="4" t="s">
        <v>150</v>
      </c>
      <c r="B26" s="42" t="s">
        <v>126</v>
      </c>
      <c r="C26" s="4" t="s">
        <v>107</v>
      </c>
      <c r="D26" s="4" t="s">
        <v>183</v>
      </c>
      <c r="E26" s="4" t="s">
        <v>174</v>
      </c>
      <c r="F26" s="43" t="n">
        <v>249900</v>
      </c>
      <c r="G26" s="43" t="n">
        <f aca="false">F26/1.19</f>
        <v>210000</v>
      </c>
      <c r="H26" s="4" t="s">
        <v>172</v>
      </c>
      <c r="I26" s="4" t="s">
        <v>176</v>
      </c>
      <c r="J26" s="4" t="str">
        <f aca="false">IF(A26="DSDV36","DVDS36",A26)</f>
        <v>XR8555</v>
      </c>
      <c r="K26" s="4" t="n">
        <f aca="false">IF(SUMPRODUCT(('Datos - GPS Dias Ago'!$A$5:$A$88=J26)*('Datos - GPS Dias Ago'!$B$5:$B$88=TEXT(B26,"yyyy-mm-dd")))&gt;0,1,0)</f>
        <v>1</v>
      </c>
      <c r="L26" s="4" t="n">
        <f aca="false">IF(AND(COUNTIFS($I$4:I26,I26,$B$4:B26,B26)=1,K26=1),1,0)</f>
        <v>1</v>
      </c>
    </row>
    <row r="27" customFormat="false" ht="15" hidden="false" customHeight="true" outlineLevel="0" collapsed="false">
      <c r="A27" s="4" t="s">
        <v>148</v>
      </c>
      <c r="B27" s="42" t="s">
        <v>126</v>
      </c>
      <c r="C27" s="4" t="s">
        <v>104</v>
      </c>
      <c r="D27" s="4" t="s">
        <v>170</v>
      </c>
      <c r="E27" s="4" t="s">
        <v>197</v>
      </c>
      <c r="F27" s="43" t="n">
        <v>668669.33</v>
      </c>
      <c r="G27" s="43" t="n">
        <f aca="false">F27/1.19</f>
        <v>561907</v>
      </c>
      <c r="H27" s="4" t="s">
        <v>172</v>
      </c>
      <c r="I27" s="4" t="s">
        <v>179</v>
      </c>
      <c r="J27" s="4" t="str">
        <f aca="false">IF(A27="DSDV36","DVDS36",A27)</f>
        <v>GKFD84</v>
      </c>
      <c r="K27" s="4" t="n">
        <f aca="false">IF(SUMPRODUCT(('Datos - GPS Dias Ago'!$A$5:$A$88=J27)*('Datos - GPS Dias Ago'!$B$5:$B$88=TEXT(B27,"yyyy-mm-dd")))&gt;0,1,0)</f>
        <v>1</v>
      </c>
      <c r="L27" s="4" t="n">
        <f aca="false">IF(AND(COUNTIFS($I$4:I27,I27,$B$4:B27,B27)=1,K27=1),1,0)</f>
        <v>0</v>
      </c>
    </row>
    <row r="28" customFormat="false" ht="15" hidden="false" customHeight="true" outlineLevel="0" collapsed="false">
      <c r="A28" s="4" t="s">
        <v>150</v>
      </c>
      <c r="B28" s="42" t="s">
        <v>126</v>
      </c>
      <c r="C28" s="4" t="s">
        <v>107</v>
      </c>
      <c r="D28" s="4" t="s">
        <v>183</v>
      </c>
      <c r="E28" s="4" t="s">
        <v>174</v>
      </c>
      <c r="F28" s="43" t="n">
        <v>249900</v>
      </c>
      <c r="G28" s="43" t="n">
        <f aca="false">F28/1.19</f>
        <v>210000</v>
      </c>
      <c r="H28" s="4" t="s">
        <v>172</v>
      </c>
      <c r="I28" s="4" t="s">
        <v>176</v>
      </c>
      <c r="J28" s="4" t="str">
        <f aca="false">IF(A28="DSDV36","DVDS36",A28)</f>
        <v>XR8555</v>
      </c>
      <c r="K28" s="4" t="n">
        <f aca="false">IF(SUMPRODUCT(('Datos - GPS Dias Ago'!$A$5:$A$88=J28)*('Datos - GPS Dias Ago'!$B$5:$B$88=TEXT(B28,"yyyy-mm-dd")))&gt;0,1,0)</f>
        <v>1</v>
      </c>
      <c r="L28" s="4" t="n">
        <f aca="false">IF(AND(COUNTIFS($I$4:I28,I28,$B$4:B28,B28)=1,K28=1),1,0)</f>
        <v>0</v>
      </c>
    </row>
    <row r="29" customFormat="false" ht="15" hidden="false" customHeight="true" outlineLevel="0" collapsed="false">
      <c r="A29" s="4" t="s">
        <v>150</v>
      </c>
      <c r="B29" s="42" t="s">
        <v>198</v>
      </c>
      <c r="C29" s="4" t="s">
        <v>107</v>
      </c>
      <c r="D29" s="4" t="s">
        <v>183</v>
      </c>
      <c r="E29" s="4" t="s">
        <v>174</v>
      </c>
      <c r="F29" s="43" t="n">
        <v>249900</v>
      </c>
      <c r="G29" s="43" t="n">
        <f aca="false">F29/1.19</f>
        <v>210000</v>
      </c>
      <c r="H29" s="4" t="s">
        <v>172</v>
      </c>
      <c r="I29" s="4" t="s">
        <v>176</v>
      </c>
      <c r="J29" s="4" t="str">
        <f aca="false">IF(A29="DSDV36","DVDS36",A29)</f>
        <v>XR8555</v>
      </c>
      <c r="K29" s="4" t="n">
        <f aca="false">IF(SUMPRODUCT(('Datos - GPS Dias Ago'!$A$5:$A$88=J29)*('Datos - GPS Dias Ago'!$B$5:$B$88=TEXT(B29,"yyyy-mm-dd")))&gt;0,1,0)</f>
        <v>1</v>
      </c>
      <c r="L29" s="4" t="n">
        <f aca="false">IF(AND(COUNTIFS($I$4:I29,I29,$B$4:B29,B29)=1,K29=1),1,0)</f>
        <v>1</v>
      </c>
    </row>
    <row r="30" customFormat="false" ht="15" hidden="false" customHeight="true" outlineLevel="0" collapsed="false">
      <c r="A30" s="4" t="s">
        <v>150</v>
      </c>
      <c r="B30" s="42" t="s">
        <v>199</v>
      </c>
      <c r="C30" s="4" t="s">
        <v>107</v>
      </c>
      <c r="D30" s="4" t="s">
        <v>183</v>
      </c>
      <c r="E30" s="4" t="s">
        <v>174</v>
      </c>
      <c r="F30" s="43" t="n">
        <v>249900</v>
      </c>
      <c r="G30" s="43" t="n">
        <f aca="false">F30/1.19</f>
        <v>210000</v>
      </c>
      <c r="H30" s="4" t="s">
        <v>172</v>
      </c>
      <c r="I30" s="4" t="s">
        <v>176</v>
      </c>
      <c r="J30" s="4" t="str">
        <f aca="false">IF(A30="DSDV36","DVDS36",A30)</f>
        <v>XR8555</v>
      </c>
      <c r="K30" s="4" t="n">
        <f aca="false">IF(SUMPRODUCT(('Datos - GPS Dias Ago'!$A$5:$A$88=J30)*('Datos - GPS Dias Ago'!$B$5:$B$88=TEXT(B30,"yyyy-mm-dd")))&gt;0,1,0)</f>
        <v>1</v>
      </c>
      <c r="L30" s="4" t="n">
        <f aca="false">IF(AND(COUNTIFS($I$4:I30,I30,$B$4:B30,B30)=1,K30=1),1,0)</f>
        <v>1</v>
      </c>
    </row>
    <row r="31" customFormat="false" ht="15" hidden="false" customHeight="true" outlineLevel="0" collapsed="false">
      <c r="A31" s="4" t="s">
        <v>150</v>
      </c>
      <c r="B31" s="42" t="s">
        <v>199</v>
      </c>
      <c r="C31" s="4" t="s">
        <v>107</v>
      </c>
      <c r="D31" s="4" t="s">
        <v>183</v>
      </c>
      <c r="E31" s="4" t="s">
        <v>182</v>
      </c>
      <c r="F31" s="43" t="n">
        <v>249900</v>
      </c>
      <c r="G31" s="43" t="n">
        <f aca="false">F31/1.19</f>
        <v>210000</v>
      </c>
      <c r="H31" s="4" t="s">
        <v>172</v>
      </c>
      <c r="I31" s="4" t="s">
        <v>176</v>
      </c>
      <c r="J31" s="4" t="str">
        <f aca="false">IF(A31="DSDV36","DVDS36",A31)</f>
        <v>XR8555</v>
      </c>
      <c r="K31" s="4" t="n">
        <f aca="false">IF(SUMPRODUCT(('Datos - GPS Dias Ago'!$A$5:$A$88=J31)*('Datos - GPS Dias Ago'!$B$5:$B$88=TEXT(B31,"yyyy-mm-dd")))&gt;0,1,0)</f>
        <v>1</v>
      </c>
      <c r="L31" s="4" t="n">
        <f aca="false">IF(AND(COUNTIFS($I$4:I31,I31,$B$4:B31,B31)=1,K31=1),1,0)</f>
        <v>0</v>
      </c>
    </row>
    <row r="32" customFormat="false" ht="15" hidden="false" customHeight="true" outlineLevel="0" collapsed="false">
      <c r="A32" s="4" t="s">
        <v>147</v>
      </c>
      <c r="B32" s="42" t="s">
        <v>199</v>
      </c>
      <c r="C32" s="4" t="s">
        <v>104</v>
      </c>
      <c r="D32" s="4" t="s">
        <v>170</v>
      </c>
      <c r="E32" s="4" t="s">
        <v>200</v>
      </c>
      <c r="F32" s="43" t="n">
        <v>573144.46</v>
      </c>
      <c r="G32" s="43" t="n">
        <f aca="false">F32/1.19</f>
        <v>481634</v>
      </c>
      <c r="H32" s="4" t="s">
        <v>172</v>
      </c>
      <c r="I32" s="4" t="s">
        <v>173</v>
      </c>
      <c r="J32" s="4" t="str">
        <f aca="false">IF(A32="DSDV36","DVDS36",A32)</f>
        <v>GCFF12</v>
      </c>
      <c r="K32" s="4" t="n">
        <f aca="false">IF(SUMPRODUCT(('Datos - GPS Dias Ago'!$A$5:$A$88=J32)*('Datos - GPS Dias Ago'!$B$5:$B$88=TEXT(B32,"yyyy-mm-dd")))&gt;0,1,0)</f>
        <v>1</v>
      </c>
      <c r="L32" s="4" t="n">
        <f aca="false">IF(AND(COUNTIFS($I$4:I32,I32,$B$4:B32,B32)=1,K32=1),1,0)</f>
        <v>1</v>
      </c>
    </row>
    <row r="33" customFormat="false" ht="15" hidden="false" customHeight="true" outlineLevel="0" collapsed="false">
      <c r="A33" s="4" t="s">
        <v>150</v>
      </c>
      <c r="B33" s="42" t="s">
        <v>201</v>
      </c>
      <c r="C33" s="4" t="s">
        <v>104</v>
      </c>
      <c r="D33" s="4" t="s">
        <v>170</v>
      </c>
      <c r="E33" s="4" t="s">
        <v>191</v>
      </c>
      <c r="F33" s="43" t="n">
        <v>654162.04</v>
      </c>
      <c r="G33" s="43" t="n">
        <f aca="false">F33/1.19</f>
        <v>549716</v>
      </c>
      <c r="H33" s="4" t="s">
        <v>172</v>
      </c>
      <c r="I33" s="4" t="s">
        <v>176</v>
      </c>
      <c r="J33" s="4" t="str">
        <f aca="false">IF(A33="DSDV36","DVDS36",A33)</f>
        <v>XR8555</v>
      </c>
      <c r="K33" s="4" t="n">
        <f aca="false">IF(SUMPRODUCT(('Datos - GPS Dias Ago'!$A$5:$A$88=J33)*('Datos - GPS Dias Ago'!$B$5:$B$88=TEXT(B33,"yyyy-mm-dd")))&gt;0,1,0)</f>
        <v>1</v>
      </c>
      <c r="L33" s="4" t="n">
        <f aca="false">IF(AND(COUNTIFS($I$4:I33,I33,$B$4:B33,B33)=1,K33=1),1,0)</f>
        <v>1</v>
      </c>
    </row>
    <row r="34" customFormat="false" ht="15" hidden="false" customHeight="true" outlineLevel="0" collapsed="false">
      <c r="A34" s="4" t="s">
        <v>147</v>
      </c>
      <c r="B34" s="42" t="s">
        <v>201</v>
      </c>
      <c r="C34" s="4" t="s">
        <v>104</v>
      </c>
      <c r="D34" s="4" t="s">
        <v>170</v>
      </c>
      <c r="E34" s="4" t="s">
        <v>191</v>
      </c>
      <c r="F34" s="43" t="n">
        <v>654162.04</v>
      </c>
      <c r="G34" s="43" t="n">
        <f aca="false">F34/1.19</f>
        <v>549716</v>
      </c>
      <c r="H34" s="4" t="s">
        <v>172</v>
      </c>
      <c r="I34" s="4" t="s">
        <v>173</v>
      </c>
      <c r="J34" s="4" t="str">
        <f aca="false">IF(A34="DSDV36","DVDS36",A34)</f>
        <v>GCFF12</v>
      </c>
      <c r="K34" s="4" t="n">
        <f aca="false">IF(SUMPRODUCT(('Datos - GPS Dias Ago'!$A$5:$A$88=J34)*('Datos - GPS Dias Ago'!$B$5:$B$88=TEXT(B34,"yyyy-mm-dd")))&gt;0,1,0)</f>
        <v>1</v>
      </c>
      <c r="L34" s="4" t="n">
        <f aca="false">IF(AND(COUNTIFS($I$4:I34,I34,$B$4:B34,B34)=1,K34=1),1,0)</f>
        <v>1</v>
      </c>
    </row>
    <row r="35" customFormat="false" ht="15" hidden="false" customHeight="true" outlineLevel="0" collapsed="false">
      <c r="A35" s="4" t="s">
        <v>187</v>
      </c>
      <c r="B35" s="42" t="s">
        <v>199</v>
      </c>
      <c r="C35" s="4" t="s">
        <v>106</v>
      </c>
      <c r="D35" s="4" t="s">
        <v>174</v>
      </c>
      <c r="E35" s="4" t="s">
        <v>175</v>
      </c>
      <c r="F35" s="43" t="n">
        <v>450000</v>
      </c>
      <c r="G35" s="43" t="n">
        <f aca="false">F35/1.19</f>
        <v>378151.260504202</v>
      </c>
      <c r="H35" s="4" t="s">
        <v>172</v>
      </c>
      <c r="I35" s="4" t="s">
        <v>189</v>
      </c>
      <c r="J35" s="4" t="str">
        <f aca="false">IF(A35="DSDV36","DVDS36",A35)</f>
        <v>DVDS36</v>
      </c>
      <c r="K35" s="4" t="n">
        <f aca="false">IF(SUMPRODUCT(('Datos - GPS Dias Ago'!$A$5:$A$88=J35)*('Datos - GPS Dias Ago'!$B$5:$B$88=TEXT(B35,"yyyy-mm-dd")))&gt;0,1,0)</f>
        <v>1</v>
      </c>
      <c r="L35" s="4" t="n">
        <f aca="false">IF(AND(COUNTIFS($I$4:I35,I35,$B$4:B35,B35)=1,K35=1),1,0)</f>
        <v>1</v>
      </c>
    </row>
    <row r="36" customFormat="false" ht="15" hidden="false" customHeight="true" outlineLevel="0" collapsed="false">
      <c r="A36" s="4" t="s">
        <v>148</v>
      </c>
      <c r="B36" s="42" t="s">
        <v>202</v>
      </c>
      <c r="C36" s="4" t="s">
        <v>108</v>
      </c>
      <c r="D36" s="4" t="s">
        <v>203</v>
      </c>
      <c r="E36" s="4" t="s">
        <v>174</v>
      </c>
      <c r="F36" s="43" t="n">
        <v>270000</v>
      </c>
      <c r="G36" s="43" t="n">
        <f aca="false">F36/1.19</f>
        <v>226890.756302521</v>
      </c>
      <c r="H36" s="4" t="s">
        <v>204</v>
      </c>
      <c r="I36" s="4" t="s">
        <v>179</v>
      </c>
      <c r="J36" s="4" t="str">
        <f aca="false">IF(A36="DSDV36","DVDS36",A36)</f>
        <v>GKFD84</v>
      </c>
      <c r="K36" s="4" t="n">
        <f aca="false">IF(SUMPRODUCT(('Datos - GPS Dias Ago'!$A$5:$A$88=J36)*('Datos - GPS Dias Ago'!$B$5:$B$88=TEXT(B36,"yyyy-mm-dd")))&gt;0,1,0)</f>
        <v>1</v>
      </c>
      <c r="L36" s="4" t="n">
        <f aca="false">IF(AND(COUNTIFS($I$4:I36,I36,$B$4:B36,B36)=1,K36=1),1,0)</f>
        <v>1</v>
      </c>
    </row>
    <row r="37" customFormat="false" ht="15" hidden="false" customHeight="true" outlineLevel="0" collapsed="false">
      <c r="A37" s="4" t="s">
        <v>147</v>
      </c>
      <c r="B37" s="42" t="s">
        <v>199</v>
      </c>
      <c r="C37" s="4" t="s">
        <v>105</v>
      </c>
      <c r="D37" s="4" t="s">
        <v>170</v>
      </c>
      <c r="E37" s="4" t="s">
        <v>184</v>
      </c>
      <c r="F37" s="43" t="n">
        <v>393652</v>
      </c>
      <c r="G37" s="43" t="n">
        <f aca="false">F37/1.19</f>
        <v>330800</v>
      </c>
      <c r="H37" s="4" t="s">
        <v>172</v>
      </c>
      <c r="I37" s="4" t="s">
        <v>173</v>
      </c>
      <c r="J37" s="4" t="str">
        <f aca="false">IF(A37="DSDV36","DVDS36",A37)</f>
        <v>GCFF12</v>
      </c>
      <c r="K37" s="4" t="n">
        <f aca="false">IF(SUMPRODUCT(('Datos - GPS Dias Ago'!$A$5:$A$88=J37)*('Datos - GPS Dias Ago'!$B$5:$B$88=TEXT(B37,"yyyy-mm-dd")))&gt;0,1,0)</f>
        <v>1</v>
      </c>
      <c r="L37" s="4" t="n">
        <f aca="false">IF(AND(COUNTIFS($I$4:I37,I37,$B$4:B37,B37)=1,K37=1),1,0)</f>
        <v>0</v>
      </c>
    </row>
    <row r="38" customFormat="false" ht="15" hidden="false" customHeight="true" outlineLevel="0" collapsed="false">
      <c r="A38" s="4" t="s">
        <v>147</v>
      </c>
      <c r="B38" s="42" t="s">
        <v>201</v>
      </c>
      <c r="C38" s="4" t="s">
        <v>105</v>
      </c>
      <c r="D38" s="4" t="s">
        <v>170</v>
      </c>
      <c r="E38" s="4" t="s">
        <v>184</v>
      </c>
      <c r="F38" s="43" t="n">
        <v>393652</v>
      </c>
      <c r="G38" s="43" t="n">
        <f aca="false">F38/1.19</f>
        <v>330800</v>
      </c>
      <c r="H38" s="4" t="s">
        <v>172</v>
      </c>
      <c r="I38" s="4" t="s">
        <v>173</v>
      </c>
      <c r="J38" s="4" t="str">
        <f aca="false">IF(A38="DSDV36","DVDS36",A38)</f>
        <v>GCFF12</v>
      </c>
      <c r="K38" s="4" t="n">
        <f aca="false">IF(SUMPRODUCT(('Datos - GPS Dias Ago'!$A$5:$A$88=J38)*('Datos - GPS Dias Ago'!$B$5:$B$88=TEXT(B38,"yyyy-mm-dd")))&gt;0,1,0)</f>
        <v>1</v>
      </c>
      <c r="L38" s="4" t="n">
        <f aca="false">IF(AND(COUNTIFS($I$4:I38,I38,$B$4:B38,B38)=1,K38=1),1,0)</f>
        <v>0</v>
      </c>
    </row>
    <row r="39" customFormat="false" ht="15" hidden="false" customHeight="true" outlineLevel="0" collapsed="false">
      <c r="A39" s="4" t="s">
        <v>147</v>
      </c>
      <c r="B39" s="42" t="s">
        <v>201</v>
      </c>
      <c r="C39" s="4" t="s">
        <v>105</v>
      </c>
      <c r="D39" s="4" t="s">
        <v>170</v>
      </c>
      <c r="E39" s="4" t="s">
        <v>184</v>
      </c>
      <c r="F39" s="43" t="n">
        <v>393652</v>
      </c>
      <c r="G39" s="43" t="n">
        <f aca="false">F39/1.19</f>
        <v>330800</v>
      </c>
      <c r="H39" s="4" t="s">
        <v>172</v>
      </c>
      <c r="I39" s="4" t="s">
        <v>173</v>
      </c>
      <c r="J39" s="4" t="str">
        <f aca="false">IF(A39="DSDV36","DVDS36",A39)</f>
        <v>GCFF12</v>
      </c>
      <c r="K39" s="4" t="n">
        <f aca="false">IF(SUMPRODUCT(('Datos - GPS Dias Ago'!$A$5:$A$88=J39)*('Datos - GPS Dias Ago'!$B$5:$B$88=TEXT(B39,"yyyy-mm-dd")))&gt;0,1,0)</f>
        <v>1</v>
      </c>
      <c r="L39" s="4" t="n">
        <f aca="false">IF(AND(COUNTIFS($I$4:I39,I39,$B$4:B39,B39)=1,K39=1),1,0)</f>
        <v>0</v>
      </c>
    </row>
    <row r="40" customFormat="false" ht="15" hidden="false" customHeight="true" outlineLevel="0" collapsed="false">
      <c r="A40" s="4" t="s">
        <v>147</v>
      </c>
      <c r="B40" s="42" t="s">
        <v>205</v>
      </c>
      <c r="C40" s="4" t="s">
        <v>105</v>
      </c>
      <c r="D40" s="4" t="s">
        <v>193</v>
      </c>
      <c r="E40" s="4" t="s">
        <v>206</v>
      </c>
      <c r="F40" s="43" t="n">
        <v>416500</v>
      </c>
      <c r="G40" s="43" t="n">
        <f aca="false">F40/1.19</f>
        <v>350000</v>
      </c>
      <c r="H40" s="4" t="s">
        <v>172</v>
      </c>
      <c r="I40" s="4" t="s">
        <v>173</v>
      </c>
      <c r="J40" s="4" t="str">
        <f aca="false">IF(A40="DSDV36","DVDS36",A40)</f>
        <v>GCFF12</v>
      </c>
      <c r="K40" s="4" t="n">
        <f aca="false">IF(SUMPRODUCT(('Datos - GPS Dias Ago'!$A$5:$A$88=J40)*('Datos - GPS Dias Ago'!$B$5:$B$88=TEXT(B40,"yyyy-mm-dd")))&gt;0,1,0)</f>
        <v>0</v>
      </c>
      <c r="L40" s="4" t="n">
        <f aca="false">IF(AND(COUNTIFS($I$4:I40,I40,$B$4:B40,B40)=1,K40=1),1,0)</f>
        <v>0</v>
      </c>
    </row>
    <row r="41" customFormat="false" ht="15" hidden="false" customHeight="true" outlineLevel="0" collapsed="false">
      <c r="A41" s="4" t="s">
        <v>148</v>
      </c>
      <c r="B41" s="42" t="s">
        <v>205</v>
      </c>
      <c r="C41" s="4" t="s">
        <v>104</v>
      </c>
      <c r="D41" s="4" t="s">
        <v>170</v>
      </c>
      <c r="E41" s="4" t="s">
        <v>207</v>
      </c>
      <c r="F41" s="43" t="n">
        <v>668669.33</v>
      </c>
      <c r="G41" s="43" t="n">
        <f aca="false">F41/1.19</f>
        <v>561907</v>
      </c>
      <c r="H41" s="4" t="s">
        <v>172</v>
      </c>
      <c r="I41" s="4" t="s">
        <v>179</v>
      </c>
      <c r="J41" s="4" t="str">
        <f aca="false">IF(A41="DSDV36","DVDS36",A41)</f>
        <v>GKFD84</v>
      </c>
      <c r="K41" s="4" t="n">
        <f aca="false">IF(SUMPRODUCT(('Datos - GPS Dias Ago'!$A$5:$A$88=J41)*('Datos - GPS Dias Ago'!$B$5:$B$88=TEXT(B41,"yyyy-mm-dd")))&gt;0,1,0)</f>
        <v>0</v>
      </c>
      <c r="L41" s="4" t="n">
        <f aca="false">IF(AND(COUNTIFS($I$4:I41,I41,$B$4:B41,B41)=1,K41=1),1,0)</f>
        <v>0</v>
      </c>
    </row>
    <row r="42" customFormat="false" ht="15" hidden="false" customHeight="true" outlineLevel="0" collapsed="false">
      <c r="A42" s="4" t="s">
        <v>147</v>
      </c>
      <c r="B42" s="42" t="s">
        <v>208</v>
      </c>
      <c r="C42" s="4" t="s">
        <v>104</v>
      </c>
      <c r="D42" s="4" t="s">
        <v>170</v>
      </c>
      <c r="E42" s="4" t="s">
        <v>196</v>
      </c>
      <c r="F42" s="43" t="n">
        <v>390678.19</v>
      </c>
      <c r="G42" s="43" t="n">
        <f aca="false">F42/1.19</f>
        <v>328301</v>
      </c>
      <c r="H42" s="4" t="s">
        <v>172</v>
      </c>
      <c r="I42" s="4" t="s">
        <v>173</v>
      </c>
      <c r="J42" s="4" t="str">
        <f aca="false">IF(A42="DSDV36","DVDS36",A42)</f>
        <v>GCFF12</v>
      </c>
      <c r="K42" s="4" t="n">
        <f aca="false">IF(SUMPRODUCT(('Datos - GPS Dias Ago'!$A$5:$A$88=J42)*('Datos - GPS Dias Ago'!$B$5:$B$88=TEXT(B42,"yyyy-mm-dd")))&gt;0,1,0)</f>
        <v>1</v>
      </c>
      <c r="L42" s="4" t="n">
        <f aca="false">IF(AND(COUNTIFS($I$4:I42,I42,$B$4:B42,B42)=1,K42=1),1,0)</f>
        <v>1</v>
      </c>
    </row>
    <row r="43" customFormat="false" ht="15" hidden="false" customHeight="true" outlineLevel="0" collapsed="false">
      <c r="A43" s="4" t="s">
        <v>150</v>
      </c>
      <c r="B43" s="42" t="s">
        <v>208</v>
      </c>
      <c r="C43" s="4" t="s">
        <v>104</v>
      </c>
      <c r="D43" s="4" t="s">
        <v>170</v>
      </c>
      <c r="E43" s="4" t="s">
        <v>209</v>
      </c>
      <c r="F43" s="43" t="n">
        <v>545851.81</v>
      </c>
      <c r="G43" s="43" t="n">
        <f aca="false">F43/1.19</f>
        <v>458699</v>
      </c>
      <c r="H43" s="4" t="s">
        <v>172</v>
      </c>
      <c r="I43" s="4" t="s">
        <v>176</v>
      </c>
      <c r="J43" s="4" t="str">
        <f aca="false">IF(A43="DSDV36","DVDS36",A43)</f>
        <v>XR8555</v>
      </c>
      <c r="K43" s="4" t="n">
        <f aca="false">IF(SUMPRODUCT(('Datos - GPS Dias Ago'!$A$5:$A$88=J43)*('Datos - GPS Dias Ago'!$B$5:$B$88=TEXT(B43,"yyyy-mm-dd")))&gt;0,1,0)</f>
        <v>1</v>
      </c>
      <c r="L43" s="4" t="n">
        <f aca="false">IF(AND(COUNTIFS($I$4:I43,I43,$B$4:B43,B43)=1,K43=1),1,0)</f>
        <v>1</v>
      </c>
    </row>
    <row r="44" customFormat="false" ht="15" hidden="false" customHeight="true" outlineLevel="0" collapsed="false">
      <c r="A44" s="4" t="s">
        <v>150</v>
      </c>
      <c r="B44" s="42" t="s">
        <v>210</v>
      </c>
      <c r="C44" s="4" t="s">
        <v>104</v>
      </c>
      <c r="D44" s="4" t="s">
        <v>170</v>
      </c>
      <c r="E44" s="4" t="s">
        <v>182</v>
      </c>
      <c r="F44" s="43" t="n">
        <v>545851.81</v>
      </c>
      <c r="G44" s="43" t="n">
        <f aca="false">F44/1.19</f>
        <v>458699</v>
      </c>
      <c r="H44" s="4" t="s">
        <v>172</v>
      </c>
      <c r="I44" s="4" t="s">
        <v>176</v>
      </c>
      <c r="J44" s="4" t="str">
        <f aca="false">IF(A44="DSDV36","DVDS36",A44)</f>
        <v>XR8555</v>
      </c>
      <c r="K44" s="4" t="n">
        <f aca="false">IF(SUMPRODUCT(('Datos - GPS Dias Ago'!$A$5:$A$88=J44)*('Datos - GPS Dias Ago'!$B$5:$B$88=TEXT(B44,"yyyy-mm-dd")))&gt;0,1,0)</f>
        <v>1</v>
      </c>
      <c r="L44" s="4" t="n">
        <f aca="false">IF(AND(COUNTIFS($I$4:I44,I44,$B$4:B44,B44)=1,K44=1),1,0)</f>
        <v>1</v>
      </c>
    </row>
    <row r="45" customFormat="false" ht="15" hidden="false" customHeight="true" outlineLevel="0" collapsed="false">
      <c r="A45" s="4" t="s">
        <v>147</v>
      </c>
      <c r="B45" s="42" t="s">
        <v>210</v>
      </c>
      <c r="C45" s="4" t="s">
        <v>104</v>
      </c>
      <c r="D45" s="4" t="s">
        <v>170</v>
      </c>
      <c r="E45" s="4" t="s">
        <v>211</v>
      </c>
      <c r="F45" s="43" t="n">
        <v>534072</v>
      </c>
      <c r="G45" s="43" t="n">
        <f aca="false">F45/1.19</f>
        <v>448800</v>
      </c>
      <c r="H45" s="4" t="s">
        <v>172</v>
      </c>
      <c r="I45" s="4" t="s">
        <v>173</v>
      </c>
      <c r="J45" s="4" t="str">
        <f aca="false">IF(A45="DSDV36","DVDS36",A45)</f>
        <v>GCFF12</v>
      </c>
      <c r="K45" s="4" t="n">
        <f aca="false">IF(SUMPRODUCT(('Datos - GPS Dias Ago'!$A$5:$A$88=J45)*('Datos - GPS Dias Ago'!$B$5:$B$88=TEXT(B45,"yyyy-mm-dd")))&gt;0,1,0)</f>
        <v>1</v>
      </c>
      <c r="L45" s="4" t="n">
        <f aca="false">IF(AND(COUNTIFS($I$4:I45,I45,$B$4:B45,B45)=1,K45=1),1,0)</f>
        <v>1</v>
      </c>
    </row>
    <row r="46" customFormat="false" ht="15" hidden="false" customHeight="true" outlineLevel="0" collapsed="false">
      <c r="A46" s="4" t="s">
        <v>148</v>
      </c>
      <c r="B46" s="42" t="s">
        <v>210</v>
      </c>
      <c r="C46" s="4" t="s">
        <v>104</v>
      </c>
      <c r="D46" s="4" t="s">
        <v>170</v>
      </c>
      <c r="E46" s="4" t="s">
        <v>212</v>
      </c>
      <c r="F46" s="43" t="n">
        <v>668669.33</v>
      </c>
      <c r="G46" s="43" t="n">
        <f aca="false">F46/1.19</f>
        <v>561907</v>
      </c>
      <c r="H46" s="4" t="s">
        <v>172</v>
      </c>
      <c r="I46" s="4" t="s">
        <v>179</v>
      </c>
      <c r="J46" s="4" t="str">
        <f aca="false">IF(A46="DSDV36","DVDS36",A46)</f>
        <v>GKFD84</v>
      </c>
      <c r="K46" s="4" t="n">
        <f aca="false">IF(SUMPRODUCT(('Datos - GPS Dias Ago'!$A$5:$A$88=J46)*('Datos - GPS Dias Ago'!$B$5:$B$88=TEXT(B46,"yyyy-mm-dd")))&gt;0,1,0)</f>
        <v>1</v>
      </c>
      <c r="L46" s="4" t="n">
        <f aca="false">IF(AND(COUNTIFS($I$4:I46,I46,$B$4:B46,B46)=1,K46=1),1,0)</f>
        <v>1</v>
      </c>
    </row>
    <row r="47" customFormat="false" ht="15" hidden="false" customHeight="true" outlineLevel="0" collapsed="false">
      <c r="A47" s="4" t="s">
        <v>148</v>
      </c>
      <c r="B47" s="42" t="s">
        <v>213</v>
      </c>
      <c r="C47" s="4" t="s">
        <v>104</v>
      </c>
      <c r="D47" s="4" t="s">
        <v>170</v>
      </c>
      <c r="E47" s="4" t="s">
        <v>214</v>
      </c>
      <c r="F47" s="43" t="n">
        <v>796962.04</v>
      </c>
      <c r="G47" s="43" t="n">
        <f aca="false">F47/1.19</f>
        <v>669716</v>
      </c>
      <c r="H47" s="4" t="s">
        <v>172</v>
      </c>
      <c r="I47" s="4" t="s">
        <v>179</v>
      </c>
      <c r="J47" s="4" t="str">
        <f aca="false">IF(A47="DSDV36","DVDS36",A47)</f>
        <v>GKFD84</v>
      </c>
      <c r="K47" s="4" t="n">
        <f aca="false">IF(SUMPRODUCT(('Datos - GPS Dias Ago'!$A$5:$A$88=J47)*('Datos - GPS Dias Ago'!$B$5:$B$88=TEXT(B47,"yyyy-mm-dd")))&gt;0,1,0)</f>
        <v>1</v>
      </c>
      <c r="L47" s="4" t="n">
        <f aca="false">IF(AND(COUNTIFS($I$4:I47,I47,$B$4:B47,B47)=1,K47=1),1,0)</f>
        <v>1</v>
      </c>
    </row>
    <row r="48" customFormat="false" ht="15" hidden="false" customHeight="true" outlineLevel="0" collapsed="false">
      <c r="A48" s="4" t="s">
        <v>187</v>
      </c>
      <c r="B48" s="42" t="s">
        <v>210</v>
      </c>
      <c r="C48" s="4" t="s">
        <v>106</v>
      </c>
      <c r="D48" s="4" t="s">
        <v>174</v>
      </c>
      <c r="E48" s="4" t="s">
        <v>175</v>
      </c>
      <c r="F48" s="43" t="n">
        <v>450000</v>
      </c>
      <c r="G48" s="43" t="n">
        <f aca="false">F48/1.19</f>
        <v>378151.260504202</v>
      </c>
      <c r="H48" s="4" t="s">
        <v>172</v>
      </c>
      <c r="I48" s="4" t="s">
        <v>189</v>
      </c>
      <c r="J48" s="4" t="str">
        <f aca="false">IF(A48="DSDV36","DVDS36",A48)</f>
        <v>DVDS36</v>
      </c>
      <c r="K48" s="4" t="n">
        <f aca="false">IF(SUMPRODUCT(('Datos - GPS Dias Ago'!$A$5:$A$88=J48)*('Datos - GPS Dias Ago'!$B$5:$B$88=TEXT(B48,"yyyy-mm-dd")))&gt;0,1,0)</f>
        <v>1</v>
      </c>
      <c r="L48" s="4" t="n">
        <f aca="false">IF(AND(COUNTIFS($I$4:I48,I48,$B$4:B48,B48)=1,K48=1),1,0)</f>
        <v>1</v>
      </c>
    </row>
    <row r="49" customFormat="false" ht="15" hidden="false" customHeight="true" outlineLevel="0" collapsed="false">
      <c r="A49" s="4" t="s">
        <v>215</v>
      </c>
      <c r="B49" s="42" t="s">
        <v>213</v>
      </c>
      <c r="C49" s="4" t="s">
        <v>108</v>
      </c>
      <c r="D49" s="4" t="s">
        <v>203</v>
      </c>
      <c r="E49" s="4" t="s">
        <v>174</v>
      </c>
      <c r="F49" s="43" t="n">
        <v>270000</v>
      </c>
      <c r="G49" s="43" t="n">
        <f aca="false">F49/1.19</f>
        <v>226890.756302521</v>
      </c>
      <c r="H49" s="4" t="s">
        <v>204</v>
      </c>
      <c r="I49" s="4" t="s">
        <v>216</v>
      </c>
      <c r="J49" s="4" t="str">
        <f aca="false">IF(A49="DSDV36","DVDS36",A49)</f>
        <v>-</v>
      </c>
      <c r="K49" s="4" t="n">
        <f aca="false">IF(SUMPRODUCT(('Datos - GPS Dias Ago'!$A$5:$A$88=J49)*('Datos - GPS Dias Ago'!$B$5:$B$88=TEXT(B49,"yyyy-mm-dd")))&gt;0,1,0)</f>
        <v>0</v>
      </c>
      <c r="L49" s="4" t="n">
        <f aca="false">IF(AND(COUNTIFS($I$4:I49,I49,$B$4:B49,B49)=1,K49=1),1,0)</f>
        <v>0</v>
      </c>
    </row>
    <row r="50" customFormat="false" ht="15" hidden="false" customHeight="true" outlineLevel="0" collapsed="false">
      <c r="A50" s="4" t="s">
        <v>215</v>
      </c>
      <c r="B50" s="42" t="s">
        <v>213</v>
      </c>
      <c r="C50" s="4" t="s">
        <v>110</v>
      </c>
      <c r="D50" s="4" t="s">
        <v>195</v>
      </c>
      <c r="E50" s="4" t="s">
        <v>217</v>
      </c>
      <c r="F50" s="43" t="n">
        <v>280000</v>
      </c>
      <c r="G50" s="43" t="n">
        <f aca="false">F50/1.19</f>
        <v>235294.117647059</v>
      </c>
      <c r="H50" s="4" t="s">
        <v>172</v>
      </c>
      <c r="I50" s="4" t="s">
        <v>216</v>
      </c>
      <c r="J50" s="4" t="str">
        <f aca="false">IF(A50="DSDV36","DVDS36",A50)</f>
        <v>-</v>
      </c>
      <c r="K50" s="4" t="n">
        <f aca="false">IF(SUMPRODUCT(('Datos - GPS Dias Ago'!$A$5:$A$88=J50)*('Datos - GPS Dias Ago'!$B$5:$B$88=TEXT(B50,"yyyy-mm-dd")))&gt;0,1,0)</f>
        <v>0</v>
      </c>
      <c r="L50" s="4" t="n">
        <f aca="false">IF(AND(COUNTIFS($I$4:I50,I50,$B$4:B50,B50)=1,K50=1),1,0)</f>
        <v>0</v>
      </c>
    </row>
    <row r="51" customFormat="false" ht="15" hidden="false" customHeight="true" outlineLevel="0" collapsed="false">
      <c r="A51" s="4" t="s">
        <v>187</v>
      </c>
      <c r="B51" s="42" t="s">
        <v>213</v>
      </c>
      <c r="C51" s="4" t="s">
        <v>110</v>
      </c>
      <c r="D51" s="4" t="s">
        <v>195</v>
      </c>
      <c r="E51" s="4" t="s">
        <v>218</v>
      </c>
      <c r="F51" s="43" t="n">
        <v>499800</v>
      </c>
      <c r="G51" s="43" t="n">
        <f aca="false">F51/1.19</f>
        <v>420000</v>
      </c>
      <c r="H51" s="4" t="s">
        <v>172</v>
      </c>
      <c r="I51" s="4" t="s">
        <v>189</v>
      </c>
      <c r="J51" s="4" t="str">
        <f aca="false">IF(A51="DSDV36","DVDS36",A51)</f>
        <v>DVDS36</v>
      </c>
      <c r="K51" s="4" t="n">
        <f aca="false">IF(SUMPRODUCT(('Datos - GPS Dias Ago'!$A$5:$A$88=J51)*('Datos - GPS Dias Ago'!$B$5:$B$88=TEXT(B51,"yyyy-mm-dd")))&gt;0,1,0)</f>
        <v>1</v>
      </c>
      <c r="L51" s="4" t="n">
        <f aca="false">IF(AND(COUNTIFS($I$4:I51,I51,$B$4:B51,B51)=1,K51=1),1,0)</f>
        <v>1</v>
      </c>
    </row>
    <row r="52" customFormat="false" ht="15" hidden="false" customHeight="true" outlineLevel="0" collapsed="false">
      <c r="A52" s="4" t="s">
        <v>149</v>
      </c>
      <c r="B52" s="42" t="s">
        <v>213</v>
      </c>
      <c r="C52" s="4" t="s">
        <v>109</v>
      </c>
      <c r="D52" s="4" t="s">
        <v>219</v>
      </c>
      <c r="E52" s="4" t="s">
        <v>220</v>
      </c>
      <c r="F52" s="43" t="n">
        <v>136315.69</v>
      </c>
      <c r="G52" s="43" t="n">
        <f aca="false">F52/1.19</f>
        <v>114551</v>
      </c>
      <c r="H52" s="4" t="s">
        <v>172</v>
      </c>
      <c r="I52" s="4" t="s">
        <v>176</v>
      </c>
      <c r="J52" s="4" t="str">
        <f aca="false">IF(A52="DSDV36","DVDS36",A52)</f>
        <v>WR9192</v>
      </c>
      <c r="K52" s="4" t="n">
        <f aca="false">IF(SUMPRODUCT(('Datos - GPS Dias Ago'!$A$5:$A$88=J52)*('Datos - GPS Dias Ago'!$B$5:$B$88=TEXT(B52,"yyyy-mm-dd")))&gt;0,1,0)</f>
        <v>1</v>
      </c>
      <c r="L52" s="4" t="n">
        <f aca="false">IF(AND(COUNTIFS($I$4:I52,I52,$B$4:B52,B52)=1,K52=1),1,0)</f>
        <v>1</v>
      </c>
    </row>
    <row r="53" customFormat="false" ht="15" hidden="false" customHeight="true" outlineLevel="0" collapsed="false">
      <c r="A53" s="4" t="s">
        <v>149</v>
      </c>
      <c r="B53" s="42" t="s">
        <v>221</v>
      </c>
      <c r="C53" s="4" t="s">
        <v>109</v>
      </c>
      <c r="D53" s="4" t="s">
        <v>219</v>
      </c>
      <c r="E53" s="4" t="s">
        <v>220</v>
      </c>
      <c r="F53" s="43" t="n">
        <v>136315.69</v>
      </c>
      <c r="G53" s="43" t="n">
        <f aca="false">F53/1.19</f>
        <v>114551</v>
      </c>
      <c r="H53" s="4" t="s">
        <v>172</v>
      </c>
      <c r="I53" s="4" t="s">
        <v>179</v>
      </c>
      <c r="J53" s="4" t="str">
        <f aca="false">IF(A53="DSDV36","DVDS36",A53)</f>
        <v>WR9192</v>
      </c>
      <c r="K53" s="4" t="n">
        <f aca="false">IF(SUMPRODUCT(('Datos - GPS Dias Ago'!$A$5:$A$88=J53)*('Datos - GPS Dias Ago'!$B$5:$B$88=TEXT(B53,"yyyy-mm-dd")))&gt;0,1,0)</f>
        <v>0</v>
      </c>
      <c r="L53" s="4" t="n">
        <f aca="false">IF(AND(COUNTIFS($I$4:I53,I53,$B$4:B53,B53)=1,K53=1),1,0)</f>
        <v>0</v>
      </c>
    </row>
    <row r="54" customFormat="false" ht="15" hidden="false" customHeight="true" outlineLevel="0" collapsed="false">
      <c r="A54" s="4" t="s">
        <v>149</v>
      </c>
      <c r="B54" s="42" t="s">
        <v>222</v>
      </c>
      <c r="C54" s="4" t="s">
        <v>109</v>
      </c>
      <c r="D54" s="4" t="s">
        <v>223</v>
      </c>
      <c r="E54" s="4" t="s">
        <v>224</v>
      </c>
      <c r="F54" s="43" t="n">
        <v>272630.19</v>
      </c>
      <c r="G54" s="43" t="n">
        <f aca="false">F54/1.19</f>
        <v>229101</v>
      </c>
      <c r="H54" s="4" t="s">
        <v>172</v>
      </c>
      <c r="I54" s="4" t="s">
        <v>179</v>
      </c>
      <c r="J54" s="4" t="str">
        <f aca="false">IF(A54="DSDV36","DVDS36",A54)</f>
        <v>WR9192</v>
      </c>
      <c r="K54" s="4" t="n">
        <f aca="false">IF(SUMPRODUCT(('Datos - GPS Dias Ago'!$A$5:$A$88=J54)*('Datos - GPS Dias Ago'!$B$5:$B$88=TEXT(B54,"yyyy-mm-dd")))&gt;0,1,0)</f>
        <v>0</v>
      </c>
      <c r="L54" s="4" t="n">
        <f aca="false">IF(AND(COUNTIFS($I$4:I54,I54,$B$4:B54,B54)=1,K54=1),1,0)</f>
        <v>0</v>
      </c>
    </row>
    <row r="55" customFormat="false" ht="15" hidden="false" customHeight="true" outlineLevel="0" collapsed="false">
      <c r="A55" s="4" t="s">
        <v>187</v>
      </c>
      <c r="B55" s="42" t="s">
        <v>221</v>
      </c>
      <c r="C55" s="4" t="s">
        <v>106</v>
      </c>
      <c r="D55" s="4" t="s">
        <v>174</v>
      </c>
      <c r="E55" s="4" t="s">
        <v>175</v>
      </c>
      <c r="F55" s="43" t="n">
        <v>450000</v>
      </c>
      <c r="G55" s="43" t="n">
        <f aca="false">F55/1.19</f>
        <v>378151.260504202</v>
      </c>
      <c r="H55" s="4" t="s">
        <v>172</v>
      </c>
      <c r="I55" s="4" t="s">
        <v>189</v>
      </c>
      <c r="J55" s="4" t="str">
        <f aca="false">IF(A55="DSDV36","DVDS36",A55)</f>
        <v>DVDS36</v>
      </c>
      <c r="K55" s="4" t="n">
        <f aca="false">IF(SUMPRODUCT(('Datos - GPS Dias Ago'!$A$5:$A$88=J55)*('Datos - GPS Dias Ago'!$B$5:$B$88=TEXT(B55,"yyyy-mm-dd")))&gt;0,1,0)</f>
        <v>1</v>
      </c>
      <c r="L55" s="4" t="n">
        <f aca="false">IF(AND(COUNTIFS($I$4:I55,I55,$B$4:B55,B55)=1,K55=1),1,0)</f>
        <v>1</v>
      </c>
    </row>
    <row r="56" customFormat="false" ht="15" hidden="false" customHeight="true" outlineLevel="0" collapsed="false">
      <c r="A56" s="4" t="s">
        <v>150</v>
      </c>
      <c r="B56" s="42" t="s">
        <v>221</v>
      </c>
      <c r="C56" s="4" t="s">
        <v>104</v>
      </c>
      <c r="D56" s="4" t="s">
        <v>170</v>
      </c>
      <c r="E56" s="4" t="s">
        <v>225</v>
      </c>
      <c r="F56" s="43" t="n">
        <v>678491.59</v>
      </c>
      <c r="G56" s="43" t="n">
        <f aca="false">F56/1.19</f>
        <v>570161</v>
      </c>
      <c r="H56" s="4" t="s">
        <v>172</v>
      </c>
      <c r="I56" s="4" t="s">
        <v>176</v>
      </c>
      <c r="J56" s="4" t="str">
        <f aca="false">IF(A56="DSDV36","DVDS36",A56)</f>
        <v>XR8555</v>
      </c>
      <c r="K56" s="4" t="n">
        <f aca="false">IF(SUMPRODUCT(('Datos - GPS Dias Ago'!$A$5:$A$88=J56)*('Datos - GPS Dias Ago'!$B$5:$B$88=TEXT(B56,"yyyy-mm-dd")))&gt;0,1,0)</f>
        <v>1</v>
      </c>
      <c r="L56" s="4" t="n">
        <f aca="false">IF(AND(COUNTIFS($I$4:I56,I56,$B$4:B56,B56)=1,K56=1),1,0)</f>
        <v>1</v>
      </c>
    </row>
    <row r="57" customFormat="false" ht="15" hidden="false" customHeight="true" outlineLevel="0" collapsed="false">
      <c r="A57" s="4" t="s">
        <v>149</v>
      </c>
      <c r="B57" s="42" t="s">
        <v>226</v>
      </c>
      <c r="C57" s="4" t="s">
        <v>109</v>
      </c>
      <c r="D57" s="4" t="s">
        <v>219</v>
      </c>
      <c r="E57" s="4" t="s">
        <v>227</v>
      </c>
      <c r="F57" s="43" t="n">
        <v>136315.69</v>
      </c>
      <c r="G57" s="43" t="n">
        <f aca="false">F57/1.19</f>
        <v>114551</v>
      </c>
      <c r="H57" s="4" t="s">
        <v>172</v>
      </c>
      <c r="I57" s="4" t="s">
        <v>179</v>
      </c>
      <c r="J57" s="4" t="str">
        <f aca="false">IF(A57="DSDV36","DVDS36",A57)</f>
        <v>WR9192</v>
      </c>
      <c r="K57" s="4" t="n">
        <f aca="false">IF(SUMPRODUCT(('Datos - GPS Dias Ago'!$A$5:$A$88=J57)*('Datos - GPS Dias Ago'!$B$5:$B$88=TEXT(B57,"yyyy-mm-dd")))&gt;0,1,0)</f>
        <v>0</v>
      </c>
      <c r="L57" s="4" t="n">
        <f aca="false">IF(AND(COUNTIFS($I$4:I57,I57,$B$4:B57,B57)=1,K57=1),1,0)</f>
        <v>0</v>
      </c>
    </row>
    <row r="58" customFormat="false" ht="15" hidden="false" customHeight="true" outlineLevel="0" collapsed="false">
      <c r="A58" s="4" t="s">
        <v>149</v>
      </c>
      <c r="B58" s="42" t="s">
        <v>226</v>
      </c>
      <c r="C58" s="4" t="s">
        <v>109</v>
      </c>
      <c r="D58" s="4" t="s">
        <v>219</v>
      </c>
      <c r="E58" s="4" t="s">
        <v>220</v>
      </c>
      <c r="F58" s="43" t="n">
        <v>136315.69</v>
      </c>
      <c r="G58" s="43" t="n">
        <f aca="false">F58/1.19</f>
        <v>114551</v>
      </c>
      <c r="H58" s="4" t="s">
        <v>172</v>
      </c>
      <c r="I58" s="4" t="s">
        <v>179</v>
      </c>
      <c r="J58" s="4" t="str">
        <f aca="false">IF(A58="DSDV36","DVDS36",A58)</f>
        <v>WR9192</v>
      </c>
      <c r="K58" s="4" t="n">
        <f aca="false">IF(SUMPRODUCT(('Datos - GPS Dias Ago'!$A$5:$A$88=J58)*('Datos - GPS Dias Ago'!$B$5:$B$88=TEXT(B58,"yyyy-mm-dd")))&gt;0,1,0)</f>
        <v>0</v>
      </c>
      <c r="L58" s="4" t="n">
        <f aca="false">IF(AND(COUNTIFS($I$4:I58,I58,$B$4:B58,B58)=1,K58=1),1,0)</f>
        <v>0</v>
      </c>
    </row>
    <row r="59" customFormat="false" ht="15" hidden="false" customHeight="true" outlineLevel="0" collapsed="false">
      <c r="A59" s="4" t="s">
        <v>147</v>
      </c>
      <c r="B59" s="42" t="s">
        <v>221</v>
      </c>
      <c r="C59" s="4" t="s">
        <v>104</v>
      </c>
      <c r="D59" s="4" t="s">
        <v>170</v>
      </c>
      <c r="E59" s="4" t="s">
        <v>228</v>
      </c>
      <c r="F59" s="43" t="n">
        <v>938196</v>
      </c>
      <c r="G59" s="43" t="n">
        <f aca="false">F59/1.19</f>
        <v>788400</v>
      </c>
      <c r="H59" s="4" t="s">
        <v>172</v>
      </c>
      <c r="I59" s="4" t="s">
        <v>173</v>
      </c>
      <c r="J59" s="4" t="str">
        <f aca="false">IF(A59="DSDV36","DVDS36",A59)</f>
        <v>GCFF12</v>
      </c>
      <c r="K59" s="4" t="n">
        <f aca="false">IF(SUMPRODUCT(('Datos - GPS Dias Ago'!$A$5:$A$88=J59)*('Datos - GPS Dias Ago'!$B$5:$B$88=TEXT(B59,"yyyy-mm-dd")))&gt;0,1,0)</f>
        <v>1</v>
      </c>
      <c r="L59" s="4" t="n">
        <f aca="false">IF(AND(COUNTIFS($I$4:I59,I59,$B$4:B59,B59)=1,K59=1),1,0)</f>
        <v>1</v>
      </c>
    </row>
    <row r="60" customFormat="false" ht="15" hidden="false" customHeight="true" outlineLevel="0" collapsed="false">
      <c r="A60" s="4" t="s">
        <v>148</v>
      </c>
      <c r="B60" s="42" t="s">
        <v>226</v>
      </c>
      <c r="C60" s="4" t="s">
        <v>104</v>
      </c>
      <c r="D60" s="4" t="s">
        <v>170</v>
      </c>
      <c r="E60" s="4" t="s">
        <v>229</v>
      </c>
      <c r="F60" s="43" t="n">
        <v>833000</v>
      </c>
      <c r="G60" s="43" t="n">
        <f aca="false">F60/1.19</f>
        <v>700000</v>
      </c>
      <c r="H60" s="4" t="s">
        <v>172</v>
      </c>
      <c r="I60" s="4" t="s">
        <v>179</v>
      </c>
      <c r="J60" s="4" t="str">
        <f aca="false">IF(A60="DSDV36","DVDS36",A60)</f>
        <v>GKFD84</v>
      </c>
      <c r="K60" s="4" t="n">
        <f aca="false">IF(SUMPRODUCT(('Datos - GPS Dias Ago'!$A$5:$A$88=J60)*('Datos - GPS Dias Ago'!$B$5:$B$88=TEXT(B60,"yyyy-mm-dd")))&gt;0,1,0)</f>
        <v>1</v>
      </c>
      <c r="L60" s="4" t="n">
        <f aca="false">IF(AND(COUNTIFS($I$4:I60,I60,$B$4:B60,B60)=1,K60=1),1,0)</f>
        <v>0</v>
      </c>
    </row>
    <row r="61" customFormat="false" ht="15" hidden="false" customHeight="true" outlineLevel="0" collapsed="false">
      <c r="A61" s="4" t="s">
        <v>150</v>
      </c>
      <c r="B61" s="42" t="s">
        <v>226</v>
      </c>
      <c r="C61" s="4" t="s">
        <v>104</v>
      </c>
      <c r="D61" s="4" t="s">
        <v>170</v>
      </c>
      <c r="E61" s="4" t="s">
        <v>230</v>
      </c>
      <c r="F61" s="43" t="n">
        <v>808300.36</v>
      </c>
      <c r="G61" s="43" t="n">
        <f aca="false">F61/1.19</f>
        <v>679244</v>
      </c>
      <c r="H61" s="4" t="s">
        <v>172</v>
      </c>
      <c r="I61" s="4" t="s">
        <v>176</v>
      </c>
      <c r="J61" s="4" t="str">
        <f aca="false">IF(A61="DSDV36","DVDS36",A61)</f>
        <v>XR8555</v>
      </c>
      <c r="K61" s="4" t="n">
        <f aca="false">IF(SUMPRODUCT(('Datos - GPS Dias Ago'!$A$5:$A$88=J61)*('Datos - GPS Dias Ago'!$B$5:$B$88=TEXT(B61,"yyyy-mm-dd")))&gt;0,1,0)</f>
        <v>1</v>
      </c>
      <c r="L61" s="4" t="n">
        <f aca="false">IF(AND(COUNTIFS($I$4:I61,I61,$B$4:B61,B61)=1,K61=1),1,0)</f>
        <v>1</v>
      </c>
    </row>
    <row r="62" customFormat="false" ht="15" hidden="false" customHeight="true" outlineLevel="0" collapsed="false">
      <c r="A62" s="4" t="s">
        <v>215</v>
      </c>
      <c r="B62" s="42" t="s">
        <v>226</v>
      </c>
      <c r="C62" s="4" t="s">
        <v>104</v>
      </c>
      <c r="D62" s="4" t="s">
        <v>170</v>
      </c>
      <c r="E62" s="4" t="s">
        <v>231</v>
      </c>
      <c r="F62" s="43" t="n">
        <v>787312.33</v>
      </c>
      <c r="G62" s="43" t="n">
        <f aca="false">F62/1.19</f>
        <v>661607</v>
      </c>
      <c r="H62" s="4" t="s">
        <v>172</v>
      </c>
      <c r="I62" s="4" t="s">
        <v>216</v>
      </c>
      <c r="J62" s="4" t="str">
        <f aca="false">IF(A62="DSDV36","DVDS36",A62)</f>
        <v>-</v>
      </c>
      <c r="K62" s="4" t="n">
        <f aca="false">IF(SUMPRODUCT(('Datos - GPS Dias Ago'!$A$5:$A$88=J62)*('Datos - GPS Dias Ago'!$B$5:$B$88=TEXT(B62,"yyyy-mm-dd")))&gt;0,1,0)</f>
        <v>0</v>
      </c>
      <c r="L62" s="4" t="n">
        <f aca="false">IF(AND(COUNTIFS($I$4:I62,I62,$B$4:B62,B62)=1,K62=1),1,0)</f>
        <v>0</v>
      </c>
    </row>
    <row r="63" customFormat="false" ht="15" hidden="false" customHeight="true" outlineLevel="0" collapsed="false">
      <c r="A63" s="4" t="s">
        <v>147</v>
      </c>
      <c r="B63" s="42" t="s">
        <v>232</v>
      </c>
      <c r="C63" s="4" t="s">
        <v>104</v>
      </c>
      <c r="D63" s="4" t="s">
        <v>170</v>
      </c>
      <c r="E63" s="4" t="s">
        <v>233</v>
      </c>
      <c r="F63" s="43" t="n">
        <v>605472</v>
      </c>
      <c r="G63" s="43" t="n">
        <f aca="false">F63/1.19</f>
        <v>508800</v>
      </c>
      <c r="H63" s="4" t="s">
        <v>172</v>
      </c>
      <c r="I63" s="4" t="s">
        <v>173</v>
      </c>
      <c r="J63" s="4" t="str">
        <f aca="false">IF(A63="DSDV36","DVDS36",A63)</f>
        <v>GCFF12</v>
      </c>
      <c r="K63" s="4" t="n">
        <f aca="false">IF(SUMPRODUCT(('Datos - GPS Dias Ago'!$A$5:$A$88=J63)*('Datos - GPS Dias Ago'!$B$5:$B$88=TEXT(B63,"yyyy-mm-dd")))&gt;0,1,0)</f>
        <v>1</v>
      </c>
      <c r="L63" s="4" t="n">
        <f aca="false">IF(AND(COUNTIFS($I$4:I63,I63,$B$4:B63,B63)=1,K63=1),1,0)</f>
        <v>1</v>
      </c>
    </row>
    <row r="64" customFormat="false" ht="15" hidden="false" customHeight="true" outlineLevel="0" collapsed="false">
      <c r="A64" s="4" t="s">
        <v>215</v>
      </c>
      <c r="B64" s="42" t="s">
        <v>222</v>
      </c>
      <c r="C64" s="4" t="s">
        <v>104</v>
      </c>
      <c r="D64" s="4" t="s">
        <v>170</v>
      </c>
      <c r="E64" s="4" t="s">
        <v>234</v>
      </c>
      <c r="F64" s="43" t="n">
        <v>808300.36</v>
      </c>
      <c r="G64" s="43" t="n">
        <f aca="false">F64/1.19</f>
        <v>679244</v>
      </c>
      <c r="H64" s="4" t="s">
        <v>172</v>
      </c>
      <c r="I64" s="4"/>
      <c r="J64" s="4" t="str">
        <f aca="false">IF(A64="DSDV36","DVDS36",A64)</f>
        <v>-</v>
      </c>
      <c r="K64" s="4" t="n">
        <f aca="false">IF(SUMPRODUCT(('Datos - GPS Dias Ago'!$A$5:$A$88=J64)*('Datos - GPS Dias Ago'!$B$5:$B$88=TEXT(B64,"yyyy-mm-dd")))&gt;0,1,0)</f>
        <v>0</v>
      </c>
      <c r="L64" s="4" t="n">
        <f aca="false">IF(AND(COUNTIFS($I$4:I64,I64,$B$4:B64,B64)=1,K64=1),1,0)</f>
        <v>0</v>
      </c>
    </row>
    <row r="65" customFormat="false" ht="15" hidden="false" customHeight="true" outlineLevel="0" collapsed="false">
      <c r="A65" s="4" t="s">
        <v>150</v>
      </c>
      <c r="B65" s="42" t="s">
        <v>222</v>
      </c>
      <c r="C65" s="4" t="s">
        <v>104</v>
      </c>
      <c r="D65" s="4" t="s">
        <v>170</v>
      </c>
      <c r="E65" s="4" t="s">
        <v>191</v>
      </c>
      <c r="F65" s="43" t="n">
        <v>654162.04</v>
      </c>
      <c r="G65" s="43" t="n">
        <f aca="false">F65/1.19</f>
        <v>549716</v>
      </c>
      <c r="H65" s="4" t="s">
        <v>172</v>
      </c>
      <c r="I65" s="4" t="s">
        <v>176</v>
      </c>
      <c r="J65" s="4" t="str">
        <f aca="false">IF(A65="DSDV36","DVDS36",A65)</f>
        <v>XR8555</v>
      </c>
      <c r="K65" s="4" t="n">
        <f aca="false">IF(SUMPRODUCT(('Datos - GPS Dias Ago'!$A$5:$A$88=J65)*('Datos - GPS Dias Ago'!$B$5:$B$88=TEXT(B65,"yyyy-mm-dd")))&gt;0,1,0)</f>
        <v>1</v>
      </c>
      <c r="L65" s="4" t="n">
        <f aca="false">IF(AND(COUNTIFS($I$4:I65,I65,$B$4:B65,B65)=1,K65=1),1,0)</f>
        <v>1</v>
      </c>
    </row>
    <row r="66" customFormat="false" ht="15" hidden="false" customHeight="true" outlineLevel="0" collapsed="false">
      <c r="A66" s="4" t="s">
        <v>148</v>
      </c>
      <c r="B66" s="42" t="s">
        <v>222</v>
      </c>
      <c r="C66" s="4" t="s">
        <v>104</v>
      </c>
      <c r="D66" s="4" t="s">
        <v>170</v>
      </c>
      <c r="E66" s="4" t="s">
        <v>235</v>
      </c>
      <c r="F66" s="43" t="n">
        <v>1025669.33</v>
      </c>
      <c r="G66" s="43" t="n">
        <f aca="false">F66/1.19</f>
        <v>861907</v>
      </c>
      <c r="H66" s="4" t="s">
        <v>172</v>
      </c>
      <c r="I66" s="4" t="s">
        <v>179</v>
      </c>
      <c r="J66" s="4" t="str">
        <f aca="false">IF(A66="DSDV36","DVDS36",A66)</f>
        <v>GKFD84</v>
      </c>
      <c r="K66" s="4" t="n">
        <f aca="false">IF(SUMPRODUCT(('Datos - GPS Dias Ago'!$A$5:$A$88=J66)*('Datos - GPS Dias Ago'!$B$5:$B$88=TEXT(B66,"yyyy-mm-dd")))&gt;0,1,0)</f>
        <v>1</v>
      </c>
      <c r="L66" s="4" t="n">
        <f aca="false">IF(AND(COUNTIFS($I$4:I66,I66,$B$4:B66,B66)=1,K66=1),1,0)</f>
        <v>0</v>
      </c>
    </row>
    <row r="67" customFormat="false" ht="15" hidden="false" customHeight="true" outlineLevel="0" collapsed="false">
      <c r="A67" s="4" t="s">
        <v>147</v>
      </c>
      <c r="B67" s="42" t="s">
        <v>222</v>
      </c>
      <c r="C67" s="4" t="s">
        <v>104</v>
      </c>
      <c r="D67" s="4" t="s">
        <v>170</v>
      </c>
      <c r="E67" s="4" t="s">
        <v>236</v>
      </c>
      <c r="F67" s="43" t="n">
        <v>747796</v>
      </c>
      <c r="G67" s="43" t="n">
        <f aca="false">F67/1.19</f>
        <v>628400</v>
      </c>
      <c r="H67" s="4" t="s">
        <v>172</v>
      </c>
      <c r="I67" s="4" t="s">
        <v>173</v>
      </c>
      <c r="J67" s="4" t="str">
        <f aca="false">IF(A67="DSDV36","DVDS36",A67)</f>
        <v>GCFF12</v>
      </c>
      <c r="K67" s="4" t="n">
        <f aca="false">IF(SUMPRODUCT(('Datos - GPS Dias Ago'!$A$5:$A$88=J67)*('Datos - GPS Dias Ago'!$B$5:$B$88=TEXT(B67,"yyyy-mm-dd")))&gt;0,1,0)</f>
        <v>1</v>
      </c>
      <c r="L67" s="4" t="n">
        <f aca="false">IF(AND(COUNTIFS($I$4:I67,I67,$B$4:B67,B67)=1,K67=1),1,0)</f>
        <v>1</v>
      </c>
    </row>
    <row r="68" customFormat="false" ht="15" hidden="false" customHeight="true" outlineLevel="0" collapsed="false">
      <c r="A68" s="4" t="s">
        <v>187</v>
      </c>
      <c r="B68" s="42" t="s">
        <v>232</v>
      </c>
      <c r="C68" s="4" t="s">
        <v>108</v>
      </c>
      <c r="D68" s="4" t="s">
        <v>203</v>
      </c>
      <c r="E68" s="4" t="s">
        <v>174</v>
      </c>
      <c r="F68" s="43" t="n">
        <v>270000</v>
      </c>
      <c r="G68" s="43" t="n">
        <f aca="false">F68/1.19</f>
        <v>226890.756302521</v>
      </c>
      <c r="H68" s="4" t="s">
        <v>172</v>
      </c>
      <c r="I68" s="4" t="s">
        <v>237</v>
      </c>
      <c r="J68" s="4" t="str">
        <f aca="false">IF(A68="DSDV36","DVDS36",A68)</f>
        <v>DVDS36</v>
      </c>
      <c r="K68" s="4" t="n">
        <f aca="false">IF(SUMPRODUCT(('Datos - GPS Dias Ago'!$A$5:$A$88=J68)*('Datos - GPS Dias Ago'!$B$5:$B$88=TEXT(B68,"yyyy-mm-dd")))&gt;0,1,0)</f>
        <v>1</v>
      </c>
      <c r="L68" s="4" t="n">
        <f aca="false">IF(AND(COUNTIFS($I$4:I68,I68,$B$4:B68,B68)=1,K68=1),1,0)</f>
        <v>1</v>
      </c>
    </row>
    <row r="69" customFormat="false" ht="15" hidden="false" customHeight="true" outlineLevel="0" collapsed="false">
      <c r="A69" s="4" t="s">
        <v>187</v>
      </c>
      <c r="B69" s="42" t="s">
        <v>222</v>
      </c>
      <c r="C69" s="4" t="s">
        <v>108</v>
      </c>
      <c r="D69" s="4" t="s">
        <v>203</v>
      </c>
      <c r="E69" s="4" t="s">
        <v>174</v>
      </c>
      <c r="F69" s="43" t="n">
        <v>270000</v>
      </c>
      <c r="G69" s="43" t="n">
        <f aca="false">F69/1.19</f>
        <v>226890.756302521</v>
      </c>
      <c r="H69" s="4" t="s">
        <v>172</v>
      </c>
      <c r="I69" s="4" t="s">
        <v>237</v>
      </c>
      <c r="J69" s="4" t="str">
        <f aca="false">IF(A69="DSDV36","DVDS36",A69)</f>
        <v>DVDS36</v>
      </c>
      <c r="K69" s="4" t="n">
        <f aca="false">IF(SUMPRODUCT(('Datos - GPS Dias Ago'!$A$5:$A$88=J69)*('Datos - GPS Dias Ago'!$B$5:$B$88=TEXT(B69,"yyyy-mm-dd")))&gt;0,1,0)</f>
        <v>1</v>
      </c>
      <c r="L69" s="4" t="n">
        <f aca="false">IF(AND(COUNTIFS($I$4:I69,I69,$B$4:B69,B69)=1,K69=1),1,0)</f>
        <v>1</v>
      </c>
    </row>
    <row r="70" customFormat="false" ht="15" hidden="false" customHeight="true" outlineLevel="0" collapsed="false">
      <c r="A70" s="4" t="s">
        <v>187</v>
      </c>
      <c r="B70" s="42" t="s">
        <v>222</v>
      </c>
      <c r="C70" s="4" t="s">
        <v>106</v>
      </c>
      <c r="D70" s="4" t="s">
        <v>174</v>
      </c>
      <c r="E70" s="4" t="s">
        <v>175</v>
      </c>
      <c r="F70" s="43" t="n">
        <v>450000</v>
      </c>
      <c r="G70" s="43" t="n">
        <f aca="false">F70/1.19</f>
        <v>378151.260504202</v>
      </c>
      <c r="H70" s="4" t="s">
        <v>172</v>
      </c>
      <c r="I70" s="4" t="s">
        <v>237</v>
      </c>
      <c r="J70" s="4" t="str">
        <f aca="false">IF(A70="DSDV36","DVDS36",A70)</f>
        <v>DVDS36</v>
      </c>
      <c r="K70" s="4" t="n">
        <f aca="false">IF(SUMPRODUCT(('Datos - GPS Dias Ago'!$A$5:$A$88=J70)*('Datos - GPS Dias Ago'!$B$5:$B$88=TEXT(B70,"yyyy-mm-dd")))&gt;0,1,0)</f>
        <v>1</v>
      </c>
      <c r="L70" s="4" t="n">
        <f aca="false">IF(AND(COUNTIFS($I$4:I70,I70,$B$4:B70,B70)=1,K70=1),1,0)</f>
        <v>0</v>
      </c>
    </row>
    <row r="71" customFormat="false" ht="15" hidden="false" customHeight="true" outlineLevel="0" collapsed="false">
      <c r="A71" s="4" t="s">
        <v>147</v>
      </c>
      <c r="B71" s="42" t="s">
        <v>238</v>
      </c>
      <c r="C71" s="4" t="s">
        <v>104</v>
      </c>
      <c r="D71" s="4" t="s">
        <v>170</v>
      </c>
      <c r="E71" s="4" t="s">
        <v>191</v>
      </c>
      <c r="F71" s="43" t="n">
        <v>654162.04</v>
      </c>
      <c r="G71" s="43" t="n">
        <f aca="false">F71/1.19</f>
        <v>549716</v>
      </c>
      <c r="H71" s="4" t="s">
        <v>172</v>
      </c>
      <c r="I71" s="4" t="s">
        <v>173</v>
      </c>
      <c r="J71" s="4" t="str">
        <f aca="false">IF(A71="DSDV36","DVDS36",A71)</f>
        <v>GCFF12</v>
      </c>
      <c r="K71" s="4" t="n">
        <f aca="false">IF(SUMPRODUCT(('Datos - GPS Dias Ago'!$A$5:$A$88=J71)*('Datos - GPS Dias Ago'!$B$5:$B$88=TEXT(B71,"yyyy-mm-dd")))&gt;0,1,0)</f>
        <v>1</v>
      </c>
      <c r="L71" s="4" t="n">
        <f aca="false">IF(AND(COUNTIFS($I$4:I71,I71,$B$4:B71,B71)=1,K71=1),1,0)</f>
        <v>1</v>
      </c>
    </row>
    <row r="72" customFormat="false" ht="15" hidden="false" customHeight="true" outlineLevel="0" collapsed="false">
      <c r="A72" s="4" t="s">
        <v>187</v>
      </c>
      <c r="B72" s="42" t="s">
        <v>239</v>
      </c>
      <c r="C72" s="4" t="s">
        <v>106</v>
      </c>
      <c r="D72" s="4" t="s">
        <v>174</v>
      </c>
      <c r="E72" s="4" t="s">
        <v>175</v>
      </c>
      <c r="F72" s="43" t="n">
        <v>450000</v>
      </c>
      <c r="G72" s="43" t="n">
        <f aca="false">F72/1.19</f>
        <v>378151.260504202</v>
      </c>
      <c r="H72" s="4" t="s">
        <v>204</v>
      </c>
      <c r="I72" s="4" t="s">
        <v>173</v>
      </c>
      <c r="J72" s="4" t="str">
        <f aca="false">IF(A72="DSDV36","DVDS36",A72)</f>
        <v>DVDS36</v>
      </c>
      <c r="K72" s="4" t="n">
        <f aca="false">IF(SUMPRODUCT(('Datos - GPS Dias Ago'!$A$5:$A$88=J72)*('Datos - GPS Dias Ago'!$B$5:$B$88=TEXT(B72,"yyyy-mm-dd")))&gt;0,1,0)</f>
        <v>1</v>
      </c>
      <c r="L72" s="4" t="n">
        <f aca="false">IF(AND(COUNTIFS($I$4:I72,I72,$B$4:B72,B72)=1,K72=1),1,0)</f>
        <v>1</v>
      </c>
    </row>
    <row r="73" customFormat="false" ht="15" hidden="false" customHeight="true" outlineLevel="0" collapsed="false">
      <c r="A73" s="4" t="s">
        <v>148</v>
      </c>
      <c r="B73" s="42" t="s">
        <v>239</v>
      </c>
      <c r="C73" s="4" t="s">
        <v>104</v>
      </c>
      <c r="D73" s="4" t="s">
        <v>170</v>
      </c>
      <c r="E73" s="4" t="s">
        <v>240</v>
      </c>
      <c r="F73" s="43" t="n">
        <v>715944.46</v>
      </c>
      <c r="G73" s="43" t="n">
        <f aca="false">F73/1.19</f>
        <v>601634</v>
      </c>
      <c r="H73" s="4" t="s">
        <v>172</v>
      </c>
      <c r="I73" s="4" t="s">
        <v>179</v>
      </c>
      <c r="J73" s="4" t="str">
        <f aca="false">IF(A73="DSDV36","DVDS36",A73)</f>
        <v>GKFD84</v>
      </c>
      <c r="K73" s="4" t="n">
        <f aca="false">IF(SUMPRODUCT(('Datos - GPS Dias Ago'!$A$5:$A$88=J73)*('Datos - GPS Dias Ago'!$B$5:$B$88=TEXT(B73,"yyyy-mm-dd")))&gt;0,1,0)</f>
        <v>1</v>
      </c>
      <c r="L73" s="4" t="n">
        <f aca="false">IF(AND(COUNTIFS($I$4:I73,I73,$B$4:B73,B73)=1,K73=1),1,0)</f>
        <v>1</v>
      </c>
    </row>
    <row r="74" customFormat="false" ht="15" hidden="false" customHeight="true" outlineLevel="0" collapsed="false">
      <c r="A74" s="4" t="s">
        <v>150</v>
      </c>
      <c r="B74" s="42" t="s">
        <v>239</v>
      </c>
      <c r="C74" s="4" t="s">
        <v>104</v>
      </c>
      <c r="D74" s="4" t="s">
        <v>170</v>
      </c>
      <c r="E74" s="4" t="s">
        <v>191</v>
      </c>
      <c r="F74" s="43" t="n">
        <v>724157.37828</v>
      </c>
      <c r="G74" s="43" t="n">
        <f aca="false">F74/1.19</f>
        <v>608535.612</v>
      </c>
      <c r="H74" s="4" t="s">
        <v>172</v>
      </c>
      <c r="I74" s="4" t="s">
        <v>176</v>
      </c>
      <c r="J74" s="4" t="str">
        <f aca="false">IF(A74="DSDV36","DVDS36",A74)</f>
        <v>XR8555</v>
      </c>
      <c r="K74" s="4" t="n">
        <f aca="false">IF(SUMPRODUCT(('Datos - GPS Dias Ago'!$A$5:$A$88=J74)*('Datos - GPS Dias Ago'!$B$5:$B$88=TEXT(B74,"yyyy-mm-dd")))&gt;0,1,0)</f>
        <v>1</v>
      </c>
      <c r="L74" s="4" t="n">
        <f aca="false">IF(AND(COUNTIFS($I$4:I74,I74,$B$4:B74,B74)=1,K74=1),1,0)</f>
        <v>1</v>
      </c>
    </row>
    <row r="75" customFormat="false" ht="15" hidden="false" customHeight="true" outlineLevel="0" collapsed="false">
      <c r="A75" s="4" t="s">
        <v>215</v>
      </c>
      <c r="B75" s="42" t="s">
        <v>239</v>
      </c>
      <c r="C75" s="4" t="s">
        <v>104</v>
      </c>
      <c r="D75" s="4" t="s">
        <v>170</v>
      </c>
      <c r="E75" s="4" t="s">
        <v>241</v>
      </c>
      <c r="F75" s="43" t="n">
        <v>396697.9389</v>
      </c>
      <c r="G75" s="43" t="n">
        <f aca="false">F75/1.19</f>
        <v>333359.612521008</v>
      </c>
      <c r="H75" s="4" t="s">
        <v>172</v>
      </c>
      <c r="I75" s="4" t="s">
        <v>216</v>
      </c>
      <c r="J75" s="4" t="str">
        <f aca="false">IF(A75="DSDV36","DVDS36",A75)</f>
        <v>-</v>
      </c>
      <c r="K75" s="4" t="n">
        <f aca="false">IF(SUMPRODUCT(('Datos - GPS Dias Ago'!$A$5:$A$88=J75)*('Datos - GPS Dias Ago'!$B$5:$B$88=TEXT(B75,"yyyy-mm-dd")))&gt;0,1,0)</f>
        <v>0</v>
      </c>
      <c r="L75" s="4" t="n">
        <f aca="false">IF(AND(COUNTIFS($I$4:I75,I75,$B$4:B75,B75)=1,K75=1),1,0)</f>
        <v>0</v>
      </c>
    </row>
    <row r="76" customFormat="false" ht="15" hidden="false" customHeight="true" outlineLevel="0" collapsed="false">
      <c r="E76" s="44" t="s">
        <v>112</v>
      </c>
      <c r="F76" s="19" t="n">
        <f aca="false">SUM(F4:F75)</f>
        <v>35464462.05218</v>
      </c>
      <c r="G76" s="19" t="n">
        <f aca="false">SUM(G4:G75)</f>
        <v>29802068.9514118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30"/>
    <col collapsed="false" customWidth="true" hidden="false" outlineLevel="0" max="6" min="6" style="1" width="16"/>
    <col collapsed="false" customWidth="true" hidden="false" outlineLevel="0" max="7" min="7" style="1" width="28"/>
  </cols>
  <sheetData>
    <row r="1" customFormat="false" ht="17.25" hidden="false" customHeight="true" outlineLevel="0" collapsed="false">
      <c r="A1" s="2" t="s">
        <v>242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28" t="s">
        <v>243</v>
      </c>
      <c r="B3" s="28" t="s">
        <v>135</v>
      </c>
      <c r="C3" s="28" t="s">
        <v>244</v>
      </c>
      <c r="D3" s="28" t="s">
        <v>26</v>
      </c>
      <c r="E3" s="28" t="s">
        <v>245</v>
      </c>
      <c r="F3" s="28" t="s">
        <v>246</v>
      </c>
      <c r="G3" s="28" t="s">
        <v>247</v>
      </c>
    </row>
    <row r="4" customFormat="false" ht="15" hidden="false" customHeight="true" outlineLevel="0" collapsed="false">
      <c r="A4" s="4" t="s">
        <v>169</v>
      </c>
      <c r="B4" s="4" t="s">
        <v>248</v>
      </c>
      <c r="C4" s="4" t="s">
        <v>249</v>
      </c>
      <c r="D4" s="43" t="n">
        <v>1400000</v>
      </c>
      <c r="E4" s="4" t="s">
        <v>250</v>
      </c>
      <c r="F4" s="45"/>
      <c r="G4" s="45"/>
    </row>
    <row r="5" customFormat="false" ht="15" hidden="false" customHeight="true" outlineLevel="0" collapsed="false">
      <c r="A5" s="4" t="s">
        <v>169</v>
      </c>
      <c r="B5" s="4" t="s">
        <v>248</v>
      </c>
      <c r="C5" s="4" t="s">
        <v>251</v>
      </c>
      <c r="D5" s="43" t="n">
        <v>1000000</v>
      </c>
      <c r="E5" s="4" t="s">
        <v>252</v>
      </c>
      <c r="F5" s="45"/>
      <c r="G5" s="45"/>
    </row>
    <row r="6" customFormat="false" ht="15" hidden="false" customHeight="true" outlineLevel="0" collapsed="false">
      <c r="A6" s="4" t="s">
        <v>169</v>
      </c>
      <c r="B6" s="4" t="s">
        <v>248</v>
      </c>
      <c r="C6" s="4" t="s">
        <v>253</v>
      </c>
      <c r="D6" s="43" t="n">
        <v>300000</v>
      </c>
      <c r="E6" s="4" t="s">
        <v>254</v>
      </c>
      <c r="F6" s="45"/>
      <c r="G6" s="45"/>
    </row>
    <row r="7" customFormat="false" ht="15" hidden="false" customHeight="true" outlineLevel="0" collapsed="false">
      <c r="A7" s="4" t="s">
        <v>169</v>
      </c>
      <c r="B7" s="4" t="s">
        <v>248</v>
      </c>
      <c r="C7" s="4" t="s">
        <v>251</v>
      </c>
      <c r="D7" s="43" t="n">
        <v>130000</v>
      </c>
      <c r="E7" s="4" t="s">
        <v>252</v>
      </c>
      <c r="F7" s="45"/>
      <c r="G7" s="45"/>
    </row>
    <row r="8" customFormat="false" ht="15" hidden="false" customHeight="true" outlineLevel="0" collapsed="false">
      <c r="A8" s="4" t="s">
        <v>169</v>
      </c>
      <c r="B8" s="4" t="s">
        <v>248</v>
      </c>
      <c r="C8" s="4" t="s">
        <v>255</v>
      </c>
      <c r="D8" s="43" t="n">
        <v>115000</v>
      </c>
      <c r="E8" s="4" t="s">
        <v>256</v>
      </c>
      <c r="F8" s="45"/>
      <c r="G8" s="45"/>
    </row>
    <row r="9" customFormat="false" ht="15" hidden="false" customHeight="true" outlineLevel="0" collapsed="false">
      <c r="A9" s="4" t="s">
        <v>169</v>
      </c>
      <c r="B9" s="4" t="s">
        <v>248</v>
      </c>
      <c r="C9" s="4" t="s">
        <v>255</v>
      </c>
      <c r="D9" s="43" t="n">
        <v>100000</v>
      </c>
      <c r="E9" s="4" t="s">
        <v>256</v>
      </c>
      <c r="F9" s="45"/>
      <c r="G9" s="45"/>
    </row>
    <row r="10" customFormat="false" ht="15" hidden="false" customHeight="true" outlineLevel="0" collapsed="false">
      <c r="A10" s="4" t="s">
        <v>169</v>
      </c>
      <c r="B10" s="4" t="s">
        <v>248</v>
      </c>
      <c r="C10" s="4" t="s">
        <v>253</v>
      </c>
      <c r="D10" s="43" t="n">
        <v>60000</v>
      </c>
      <c r="E10" s="4" t="s">
        <v>257</v>
      </c>
      <c r="F10" s="45"/>
      <c r="G10" s="45"/>
    </row>
    <row r="11" customFormat="false" ht="15" hidden="false" customHeight="true" outlineLevel="0" collapsed="false">
      <c r="A11" s="4" t="s">
        <v>169</v>
      </c>
      <c r="B11" s="4" t="s">
        <v>248</v>
      </c>
      <c r="C11" s="4" t="s">
        <v>255</v>
      </c>
      <c r="D11" s="43" t="n">
        <v>15000</v>
      </c>
      <c r="E11" s="4" t="s">
        <v>256</v>
      </c>
      <c r="F11" s="45"/>
      <c r="G11" s="45"/>
    </row>
    <row r="12" customFormat="false" ht="15" hidden="false" customHeight="true" outlineLevel="0" collapsed="false">
      <c r="A12" s="4" t="s">
        <v>169</v>
      </c>
      <c r="B12" s="4" t="s">
        <v>248</v>
      </c>
      <c r="C12" s="4" t="s">
        <v>253</v>
      </c>
      <c r="D12" s="43" t="n">
        <v>3200</v>
      </c>
      <c r="E12" s="4" t="s">
        <v>254</v>
      </c>
      <c r="F12" s="45"/>
      <c r="G12" s="45"/>
    </row>
    <row r="13" customFormat="false" ht="15" hidden="false" customHeight="true" outlineLevel="0" collapsed="false">
      <c r="A13" s="4" t="s">
        <v>177</v>
      </c>
      <c r="B13" s="4" t="s">
        <v>258</v>
      </c>
      <c r="C13" s="4" t="s">
        <v>259</v>
      </c>
      <c r="D13" s="43" t="n">
        <v>3053216</v>
      </c>
      <c r="E13" s="4" t="s">
        <v>260</v>
      </c>
      <c r="F13" s="45"/>
      <c r="G13" s="45"/>
    </row>
    <row r="14" customFormat="false" ht="15" hidden="false" customHeight="true" outlineLevel="0" collapsed="false">
      <c r="A14" s="4" t="s">
        <v>177</v>
      </c>
      <c r="B14" s="4" t="s">
        <v>258</v>
      </c>
      <c r="C14" s="4" t="s">
        <v>259</v>
      </c>
      <c r="D14" s="43" t="n">
        <v>605464</v>
      </c>
      <c r="E14" s="4" t="s">
        <v>260</v>
      </c>
      <c r="F14" s="45"/>
      <c r="G14" s="45"/>
    </row>
    <row r="15" customFormat="false" ht="15" hidden="false" customHeight="true" outlineLevel="0" collapsed="false">
      <c r="A15" s="4" t="s">
        <v>177</v>
      </c>
      <c r="B15" s="4" t="s">
        <v>248</v>
      </c>
      <c r="C15" s="4" t="s">
        <v>251</v>
      </c>
      <c r="D15" s="43" t="n">
        <v>850000</v>
      </c>
      <c r="E15" s="4" t="s">
        <v>252</v>
      </c>
      <c r="F15" s="45"/>
      <c r="G15" s="45"/>
    </row>
    <row r="16" customFormat="false" ht="15" hidden="false" customHeight="true" outlineLevel="0" collapsed="false">
      <c r="A16" s="4" t="s">
        <v>177</v>
      </c>
      <c r="B16" s="4" t="s">
        <v>248</v>
      </c>
      <c r="C16" s="4" t="s">
        <v>255</v>
      </c>
      <c r="D16" s="43" t="n">
        <v>805000</v>
      </c>
      <c r="E16" s="4" t="s">
        <v>261</v>
      </c>
      <c r="F16" s="45"/>
      <c r="G16" s="45"/>
    </row>
    <row r="17" customFormat="false" ht="15" hidden="false" customHeight="true" outlineLevel="0" collapsed="false">
      <c r="A17" s="4" t="s">
        <v>177</v>
      </c>
      <c r="B17" s="4" t="s">
        <v>248</v>
      </c>
      <c r="C17" s="4" t="s">
        <v>255</v>
      </c>
      <c r="D17" s="43" t="n">
        <v>390000</v>
      </c>
      <c r="E17" s="4" t="s">
        <v>262</v>
      </c>
      <c r="F17" s="45"/>
      <c r="G17" s="45"/>
    </row>
    <row r="18" customFormat="false" ht="15" hidden="false" customHeight="true" outlineLevel="0" collapsed="false">
      <c r="A18" s="4" t="s">
        <v>177</v>
      </c>
      <c r="B18" s="4" t="s">
        <v>248</v>
      </c>
      <c r="C18" s="4" t="s">
        <v>255</v>
      </c>
      <c r="D18" s="43" t="n">
        <v>270000</v>
      </c>
      <c r="E18" s="4" t="s">
        <v>256</v>
      </c>
      <c r="F18" s="45"/>
      <c r="G18" s="45"/>
    </row>
    <row r="19" customFormat="false" ht="15" hidden="false" customHeight="true" outlineLevel="0" collapsed="false">
      <c r="A19" s="4" t="s">
        <v>177</v>
      </c>
      <c r="B19" s="4" t="s">
        <v>248</v>
      </c>
      <c r="C19" s="4" t="s">
        <v>251</v>
      </c>
      <c r="D19" s="43" t="n">
        <v>267000</v>
      </c>
      <c r="E19" s="4" t="s">
        <v>252</v>
      </c>
      <c r="F19" s="45"/>
      <c r="G19" s="45"/>
    </row>
    <row r="20" customFormat="false" ht="15" hidden="false" customHeight="true" outlineLevel="0" collapsed="false">
      <c r="A20" s="4" t="s">
        <v>177</v>
      </c>
      <c r="B20" s="4" t="s">
        <v>248</v>
      </c>
      <c r="C20" s="4" t="s">
        <v>253</v>
      </c>
      <c r="D20" s="43" t="n">
        <v>175000</v>
      </c>
      <c r="E20" s="4" t="s">
        <v>254</v>
      </c>
      <c r="F20" s="45"/>
      <c r="G20" s="45"/>
    </row>
    <row r="21" customFormat="false" ht="15" hidden="false" customHeight="true" outlineLevel="0" collapsed="false">
      <c r="A21" s="4" t="s">
        <v>177</v>
      </c>
      <c r="B21" s="4" t="s">
        <v>248</v>
      </c>
      <c r="C21" s="4" t="s">
        <v>251</v>
      </c>
      <c r="D21" s="43" t="n">
        <v>170691</v>
      </c>
      <c r="E21" s="4" t="s">
        <v>252</v>
      </c>
      <c r="F21" s="45"/>
      <c r="G21" s="45"/>
    </row>
    <row r="22" customFormat="false" ht="15" hidden="false" customHeight="true" outlineLevel="0" collapsed="false">
      <c r="A22" s="4" t="s">
        <v>177</v>
      </c>
      <c r="B22" s="4" t="s">
        <v>248</v>
      </c>
      <c r="C22" s="4" t="s">
        <v>251</v>
      </c>
      <c r="D22" s="43" t="n">
        <v>150000</v>
      </c>
      <c r="E22" s="4" t="s">
        <v>252</v>
      </c>
      <c r="F22" s="45"/>
      <c r="G22" s="45"/>
    </row>
    <row r="23" customFormat="false" ht="15" hidden="false" customHeight="true" outlineLevel="0" collapsed="false">
      <c r="A23" s="4" t="s">
        <v>177</v>
      </c>
      <c r="B23" s="4" t="s">
        <v>248</v>
      </c>
      <c r="C23" s="4" t="s">
        <v>251</v>
      </c>
      <c r="D23" s="43" t="n">
        <v>125000</v>
      </c>
      <c r="E23" s="4" t="s">
        <v>252</v>
      </c>
      <c r="F23" s="45"/>
      <c r="G23" s="45"/>
    </row>
    <row r="24" customFormat="false" ht="15" hidden="false" customHeight="true" outlineLevel="0" collapsed="false">
      <c r="A24" s="4" t="s">
        <v>177</v>
      </c>
      <c r="B24" s="4" t="s">
        <v>248</v>
      </c>
      <c r="C24" s="4" t="s">
        <v>253</v>
      </c>
      <c r="D24" s="43" t="n">
        <v>79890</v>
      </c>
      <c r="E24" s="4" t="s">
        <v>263</v>
      </c>
      <c r="F24" s="45"/>
      <c r="G24" s="45"/>
    </row>
    <row r="25" customFormat="false" ht="15" hidden="false" customHeight="true" outlineLevel="0" collapsed="false">
      <c r="A25" s="4" t="s">
        <v>177</v>
      </c>
      <c r="B25" s="4" t="s">
        <v>248</v>
      </c>
      <c r="C25" s="4" t="s">
        <v>253</v>
      </c>
      <c r="D25" s="43" t="n">
        <v>55000</v>
      </c>
      <c r="E25" s="4" t="s">
        <v>264</v>
      </c>
      <c r="F25" s="45"/>
      <c r="G25" s="45"/>
    </row>
    <row r="26" customFormat="false" ht="15" hidden="false" customHeight="true" outlineLevel="0" collapsed="false">
      <c r="A26" s="4" t="s">
        <v>177</v>
      </c>
      <c r="B26" s="4" t="s">
        <v>248</v>
      </c>
      <c r="C26" s="4" t="s">
        <v>251</v>
      </c>
      <c r="D26" s="43" t="n">
        <v>30305</v>
      </c>
      <c r="E26" s="4" t="s">
        <v>252</v>
      </c>
      <c r="F26" s="45"/>
      <c r="G26" s="45"/>
    </row>
    <row r="27" customFormat="false" ht="15" hidden="false" customHeight="true" outlineLevel="0" collapsed="false">
      <c r="A27" s="4" t="s">
        <v>177</v>
      </c>
      <c r="B27" s="4" t="s">
        <v>248</v>
      </c>
      <c r="C27" s="4" t="s">
        <v>255</v>
      </c>
      <c r="D27" s="43" t="n">
        <v>17000</v>
      </c>
      <c r="E27" s="4" t="s">
        <v>261</v>
      </c>
      <c r="F27" s="45"/>
      <c r="G27" s="45"/>
    </row>
    <row r="28" customFormat="false" ht="15" hidden="false" customHeight="true" outlineLevel="0" collapsed="false">
      <c r="A28" s="4" t="s">
        <v>177</v>
      </c>
      <c r="B28" s="4" t="s">
        <v>248</v>
      </c>
      <c r="C28" s="4" t="s">
        <v>255</v>
      </c>
      <c r="D28" s="43" t="n">
        <v>12000</v>
      </c>
      <c r="E28" s="4" t="s">
        <v>256</v>
      </c>
      <c r="F28" s="45"/>
      <c r="G28" s="45"/>
    </row>
    <row r="29" customFormat="false" ht="15" hidden="false" customHeight="true" outlineLevel="0" collapsed="false">
      <c r="A29" s="4" t="s">
        <v>177</v>
      </c>
      <c r="B29" s="4" t="s">
        <v>248</v>
      </c>
      <c r="C29" s="4" t="s">
        <v>255</v>
      </c>
      <c r="D29" s="43" t="n">
        <v>8000</v>
      </c>
      <c r="E29" s="4" t="s">
        <v>256</v>
      </c>
      <c r="F29" s="45"/>
      <c r="G29" s="45"/>
    </row>
    <row r="30" customFormat="false" ht="15" hidden="false" customHeight="true" outlineLevel="0" collapsed="false">
      <c r="A30" s="4" t="s">
        <v>177</v>
      </c>
      <c r="B30" s="4" t="s">
        <v>248</v>
      </c>
      <c r="C30" s="4" t="s">
        <v>253</v>
      </c>
      <c r="D30" s="43" t="n">
        <v>7200</v>
      </c>
      <c r="E30" s="4" t="s">
        <v>265</v>
      </c>
      <c r="F30" s="45"/>
      <c r="G30" s="45"/>
    </row>
    <row r="31" customFormat="false" ht="15" hidden="false" customHeight="true" outlineLevel="0" collapsed="false">
      <c r="A31" s="4" t="s">
        <v>181</v>
      </c>
      <c r="B31" s="4" t="s">
        <v>248</v>
      </c>
      <c r="C31" s="4" t="s">
        <v>249</v>
      </c>
      <c r="D31" s="43" t="n">
        <v>900000</v>
      </c>
      <c r="E31" s="4" t="s">
        <v>250</v>
      </c>
      <c r="F31" s="45"/>
      <c r="G31" s="45"/>
    </row>
    <row r="32" customFormat="false" ht="15" hidden="false" customHeight="true" outlineLevel="0" collapsed="false">
      <c r="A32" s="4" t="s">
        <v>181</v>
      </c>
      <c r="B32" s="4" t="s">
        <v>248</v>
      </c>
      <c r="C32" s="4" t="s">
        <v>266</v>
      </c>
      <c r="D32" s="43" t="n">
        <v>170982</v>
      </c>
      <c r="E32" s="4" t="s">
        <v>267</v>
      </c>
      <c r="F32" s="45"/>
      <c r="G32" s="45"/>
    </row>
    <row r="33" customFormat="false" ht="15" hidden="false" customHeight="true" outlineLevel="0" collapsed="false">
      <c r="A33" s="4" t="s">
        <v>181</v>
      </c>
      <c r="B33" s="4" t="s">
        <v>248</v>
      </c>
      <c r="C33" s="4" t="s">
        <v>268</v>
      </c>
      <c r="D33" s="43" t="n">
        <v>50000</v>
      </c>
      <c r="E33" s="4" t="s">
        <v>269</v>
      </c>
      <c r="F33" s="45"/>
      <c r="G33" s="45"/>
    </row>
    <row r="34" customFormat="false" ht="15" hidden="false" customHeight="true" outlineLevel="0" collapsed="false">
      <c r="A34" s="4" t="s">
        <v>181</v>
      </c>
      <c r="B34" s="4" t="s">
        <v>248</v>
      </c>
      <c r="C34" s="4" t="s">
        <v>255</v>
      </c>
      <c r="D34" s="43" t="n">
        <v>16000</v>
      </c>
      <c r="E34" s="4" t="s">
        <v>262</v>
      </c>
      <c r="F34" s="45"/>
      <c r="G34" s="45"/>
    </row>
    <row r="35" customFormat="false" ht="15" hidden="false" customHeight="true" outlineLevel="0" collapsed="false">
      <c r="A35" s="4" t="s">
        <v>181</v>
      </c>
      <c r="B35" s="4" t="s">
        <v>248</v>
      </c>
      <c r="C35" s="4" t="s">
        <v>255</v>
      </c>
      <c r="D35" s="43" t="n">
        <v>15000</v>
      </c>
      <c r="E35" s="4" t="s">
        <v>256</v>
      </c>
      <c r="F35" s="45"/>
      <c r="G35" s="45"/>
    </row>
    <row r="36" customFormat="false" ht="15" hidden="false" customHeight="true" outlineLevel="0" collapsed="false">
      <c r="A36" s="4" t="s">
        <v>188</v>
      </c>
      <c r="B36" s="4" t="s">
        <v>248</v>
      </c>
      <c r="C36" s="4" t="s">
        <v>255</v>
      </c>
      <c r="D36" s="43" t="n">
        <v>24000</v>
      </c>
      <c r="E36" s="4" t="s">
        <v>261</v>
      </c>
      <c r="F36" s="45"/>
      <c r="G36" s="45"/>
    </row>
    <row r="37" customFormat="false" ht="15" hidden="false" customHeight="true" outlineLevel="0" collapsed="false">
      <c r="A37" s="4" t="s">
        <v>188</v>
      </c>
      <c r="B37" s="4" t="s">
        <v>248</v>
      </c>
      <c r="C37" s="4" t="s">
        <v>255</v>
      </c>
      <c r="D37" s="43" t="n">
        <v>13000</v>
      </c>
      <c r="E37" s="4" t="s">
        <v>256</v>
      </c>
      <c r="F37" s="45"/>
      <c r="G37" s="45"/>
    </row>
    <row r="38" customFormat="false" ht="15" hidden="false" customHeight="true" outlineLevel="0" collapsed="false">
      <c r="A38" s="4" t="s">
        <v>188</v>
      </c>
      <c r="B38" s="4" t="s">
        <v>248</v>
      </c>
      <c r="C38" s="4" t="s">
        <v>255</v>
      </c>
      <c r="D38" s="43" t="n">
        <v>12000</v>
      </c>
      <c r="E38" s="4" t="s">
        <v>262</v>
      </c>
      <c r="F38" s="45"/>
      <c r="G38" s="45"/>
    </row>
    <row r="39" customFormat="false" ht="15" hidden="false" customHeight="true" outlineLevel="0" collapsed="false">
      <c r="A39" s="4" t="s">
        <v>188</v>
      </c>
      <c r="B39" s="4" t="s">
        <v>248</v>
      </c>
      <c r="C39" s="4" t="s">
        <v>255</v>
      </c>
      <c r="D39" s="43" t="n">
        <v>12000</v>
      </c>
      <c r="E39" s="4" t="s">
        <v>256</v>
      </c>
      <c r="F39" s="45"/>
      <c r="G39" s="45"/>
    </row>
    <row r="40" customFormat="false" ht="15" hidden="false" customHeight="true" outlineLevel="0" collapsed="false">
      <c r="A40" s="4" t="s">
        <v>190</v>
      </c>
      <c r="B40" s="4" t="s">
        <v>258</v>
      </c>
      <c r="C40" s="4" t="s">
        <v>253</v>
      </c>
      <c r="D40" s="43" t="n">
        <v>500000</v>
      </c>
      <c r="E40" s="4" t="s">
        <v>270</v>
      </c>
      <c r="F40" s="45"/>
      <c r="G40" s="45"/>
    </row>
    <row r="41" customFormat="false" ht="15" hidden="false" customHeight="true" outlineLevel="0" collapsed="false">
      <c r="A41" s="4" t="s">
        <v>190</v>
      </c>
      <c r="B41" s="4" t="s">
        <v>248</v>
      </c>
      <c r="C41" s="4" t="s">
        <v>249</v>
      </c>
      <c r="D41" s="43" t="n">
        <v>300000</v>
      </c>
      <c r="E41" s="4" t="s">
        <v>250</v>
      </c>
      <c r="F41" s="45"/>
      <c r="G41" s="45"/>
    </row>
    <row r="42" customFormat="false" ht="15" hidden="false" customHeight="true" outlineLevel="0" collapsed="false">
      <c r="A42" s="4" t="s">
        <v>190</v>
      </c>
      <c r="B42" s="4" t="s">
        <v>248</v>
      </c>
      <c r="C42" s="4" t="s">
        <v>253</v>
      </c>
      <c r="D42" s="43" t="n">
        <v>83473</v>
      </c>
      <c r="E42" s="4" t="s">
        <v>271</v>
      </c>
      <c r="F42" s="45"/>
      <c r="G42" s="45"/>
    </row>
    <row r="43" customFormat="false" ht="15" hidden="false" customHeight="true" outlineLevel="0" collapsed="false">
      <c r="A43" s="4" t="s">
        <v>190</v>
      </c>
      <c r="B43" s="4" t="s">
        <v>248</v>
      </c>
      <c r="C43" s="4" t="s">
        <v>253</v>
      </c>
      <c r="D43" s="43" t="n">
        <v>62000</v>
      </c>
      <c r="E43" s="4" t="s">
        <v>257</v>
      </c>
      <c r="F43" s="45"/>
      <c r="G43" s="45"/>
    </row>
    <row r="44" customFormat="false" ht="15" hidden="false" customHeight="true" outlineLevel="0" collapsed="false">
      <c r="A44" s="4" t="s">
        <v>190</v>
      </c>
      <c r="B44" s="4" t="s">
        <v>248</v>
      </c>
      <c r="C44" s="4" t="s">
        <v>255</v>
      </c>
      <c r="D44" s="43" t="n">
        <v>26000</v>
      </c>
      <c r="E44" s="4" t="s">
        <v>261</v>
      </c>
      <c r="F44" s="45"/>
      <c r="G44" s="45"/>
    </row>
    <row r="45" customFormat="false" ht="15" hidden="false" customHeight="true" outlineLevel="0" collapsed="false">
      <c r="A45" s="4" t="s">
        <v>190</v>
      </c>
      <c r="B45" s="4" t="s">
        <v>248</v>
      </c>
      <c r="C45" s="4" t="s">
        <v>255</v>
      </c>
      <c r="D45" s="43" t="n">
        <v>12000</v>
      </c>
      <c r="E45" s="4" t="s">
        <v>262</v>
      </c>
      <c r="F45" s="45"/>
      <c r="G45" s="45"/>
    </row>
    <row r="46" customFormat="false" ht="15" hidden="false" customHeight="true" outlineLevel="0" collapsed="false">
      <c r="A46" s="4" t="s">
        <v>190</v>
      </c>
      <c r="B46" s="4" t="s">
        <v>248</v>
      </c>
      <c r="C46" s="4" t="s">
        <v>253</v>
      </c>
      <c r="D46" s="43" t="n">
        <v>3980</v>
      </c>
      <c r="E46" s="4" t="s">
        <v>271</v>
      </c>
      <c r="F46" s="45"/>
      <c r="G46" s="45"/>
    </row>
    <row r="47" customFormat="false" ht="15" hidden="false" customHeight="true" outlineLevel="0" collapsed="false">
      <c r="A47" s="4" t="s">
        <v>192</v>
      </c>
      <c r="B47" s="4" t="s">
        <v>258</v>
      </c>
      <c r="C47" s="4" t="s">
        <v>253</v>
      </c>
      <c r="D47" s="43" t="n">
        <v>500000</v>
      </c>
      <c r="E47" s="4" t="s">
        <v>270</v>
      </c>
      <c r="F47" s="45"/>
      <c r="G47" s="45"/>
    </row>
    <row r="48" customFormat="false" ht="15" hidden="false" customHeight="true" outlineLevel="0" collapsed="false">
      <c r="A48" s="4" t="s">
        <v>192</v>
      </c>
      <c r="B48" s="4" t="s">
        <v>258</v>
      </c>
      <c r="C48" s="4" t="s">
        <v>255</v>
      </c>
      <c r="D48" s="43" t="n">
        <v>406000</v>
      </c>
      <c r="E48" s="4" t="s">
        <v>272</v>
      </c>
      <c r="F48" s="45"/>
      <c r="G48" s="45"/>
    </row>
    <row r="49" customFormat="false" ht="15" hidden="false" customHeight="true" outlineLevel="0" collapsed="false">
      <c r="A49" s="4" t="s">
        <v>192</v>
      </c>
      <c r="B49" s="4" t="s">
        <v>258</v>
      </c>
      <c r="C49" s="4" t="s">
        <v>253</v>
      </c>
      <c r="D49" s="43" t="n">
        <v>10890</v>
      </c>
      <c r="E49" s="4" t="s">
        <v>273</v>
      </c>
      <c r="F49" s="45"/>
      <c r="G49" s="45"/>
    </row>
    <row r="50" customFormat="false" ht="15" hidden="false" customHeight="true" outlineLevel="0" collapsed="false">
      <c r="A50" s="4" t="s">
        <v>192</v>
      </c>
      <c r="B50" s="4" t="s">
        <v>248</v>
      </c>
      <c r="C50" s="4" t="s">
        <v>249</v>
      </c>
      <c r="D50" s="43" t="n">
        <v>406000</v>
      </c>
      <c r="E50" s="4" t="s">
        <v>250</v>
      </c>
      <c r="F50" s="45"/>
      <c r="G50" s="45"/>
    </row>
    <row r="51" customFormat="false" ht="15" hidden="false" customHeight="true" outlineLevel="0" collapsed="false">
      <c r="A51" s="4" t="s">
        <v>192</v>
      </c>
      <c r="B51" s="4" t="s">
        <v>248</v>
      </c>
      <c r="C51" s="4" t="s">
        <v>253</v>
      </c>
      <c r="D51" s="43" t="n">
        <v>350000</v>
      </c>
      <c r="E51" s="4" t="s">
        <v>274</v>
      </c>
      <c r="F51" s="45"/>
      <c r="G51" s="45"/>
    </row>
    <row r="52" customFormat="false" ht="15" hidden="false" customHeight="true" outlineLevel="0" collapsed="false">
      <c r="A52" s="4" t="s">
        <v>192</v>
      </c>
      <c r="B52" s="4" t="s">
        <v>248</v>
      </c>
      <c r="C52" s="4" t="s">
        <v>253</v>
      </c>
      <c r="D52" s="43" t="n">
        <v>185208</v>
      </c>
      <c r="E52" s="4" t="s">
        <v>275</v>
      </c>
      <c r="F52" s="45"/>
      <c r="G52" s="45"/>
    </row>
    <row r="53" customFormat="false" ht="15" hidden="false" customHeight="true" outlineLevel="0" collapsed="false">
      <c r="A53" s="4" t="s">
        <v>192</v>
      </c>
      <c r="B53" s="4" t="s">
        <v>248</v>
      </c>
      <c r="C53" s="4" t="s">
        <v>255</v>
      </c>
      <c r="D53" s="43" t="n">
        <v>100000</v>
      </c>
      <c r="E53" s="4" t="s">
        <v>256</v>
      </c>
      <c r="F53" s="45"/>
      <c r="G53" s="45"/>
    </row>
    <row r="54" customFormat="false" ht="15" hidden="false" customHeight="true" outlineLevel="0" collapsed="false">
      <c r="A54" s="4" t="s">
        <v>192</v>
      </c>
      <c r="B54" s="4" t="s">
        <v>248</v>
      </c>
      <c r="C54" s="4" t="s">
        <v>255</v>
      </c>
      <c r="D54" s="43" t="n">
        <v>60000</v>
      </c>
      <c r="E54" s="4" t="s">
        <v>262</v>
      </c>
      <c r="F54" s="45"/>
      <c r="G54" s="45"/>
    </row>
    <row r="55" customFormat="false" ht="15" hidden="false" customHeight="true" outlineLevel="0" collapsed="false">
      <c r="A55" s="4" t="s">
        <v>192</v>
      </c>
      <c r="B55" s="4" t="s">
        <v>248</v>
      </c>
      <c r="C55" s="4" t="s">
        <v>255</v>
      </c>
      <c r="D55" s="43" t="n">
        <v>33000</v>
      </c>
      <c r="E55" s="4" t="s">
        <v>261</v>
      </c>
      <c r="F55" s="45"/>
      <c r="G55" s="45"/>
    </row>
    <row r="56" customFormat="false" ht="15" hidden="false" customHeight="true" outlineLevel="0" collapsed="false">
      <c r="A56" s="4" t="s">
        <v>192</v>
      </c>
      <c r="B56" s="4" t="s">
        <v>248</v>
      </c>
      <c r="C56" s="4" t="s">
        <v>255</v>
      </c>
      <c r="D56" s="43" t="n">
        <v>25000</v>
      </c>
      <c r="E56" s="4" t="s">
        <v>256</v>
      </c>
      <c r="F56" s="45"/>
      <c r="G56" s="45"/>
    </row>
    <row r="57" customFormat="false" ht="15" hidden="false" customHeight="true" outlineLevel="0" collapsed="false">
      <c r="A57" s="4" t="s">
        <v>192</v>
      </c>
      <c r="B57" s="4" t="s">
        <v>248</v>
      </c>
      <c r="C57" s="4" t="s">
        <v>255</v>
      </c>
      <c r="D57" s="43" t="n">
        <v>15000</v>
      </c>
      <c r="E57" s="4" t="s">
        <v>262</v>
      </c>
      <c r="F57" s="45"/>
      <c r="G57" s="45"/>
    </row>
    <row r="58" customFormat="false" ht="15" hidden="false" customHeight="true" outlineLevel="0" collapsed="false">
      <c r="A58" s="4" t="s">
        <v>192</v>
      </c>
      <c r="B58" s="4" t="s">
        <v>248</v>
      </c>
      <c r="C58" s="4" t="s">
        <v>253</v>
      </c>
      <c r="D58" s="43" t="n">
        <v>10890</v>
      </c>
      <c r="E58" s="4" t="s">
        <v>275</v>
      </c>
      <c r="F58" s="45"/>
      <c r="G58" s="45"/>
    </row>
    <row r="59" customFormat="false" ht="15" hidden="false" customHeight="true" outlineLevel="0" collapsed="false">
      <c r="A59" s="4" t="s">
        <v>192</v>
      </c>
      <c r="B59" s="4" t="s">
        <v>248</v>
      </c>
      <c r="C59" s="4" t="s">
        <v>253</v>
      </c>
      <c r="D59" s="43" t="n">
        <v>10890</v>
      </c>
      <c r="E59" s="4" t="s">
        <v>275</v>
      </c>
      <c r="F59" s="45"/>
      <c r="G59" s="45"/>
    </row>
    <row r="60" customFormat="false" ht="15" hidden="false" customHeight="true" outlineLevel="0" collapsed="false">
      <c r="A60" s="4" t="s">
        <v>126</v>
      </c>
      <c r="B60" s="4" t="s">
        <v>258</v>
      </c>
      <c r="C60" s="4" t="s">
        <v>259</v>
      </c>
      <c r="D60" s="43" t="n">
        <v>5653452</v>
      </c>
      <c r="E60" s="4" t="s">
        <v>260</v>
      </c>
      <c r="F60" s="45"/>
      <c r="G60" s="45"/>
    </row>
    <row r="61" customFormat="false" ht="15" hidden="false" customHeight="true" outlineLevel="0" collapsed="false">
      <c r="A61" s="4" t="s">
        <v>126</v>
      </c>
      <c r="B61" s="4" t="s">
        <v>258</v>
      </c>
      <c r="C61" s="4" t="s">
        <v>253</v>
      </c>
      <c r="D61" s="43" t="n">
        <v>550000</v>
      </c>
      <c r="E61" s="4" t="s">
        <v>276</v>
      </c>
      <c r="F61" s="45"/>
      <c r="G61" s="45"/>
    </row>
    <row r="62" customFormat="false" ht="15" hidden="false" customHeight="true" outlineLevel="0" collapsed="false">
      <c r="A62" s="4" t="s">
        <v>126</v>
      </c>
      <c r="B62" s="4" t="s">
        <v>258</v>
      </c>
      <c r="C62" s="4" t="s">
        <v>253</v>
      </c>
      <c r="D62" s="43" t="n">
        <v>350000</v>
      </c>
      <c r="E62" s="4" t="s">
        <v>277</v>
      </c>
      <c r="F62" s="45"/>
      <c r="G62" s="45"/>
    </row>
    <row r="63" customFormat="false" ht="15" hidden="false" customHeight="true" outlineLevel="0" collapsed="false">
      <c r="A63" s="4" t="s">
        <v>126</v>
      </c>
      <c r="B63" s="4" t="s">
        <v>258</v>
      </c>
      <c r="C63" s="4" t="s">
        <v>253</v>
      </c>
      <c r="D63" s="43" t="n">
        <v>200000</v>
      </c>
      <c r="E63" s="4" t="s">
        <v>270</v>
      </c>
      <c r="F63" s="45"/>
      <c r="G63" s="45"/>
    </row>
    <row r="64" customFormat="false" ht="15" hidden="false" customHeight="true" outlineLevel="0" collapsed="false">
      <c r="A64" s="4" t="s">
        <v>126</v>
      </c>
      <c r="B64" s="4" t="s">
        <v>248</v>
      </c>
      <c r="C64" s="4" t="s">
        <v>249</v>
      </c>
      <c r="D64" s="43" t="n">
        <v>500000</v>
      </c>
      <c r="E64" s="4" t="s">
        <v>250</v>
      </c>
      <c r="F64" s="45"/>
      <c r="G64" s="45"/>
    </row>
    <row r="65" customFormat="false" ht="15" hidden="false" customHeight="true" outlineLevel="0" collapsed="false">
      <c r="A65" s="4" t="s">
        <v>126</v>
      </c>
      <c r="B65" s="4" t="s">
        <v>248</v>
      </c>
      <c r="C65" s="4" t="s">
        <v>249</v>
      </c>
      <c r="D65" s="43" t="n">
        <v>200000</v>
      </c>
      <c r="E65" s="4" t="s">
        <v>250</v>
      </c>
      <c r="F65" s="45"/>
      <c r="G65" s="45"/>
    </row>
    <row r="66" customFormat="false" ht="15" hidden="false" customHeight="true" outlineLevel="0" collapsed="false">
      <c r="A66" s="4" t="s">
        <v>126</v>
      </c>
      <c r="B66" s="4" t="s">
        <v>248</v>
      </c>
      <c r="C66" s="4" t="s">
        <v>255</v>
      </c>
      <c r="D66" s="43" t="n">
        <v>27000</v>
      </c>
      <c r="E66" s="4" t="s">
        <v>261</v>
      </c>
      <c r="F66" s="45"/>
      <c r="G66" s="45"/>
    </row>
    <row r="67" customFormat="false" ht="15" hidden="false" customHeight="true" outlineLevel="0" collapsed="false">
      <c r="A67" s="4" t="s">
        <v>126</v>
      </c>
      <c r="B67" s="4" t="s">
        <v>248</v>
      </c>
      <c r="C67" s="4" t="s">
        <v>255</v>
      </c>
      <c r="D67" s="43" t="n">
        <v>19000</v>
      </c>
      <c r="E67" s="4" t="s">
        <v>256</v>
      </c>
      <c r="F67" s="45"/>
      <c r="G67" s="45"/>
    </row>
    <row r="68" customFormat="false" ht="15" hidden="false" customHeight="true" outlineLevel="0" collapsed="false">
      <c r="A68" s="4" t="s">
        <v>126</v>
      </c>
      <c r="B68" s="4" t="s">
        <v>248</v>
      </c>
      <c r="C68" s="4" t="s">
        <v>255</v>
      </c>
      <c r="D68" s="43" t="n">
        <v>15000</v>
      </c>
      <c r="E68" s="4" t="s">
        <v>262</v>
      </c>
      <c r="F68" s="45"/>
      <c r="G68" s="45"/>
    </row>
    <row r="69" customFormat="false" ht="15" hidden="false" customHeight="true" outlineLevel="0" collapsed="false">
      <c r="A69" s="4" t="s">
        <v>126</v>
      </c>
      <c r="B69" s="4" t="s">
        <v>248</v>
      </c>
      <c r="C69" s="4" t="s">
        <v>255</v>
      </c>
      <c r="D69" s="43" t="n">
        <v>8000</v>
      </c>
      <c r="E69" s="4" t="s">
        <v>256</v>
      </c>
      <c r="F69" s="45"/>
      <c r="G69" s="45"/>
    </row>
    <row r="70" customFormat="false" ht="15" hidden="false" customHeight="true" outlineLevel="0" collapsed="false">
      <c r="A70" s="4" t="s">
        <v>198</v>
      </c>
      <c r="B70" s="4" t="s">
        <v>248</v>
      </c>
      <c r="C70" s="4" t="s">
        <v>249</v>
      </c>
      <c r="D70" s="43" t="n">
        <v>1500000</v>
      </c>
      <c r="E70" s="4" t="s">
        <v>250</v>
      </c>
      <c r="F70" s="45"/>
      <c r="G70" s="45"/>
    </row>
    <row r="71" customFormat="false" ht="15" hidden="false" customHeight="true" outlineLevel="0" collapsed="false">
      <c r="A71" s="4" t="s">
        <v>198</v>
      </c>
      <c r="B71" s="4" t="s">
        <v>248</v>
      </c>
      <c r="C71" s="4" t="s">
        <v>249</v>
      </c>
      <c r="D71" s="43" t="n">
        <v>500000</v>
      </c>
      <c r="E71" s="4" t="s">
        <v>250</v>
      </c>
      <c r="F71" s="45"/>
      <c r="G71" s="45"/>
    </row>
    <row r="72" customFormat="false" ht="15" hidden="false" customHeight="true" outlineLevel="0" collapsed="false">
      <c r="A72" s="4" t="s">
        <v>198</v>
      </c>
      <c r="B72" s="4" t="s">
        <v>248</v>
      </c>
      <c r="C72" s="4" t="s">
        <v>266</v>
      </c>
      <c r="D72" s="43" t="n">
        <v>298580</v>
      </c>
      <c r="E72" s="4" t="s">
        <v>278</v>
      </c>
      <c r="F72" s="45"/>
      <c r="G72" s="45"/>
    </row>
    <row r="73" customFormat="false" ht="15" hidden="false" customHeight="true" outlineLevel="0" collapsed="false">
      <c r="A73" s="4" t="s">
        <v>198</v>
      </c>
      <c r="B73" s="4" t="s">
        <v>248</v>
      </c>
      <c r="C73" s="4" t="s">
        <v>266</v>
      </c>
      <c r="D73" s="43" t="n">
        <v>185794</v>
      </c>
      <c r="E73" s="4" t="s">
        <v>267</v>
      </c>
      <c r="F73" s="45"/>
      <c r="G73" s="45"/>
    </row>
    <row r="74" customFormat="false" ht="15" hidden="false" customHeight="true" outlineLevel="0" collapsed="false">
      <c r="A74" s="4" t="s">
        <v>198</v>
      </c>
      <c r="B74" s="4" t="s">
        <v>248</v>
      </c>
      <c r="C74" s="4" t="s">
        <v>266</v>
      </c>
      <c r="D74" s="43" t="n">
        <v>125000</v>
      </c>
      <c r="E74" s="4" t="s">
        <v>279</v>
      </c>
      <c r="F74" s="45"/>
      <c r="G74" s="45"/>
    </row>
    <row r="75" customFormat="false" ht="15" hidden="false" customHeight="true" outlineLevel="0" collapsed="false">
      <c r="A75" s="4" t="s">
        <v>198</v>
      </c>
      <c r="B75" s="4" t="s">
        <v>248</v>
      </c>
      <c r="C75" s="4" t="s">
        <v>253</v>
      </c>
      <c r="D75" s="43" t="n">
        <v>50000</v>
      </c>
      <c r="E75" s="4" t="s">
        <v>280</v>
      </c>
      <c r="F75" s="45"/>
      <c r="G75" s="45"/>
    </row>
    <row r="76" customFormat="false" ht="15" hidden="false" customHeight="true" outlineLevel="0" collapsed="false">
      <c r="A76" s="4" t="s">
        <v>198</v>
      </c>
      <c r="B76" s="4" t="s">
        <v>248</v>
      </c>
      <c r="C76" s="4" t="s">
        <v>266</v>
      </c>
      <c r="D76" s="43" t="n">
        <v>39003</v>
      </c>
      <c r="E76" s="4" t="s">
        <v>281</v>
      </c>
      <c r="F76" s="45"/>
      <c r="G76" s="45"/>
    </row>
    <row r="77" customFormat="false" ht="15" hidden="false" customHeight="true" outlineLevel="0" collapsed="false">
      <c r="A77" s="4" t="s">
        <v>198</v>
      </c>
      <c r="B77" s="4" t="s">
        <v>248</v>
      </c>
      <c r="C77" s="4" t="s">
        <v>255</v>
      </c>
      <c r="D77" s="43" t="n">
        <v>12000</v>
      </c>
      <c r="E77" s="4" t="s">
        <v>262</v>
      </c>
      <c r="F77" s="45"/>
      <c r="G77" s="45"/>
    </row>
    <row r="78" customFormat="false" ht="15" hidden="false" customHeight="true" outlineLevel="0" collapsed="false">
      <c r="A78" s="4" t="s">
        <v>199</v>
      </c>
      <c r="B78" s="4" t="s">
        <v>258</v>
      </c>
      <c r="C78" s="4" t="s">
        <v>253</v>
      </c>
      <c r="D78" s="43" t="n">
        <v>436352</v>
      </c>
      <c r="E78" s="4" t="s">
        <v>277</v>
      </c>
      <c r="F78" s="45"/>
      <c r="G78" s="45"/>
    </row>
    <row r="79" customFormat="false" ht="15" hidden="false" customHeight="true" outlineLevel="0" collapsed="false">
      <c r="A79" s="4" t="s">
        <v>199</v>
      </c>
      <c r="B79" s="4" t="s">
        <v>258</v>
      </c>
      <c r="C79" s="4" t="s">
        <v>253</v>
      </c>
      <c r="D79" s="43" t="n">
        <v>393176</v>
      </c>
      <c r="E79" s="4" t="s">
        <v>282</v>
      </c>
      <c r="F79" s="45"/>
      <c r="G79" s="45"/>
    </row>
    <row r="80" customFormat="false" ht="15" hidden="false" customHeight="true" outlineLevel="0" collapsed="false">
      <c r="A80" s="4" t="s">
        <v>199</v>
      </c>
      <c r="B80" s="4" t="s">
        <v>248</v>
      </c>
      <c r="C80" s="4" t="s">
        <v>251</v>
      </c>
      <c r="D80" s="43" t="n">
        <v>600000</v>
      </c>
      <c r="E80" s="4" t="s">
        <v>252</v>
      </c>
      <c r="F80" s="45"/>
      <c r="G80" s="45"/>
    </row>
    <row r="81" customFormat="false" ht="15" hidden="false" customHeight="true" outlineLevel="0" collapsed="false">
      <c r="A81" s="4" t="s">
        <v>199</v>
      </c>
      <c r="B81" s="4" t="s">
        <v>248</v>
      </c>
      <c r="C81" s="4" t="s">
        <v>253</v>
      </c>
      <c r="D81" s="43" t="n">
        <v>568131</v>
      </c>
      <c r="E81" s="4" t="s">
        <v>264</v>
      </c>
      <c r="F81" s="45"/>
      <c r="G81" s="45"/>
    </row>
    <row r="82" customFormat="false" ht="15" hidden="false" customHeight="true" outlineLevel="0" collapsed="false">
      <c r="A82" s="4" t="s">
        <v>199</v>
      </c>
      <c r="B82" s="4" t="s">
        <v>248</v>
      </c>
      <c r="C82" s="4" t="s">
        <v>253</v>
      </c>
      <c r="D82" s="43" t="n">
        <v>225000</v>
      </c>
      <c r="E82" s="4" t="s">
        <v>254</v>
      </c>
      <c r="F82" s="45"/>
      <c r="G82" s="45"/>
    </row>
    <row r="83" customFormat="false" ht="15" hidden="false" customHeight="true" outlineLevel="0" collapsed="false">
      <c r="A83" s="4" t="s">
        <v>199</v>
      </c>
      <c r="B83" s="4" t="s">
        <v>248</v>
      </c>
      <c r="C83" s="4" t="s">
        <v>268</v>
      </c>
      <c r="D83" s="43" t="n">
        <v>50000</v>
      </c>
      <c r="E83" s="4" t="s">
        <v>269</v>
      </c>
      <c r="F83" s="45"/>
      <c r="G83" s="45"/>
    </row>
    <row r="84" customFormat="false" ht="15" hidden="false" customHeight="true" outlineLevel="0" collapsed="false">
      <c r="A84" s="4" t="s">
        <v>199</v>
      </c>
      <c r="B84" s="4" t="s">
        <v>248</v>
      </c>
      <c r="C84" s="4" t="s">
        <v>266</v>
      </c>
      <c r="D84" s="43" t="n">
        <v>36000</v>
      </c>
      <c r="E84" s="4" t="s">
        <v>283</v>
      </c>
      <c r="F84" s="45"/>
      <c r="G84" s="45"/>
    </row>
    <row r="85" customFormat="false" ht="15" hidden="false" customHeight="true" outlineLevel="0" collapsed="false">
      <c r="A85" s="4" t="s">
        <v>199</v>
      </c>
      <c r="B85" s="4" t="s">
        <v>248</v>
      </c>
      <c r="C85" s="4" t="s">
        <v>266</v>
      </c>
      <c r="D85" s="43" t="n">
        <v>15500</v>
      </c>
      <c r="E85" s="4" t="s">
        <v>284</v>
      </c>
      <c r="F85" s="45"/>
      <c r="G85" s="45"/>
    </row>
    <row r="86" customFormat="false" ht="15" hidden="false" customHeight="true" outlineLevel="0" collapsed="false">
      <c r="A86" s="4" t="s">
        <v>199</v>
      </c>
      <c r="B86" s="4" t="s">
        <v>248</v>
      </c>
      <c r="C86" s="4" t="s">
        <v>249</v>
      </c>
      <c r="D86" s="43" t="n">
        <v>15000</v>
      </c>
      <c r="E86" s="4" t="s">
        <v>285</v>
      </c>
      <c r="F86" s="45"/>
      <c r="G86" s="45"/>
    </row>
    <row r="87" customFormat="false" ht="15" hidden="false" customHeight="true" outlineLevel="0" collapsed="false">
      <c r="A87" s="4" t="s">
        <v>199</v>
      </c>
      <c r="B87" s="4" t="s">
        <v>248</v>
      </c>
      <c r="C87" s="4" t="s">
        <v>255</v>
      </c>
      <c r="D87" s="43" t="n">
        <v>15000</v>
      </c>
      <c r="E87" s="4" t="s">
        <v>256</v>
      </c>
      <c r="F87" s="45"/>
      <c r="G87" s="45"/>
    </row>
    <row r="88" customFormat="false" ht="15" hidden="false" customHeight="true" outlineLevel="0" collapsed="false">
      <c r="A88" s="4" t="s">
        <v>199</v>
      </c>
      <c r="B88" s="4" t="s">
        <v>248</v>
      </c>
      <c r="C88" s="4" t="s">
        <v>266</v>
      </c>
      <c r="D88" s="43" t="n">
        <v>13473</v>
      </c>
      <c r="E88" s="4" t="s">
        <v>281</v>
      </c>
      <c r="F88" s="45"/>
      <c r="G88" s="45"/>
    </row>
    <row r="89" customFormat="false" ht="15" hidden="false" customHeight="true" outlineLevel="0" collapsed="false">
      <c r="A89" s="4" t="s">
        <v>199</v>
      </c>
      <c r="B89" s="4" t="s">
        <v>248</v>
      </c>
      <c r="C89" s="4" t="s">
        <v>255</v>
      </c>
      <c r="D89" s="43" t="n">
        <v>8000</v>
      </c>
      <c r="E89" s="4" t="s">
        <v>256</v>
      </c>
      <c r="F89" s="45"/>
      <c r="G89" s="45"/>
    </row>
    <row r="90" customFormat="false" ht="15" hidden="false" customHeight="true" outlineLevel="0" collapsed="false">
      <c r="A90" s="4" t="s">
        <v>199</v>
      </c>
      <c r="B90" s="4" t="s">
        <v>248</v>
      </c>
      <c r="C90" s="4" t="s">
        <v>253</v>
      </c>
      <c r="D90" s="43" t="n">
        <v>6500</v>
      </c>
      <c r="E90" s="4" t="s">
        <v>286</v>
      </c>
      <c r="F90" s="45"/>
      <c r="G90" s="45"/>
    </row>
    <row r="91" customFormat="false" ht="15" hidden="false" customHeight="true" outlineLevel="0" collapsed="false">
      <c r="A91" s="4" t="s">
        <v>199</v>
      </c>
      <c r="B91" s="4" t="s">
        <v>248</v>
      </c>
      <c r="C91" s="4" t="s">
        <v>253</v>
      </c>
      <c r="D91" s="43" t="n">
        <v>3364</v>
      </c>
      <c r="E91" s="4" t="s">
        <v>287</v>
      </c>
      <c r="F91" s="45"/>
      <c r="G91" s="45"/>
    </row>
    <row r="92" customFormat="false" ht="15" hidden="false" customHeight="true" outlineLevel="0" collapsed="false">
      <c r="A92" s="4" t="s">
        <v>201</v>
      </c>
      <c r="B92" s="4" t="s">
        <v>248</v>
      </c>
      <c r="C92" s="4" t="s">
        <v>266</v>
      </c>
      <c r="D92" s="43" t="n">
        <v>171090</v>
      </c>
      <c r="E92" s="4" t="s">
        <v>288</v>
      </c>
      <c r="F92" s="45"/>
      <c r="G92" s="45"/>
    </row>
    <row r="93" customFormat="false" ht="15" hidden="false" customHeight="true" outlineLevel="0" collapsed="false">
      <c r="A93" s="4" t="s">
        <v>201</v>
      </c>
      <c r="B93" s="4" t="s">
        <v>248</v>
      </c>
      <c r="C93" s="4" t="s">
        <v>266</v>
      </c>
      <c r="D93" s="43" t="n">
        <v>165980</v>
      </c>
      <c r="E93" s="4" t="s">
        <v>289</v>
      </c>
      <c r="F93" s="45"/>
      <c r="G93" s="45"/>
    </row>
    <row r="94" customFormat="false" ht="15" hidden="false" customHeight="true" outlineLevel="0" collapsed="false">
      <c r="A94" s="4" t="s">
        <v>201</v>
      </c>
      <c r="B94" s="4" t="s">
        <v>248</v>
      </c>
      <c r="C94" s="4" t="s">
        <v>266</v>
      </c>
      <c r="D94" s="43" t="n">
        <v>108710</v>
      </c>
      <c r="E94" s="4" t="s">
        <v>290</v>
      </c>
      <c r="F94" s="45"/>
      <c r="G94" s="45"/>
    </row>
    <row r="95" customFormat="false" ht="15" hidden="false" customHeight="true" outlineLevel="0" collapsed="false">
      <c r="A95" s="4" t="s">
        <v>201</v>
      </c>
      <c r="B95" s="4" t="s">
        <v>248</v>
      </c>
      <c r="C95" s="4" t="s">
        <v>291</v>
      </c>
      <c r="D95" s="43" t="n">
        <v>48980</v>
      </c>
      <c r="E95" s="4" t="s">
        <v>292</v>
      </c>
      <c r="F95" s="45"/>
      <c r="G95" s="45"/>
    </row>
    <row r="96" customFormat="false" ht="15" hidden="false" customHeight="true" outlineLevel="0" collapsed="false">
      <c r="A96" s="4" t="s">
        <v>202</v>
      </c>
      <c r="B96" s="4" t="s">
        <v>258</v>
      </c>
      <c r="C96" s="4" t="s">
        <v>259</v>
      </c>
      <c r="D96" s="43" t="n">
        <v>1970302</v>
      </c>
      <c r="E96" s="4" t="s">
        <v>260</v>
      </c>
      <c r="F96" s="45"/>
      <c r="G96" s="45"/>
    </row>
    <row r="97" customFormat="false" ht="15" hidden="false" customHeight="true" outlineLevel="0" collapsed="false">
      <c r="A97" s="4" t="s">
        <v>202</v>
      </c>
      <c r="B97" s="4" t="s">
        <v>258</v>
      </c>
      <c r="C97" s="4" t="s">
        <v>253</v>
      </c>
      <c r="D97" s="43" t="n">
        <v>1000000</v>
      </c>
      <c r="E97" s="4" t="s">
        <v>270</v>
      </c>
      <c r="F97" s="45"/>
      <c r="G97" s="45"/>
    </row>
    <row r="98" customFormat="false" ht="15" hidden="false" customHeight="true" outlineLevel="0" collapsed="false">
      <c r="A98" s="4" t="s">
        <v>202</v>
      </c>
      <c r="B98" s="4" t="s">
        <v>258</v>
      </c>
      <c r="C98" s="4" t="s">
        <v>253</v>
      </c>
      <c r="D98" s="43" t="n">
        <v>385560</v>
      </c>
      <c r="E98" s="4" t="s">
        <v>293</v>
      </c>
      <c r="F98" s="45"/>
      <c r="G98" s="45"/>
    </row>
    <row r="99" customFormat="false" ht="15" hidden="false" customHeight="true" outlineLevel="0" collapsed="false">
      <c r="A99" s="4" t="s">
        <v>202</v>
      </c>
      <c r="B99" s="4" t="s">
        <v>248</v>
      </c>
      <c r="C99" s="4" t="s">
        <v>251</v>
      </c>
      <c r="D99" s="43" t="n">
        <v>1022960</v>
      </c>
      <c r="E99" s="4" t="s">
        <v>252</v>
      </c>
      <c r="F99" s="45"/>
      <c r="G99" s="45"/>
    </row>
    <row r="100" customFormat="false" ht="15" hidden="false" customHeight="true" outlineLevel="0" collapsed="false">
      <c r="A100" s="4" t="s">
        <v>202</v>
      </c>
      <c r="B100" s="4" t="s">
        <v>248</v>
      </c>
      <c r="C100" s="4" t="s">
        <v>255</v>
      </c>
      <c r="D100" s="43" t="n">
        <v>300000</v>
      </c>
      <c r="E100" s="4" t="s">
        <v>261</v>
      </c>
      <c r="F100" s="45"/>
      <c r="G100" s="45"/>
    </row>
    <row r="101" customFormat="false" ht="15" hidden="false" customHeight="true" outlineLevel="0" collapsed="false">
      <c r="A101" s="4" t="s">
        <v>202</v>
      </c>
      <c r="B101" s="4" t="s">
        <v>248</v>
      </c>
      <c r="C101" s="4" t="s">
        <v>255</v>
      </c>
      <c r="D101" s="43" t="n">
        <v>200000</v>
      </c>
      <c r="E101" s="4" t="s">
        <v>262</v>
      </c>
      <c r="F101" s="45"/>
      <c r="G101" s="45"/>
    </row>
    <row r="102" customFormat="false" ht="15" hidden="false" customHeight="true" outlineLevel="0" collapsed="false">
      <c r="A102" s="4" t="s">
        <v>202</v>
      </c>
      <c r="B102" s="4" t="s">
        <v>248</v>
      </c>
      <c r="C102" s="4" t="s">
        <v>255</v>
      </c>
      <c r="D102" s="43" t="n">
        <v>200000</v>
      </c>
      <c r="E102" s="4" t="s">
        <v>256</v>
      </c>
      <c r="F102" s="45"/>
      <c r="G102" s="45"/>
    </row>
    <row r="103" customFormat="false" ht="15" hidden="false" customHeight="true" outlineLevel="0" collapsed="false">
      <c r="A103" s="4" t="s">
        <v>202</v>
      </c>
      <c r="B103" s="4" t="s">
        <v>248</v>
      </c>
      <c r="C103" s="4" t="s">
        <v>255</v>
      </c>
      <c r="D103" s="43" t="n">
        <v>200000</v>
      </c>
      <c r="E103" s="4" t="s">
        <v>262</v>
      </c>
      <c r="F103" s="45"/>
      <c r="G103" s="45"/>
    </row>
    <row r="104" customFormat="false" ht="15" hidden="false" customHeight="true" outlineLevel="0" collapsed="false">
      <c r="A104" s="4" t="s">
        <v>202</v>
      </c>
      <c r="B104" s="4" t="s">
        <v>248</v>
      </c>
      <c r="C104" s="4" t="s">
        <v>253</v>
      </c>
      <c r="D104" s="43" t="n">
        <v>124000</v>
      </c>
      <c r="E104" s="4" t="s">
        <v>257</v>
      </c>
      <c r="F104" s="45"/>
      <c r="G104" s="45"/>
    </row>
    <row r="105" customFormat="false" ht="15" hidden="false" customHeight="true" outlineLevel="0" collapsed="false">
      <c r="A105" s="4" t="s">
        <v>202</v>
      </c>
      <c r="B105" s="4" t="s">
        <v>248</v>
      </c>
      <c r="C105" s="4" t="s">
        <v>255</v>
      </c>
      <c r="D105" s="43" t="n">
        <v>100000</v>
      </c>
      <c r="E105" s="4" t="s">
        <v>261</v>
      </c>
      <c r="F105" s="45"/>
      <c r="G105" s="45"/>
    </row>
    <row r="106" customFormat="false" ht="15" hidden="false" customHeight="true" outlineLevel="0" collapsed="false">
      <c r="A106" s="4" t="s">
        <v>202</v>
      </c>
      <c r="B106" s="4" t="s">
        <v>248</v>
      </c>
      <c r="C106" s="4" t="s">
        <v>266</v>
      </c>
      <c r="D106" s="43" t="n">
        <v>76000</v>
      </c>
      <c r="E106" s="4" t="s">
        <v>294</v>
      </c>
      <c r="F106" s="45"/>
      <c r="G106" s="45"/>
    </row>
    <row r="107" customFormat="false" ht="15" hidden="false" customHeight="true" outlineLevel="0" collapsed="false">
      <c r="A107" s="4" t="s">
        <v>202</v>
      </c>
      <c r="B107" s="4" t="s">
        <v>248</v>
      </c>
      <c r="C107" s="4" t="s">
        <v>249</v>
      </c>
      <c r="D107" s="43" t="n">
        <v>50000</v>
      </c>
      <c r="E107" s="4" t="s">
        <v>285</v>
      </c>
      <c r="F107" s="45"/>
      <c r="G107" s="45"/>
    </row>
    <row r="108" customFormat="false" ht="15" hidden="false" customHeight="true" outlineLevel="0" collapsed="false">
      <c r="A108" s="4" t="s">
        <v>202</v>
      </c>
      <c r="B108" s="4" t="s">
        <v>248</v>
      </c>
      <c r="C108" s="4" t="s">
        <v>249</v>
      </c>
      <c r="D108" s="43" t="n">
        <v>30000</v>
      </c>
      <c r="E108" s="4" t="s">
        <v>285</v>
      </c>
      <c r="F108" s="45"/>
      <c r="G108" s="45"/>
    </row>
    <row r="109" customFormat="false" ht="15" hidden="false" customHeight="true" outlineLevel="0" collapsed="false">
      <c r="A109" s="4" t="s">
        <v>202</v>
      </c>
      <c r="B109" s="4" t="s">
        <v>248</v>
      </c>
      <c r="C109" s="4" t="s">
        <v>255</v>
      </c>
      <c r="D109" s="43" t="n">
        <v>15000</v>
      </c>
      <c r="E109" s="4" t="s">
        <v>256</v>
      </c>
      <c r="F109" s="45"/>
      <c r="G109" s="45"/>
    </row>
    <row r="110" customFormat="false" ht="15" hidden="false" customHeight="true" outlineLevel="0" collapsed="false">
      <c r="A110" s="4" t="s">
        <v>202</v>
      </c>
      <c r="B110" s="4" t="s">
        <v>248</v>
      </c>
      <c r="C110" s="4" t="s">
        <v>255</v>
      </c>
      <c r="D110" s="43" t="n">
        <v>15000</v>
      </c>
      <c r="E110" s="4" t="s">
        <v>262</v>
      </c>
      <c r="F110" s="45"/>
      <c r="G110" s="45"/>
    </row>
    <row r="111" customFormat="false" ht="15" hidden="false" customHeight="true" outlineLevel="0" collapsed="false">
      <c r="A111" s="4" t="s">
        <v>202</v>
      </c>
      <c r="B111" s="4" t="s">
        <v>248</v>
      </c>
      <c r="C111" s="4" t="s">
        <v>255</v>
      </c>
      <c r="D111" s="43" t="n">
        <v>12000</v>
      </c>
      <c r="E111" s="4" t="s">
        <v>256</v>
      </c>
      <c r="F111" s="45"/>
      <c r="G111" s="45"/>
    </row>
    <row r="112" customFormat="false" ht="15" hidden="false" customHeight="true" outlineLevel="0" collapsed="false">
      <c r="A112" s="4" t="s">
        <v>202</v>
      </c>
      <c r="B112" s="4" t="s">
        <v>248</v>
      </c>
      <c r="C112" s="4" t="s">
        <v>255</v>
      </c>
      <c r="D112" s="43" t="n">
        <v>8000</v>
      </c>
      <c r="E112" s="4" t="s">
        <v>256</v>
      </c>
      <c r="F112" s="45"/>
      <c r="G112" s="45"/>
    </row>
    <row r="113" customFormat="false" ht="15" hidden="false" customHeight="true" outlineLevel="0" collapsed="false">
      <c r="A113" s="4" t="s">
        <v>202</v>
      </c>
      <c r="B113" s="4" t="s">
        <v>248</v>
      </c>
      <c r="C113" s="4" t="s">
        <v>253</v>
      </c>
      <c r="D113" s="43" t="n">
        <v>1690</v>
      </c>
      <c r="E113" s="4" t="s">
        <v>295</v>
      </c>
      <c r="F113" s="45"/>
      <c r="G113" s="45"/>
    </row>
    <row r="114" customFormat="false" ht="15" hidden="false" customHeight="true" outlineLevel="0" collapsed="false">
      <c r="A114" s="4" t="s">
        <v>296</v>
      </c>
      <c r="B114" s="4" t="s">
        <v>248</v>
      </c>
      <c r="C114" s="4" t="s">
        <v>253</v>
      </c>
      <c r="D114" s="43" t="n">
        <v>225000</v>
      </c>
      <c r="E114" s="4" t="s">
        <v>254</v>
      </c>
      <c r="F114" s="45"/>
      <c r="G114" s="45"/>
    </row>
    <row r="115" customFormat="false" ht="15" hidden="false" customHeight="true" outlineLevel="0" collapsed="false">
      <c r="A115" s="4" t="s">
        <v>296</v>
      </c>
      <c r="B115" s="4" t="s">
        <v>248</v>
      </c>
      <c r="C115" s="4" t="s">
        <v>255</v>
      </c>
      <c r="D115" s="43" t="n">
        <v>38000</v>
      </c>
      <c r="E115" s="4" t="s">
        <v>256</v>
      </c>
      <c r="F115" s="45"/>
      <c r="G115" s="45"/>
    </row>
    <row r="116" customFormat="false" ht="15" hidden="false" customHeight="true" outlineLevel="0" collapsed="false">
      <c r="A116" s="4" t="s">
        <v>296</v>
      </c>
      <c r="B116" s="4" t="s">
        <v>248</v>
      </c>
      <c r="C116" s="4" t="s">
        <v>253</v>
      </c>
      <c r="D116" s="43" t="n">
        <v>22000</v>
      </c>
      <c r="E116" s="4" t="s">
        <v>257</v>
      </c>
      <c r="F116" s="45"/>
      <c r="G116" s="45"/>
    </row>
    <row r="117" customFormat="false" ht="15" hidden="false" customHeight="true" outlineLevel="0" collapsed="false">
      <c r="A117" s="4" t="s">
        <v>296</v>
      </c>
      <c r="B117" s="4" t="s">
        <v>248</v>
      </c>
      <c r="C117" s="4" t="s">
        <v>255</v>
      </c>
      <c r="D117" s="43" t="n">
        <v>12000</v>
      </c>
      <c r="E117" s="4" t="s">
        <v>262</v>
      </c>
      <c r="F117" s="45"/>
      <c r="G117" s="45"/>
    </row>
    <row r="118" customFormat="false" ht="15" hidden="false" customHeight="true" outlineLevel="0" collapsed="false">
      <c r="A118" s="4" t="s">
        <v>208</v>
      </c>
      <c r="B118" s="4" t="s">
        <v>248</v>
      </c>
      <c r="C118" s="4" t="s">
        <v>249</v>
      </c>
      <c r="D118" s="43" t="n">
        <v>1000000</v>
      </c>
      <c r="E118" s="4" t="s">
        <v>250</v>
      </c>
      <c r="F118" s="45"/>
      <c r="G118" s="45"/>
    </row>
    <row r="119" customFormat="false" ht="15" hidden="false" customHeight="true" outlineLevel="0" collapsed="false">
      <c r="A119" s="4" t="s">
        <v>208</v>
      </c>
      <c r="B119" s="4" t="s">
        <v>248</v>
      </c>
      <c r="C119" s="4" t="s">
        <v>255</v>
      </c>
      <c r="D119" s="43" t="n">
        <v>42000</v>
      </c>
      <c r="E119" s="4" t="s">
        <v>256</v>
      </c>
      <c r="F119" s="45"/>
      <c r="G119" s="45"/>
    </row>
    <row r="120" customFormat="false" ht="15" hidden="false" customHeight="true" outlineLevel="0" collapsed="false">
      <c r="A120" s="4" t="s">
        <v>208</v>
      </c>
      <c r="B120" s="4" t="s">
        <v>248</v>
      </c>
      <c r="C120" s="4" t="s">
        <v>255</v>
      </c>
      <c r="D120" s="43" t="n">
        <v>24000</v>
      </c>
      <c r="E120" s="4" t="s">
        <v>261</v>
      </c>
      <c r="F120" s="45"/>
      <c r="G120" s="45"/>
    </row>
    <row r="121" customFormat="false" ht="15" hidden="false" customHeight="true" outlineLevel="0" collapsed="false">
      <c r="A121" s="4" t="s">
        <v>208</v>
      </c>
      <c r="B121" s="4" t="s">
        <v>248</v>
      </c>
      <c r="C121" s="4" t="s">
        <v>255</v>
      </c>
      <c r="D121" s="43" t="n">
        <v>7000</v>
      </c>
      <c r="E121" s="4" t="s">
        <v>262</v>
      </c>
      <c r="F121" s="45"/>
      <c r="G121" s="45"/>
    </row>
    <row r="122" customFormat="false" ht="15" hidden="false" customHeight="true" outlineLevel="0" collapsed="false">
      <c r="A122" s="4" t="s">
        <v>210</v>
      </c>
      <c r="B122" s="4" t="s">
        <v>248</v>
      </c>
      <c r="C122" s="4" t="s">
        <v>249</v>
      </c>
      <c r="D122" s="43" t="n">
        <v>1000000</v>
      </c>
      <c r="E122" s="4" t="s">
        <v>250</v>
      </c>
      <c r="F122" s="45"/>
      <c r="G122" s="45"/>
    </row>
    <row r="123" customFormat="false" ht="15" hidden="false" customHeight="true" outlineLevel="0" collapsed="false">
      <c r="A123" s="4" t="s">
        <v>210</v>
      </c>
      <c r="B123" s="4" t="s">
        <v>248</v>
      </c>
      <c r="C123" s="4" t="s">
        <v>255</v>
      </c>
      <c r="D123" s="43" t="n">
        <v>42000</v>
      </c>
      <c r="E123" s="4" t="s">
        <v>256</v>
      </c>
      <c r="F123" s="45"/>
      <c r="G123" s="45"/>
    </row>
    <row r="124" customFormat="false" ht="15" hidden="false" customHeight="true" outlineLevel="0" collapsed="false">
      <c r="A124" s="4" t="s">
        <v>210</v>
      </c>
      <c r="B124" s="4" t="s">
        <v>248</v>
      </c>
      <c r="C124" s="4" t="s">
        <v>255</v>
      </c>
      <c r="D124" s="43" t="n">
        <v>22000</v>
      </c>
      <c r="E124" s="4" t="s">
        <v>256</v>
      </c>
      <c r="F124" s="45"/>
      <c r="G124" s="45"/>
    </row>
    <row r="125" customFormat="false" ht="15" hidden="false" customHeight="true" outlineLevel="0" collapsed="false">
      <c r="A125" s="4" t="s">
        <v>210</v>
      </c>
      <c r="B125" s="4" t="s">
        <v>248</v>
      </c>
      <c r="C125" s="4" t="s">
        <v>255</v>
      </c>
      <c r="D125" s="43" t="n">
        <v>17000</v>
      </c>
      <c r="E125" s="4" t="s">
        <v>262</v>
      </c>
      <c r="F125" s="45"/>
      <c r="G125" s="45"/>
    </row>
    <row r="126" customFormat="false" ht="15" hidden="false" customHeight="true" outlineLevel="0" collapsed="false">
      <c r="A126" s="4" t="s">
        <v>210</v>
      </c>
      <c r="B126" s="4" t="s">
        <v>248</v>
      </c>
      <c r="C126" s="4" t="s">
        <v>255</v>
      </c>
      <c r="D126" s="43" t="n">
        <v>15000</v>
      </c>
      <c r="E126" s="4" t="s">
        <v>261</v>
      </c>
      <c r="F126" s="45"/>
      <c r="G126" s="45"/>
    </row>
    <row r="127" customFormat="false" ht="15" hidden="false" customHeight="true" outlineLevel="0" collapsed="false">
      <c r="A127" s="4" t="s">
        <v>213</v>
      </c>
      <c r="B127" s="4" t="s">
        <v>258</v>
      </c>
      <c r="C127" s="4" t="s">
        <v>253</v>
      </c>
      <c r="D127" s="43" t="n">
        <v>1</v>
      </c>
      <c r="E127" s="4" t="s">
        <v>297</v>
      </c>
      <c r="F127" s="45"/>
      <c r="G127" s="45"/>
    </row>
    <row r="128" customFormat="false" ht="15" hidden="false" customHeight="true" outlineLevel="0" collapsed="false">
      <c r="A128" s="4" t="s">
        <v>213</v>
      </c>
      <c r="B128" s="4" t="s">
        <v>248</v>
      </c>
      <c r="C128" s="4" t="s">
        <v>253</v>
      </c>
      <c r="D128" s="43" t="n">
        <v>187408</v>
      </c>
      <c r="E128" s="4" t="s">
        <v>264</v>
      </c>
      <c r="F128" s="45"/>
      <c r="G128" s="45"/>
    </row>
    <row r="129" customFormat="false" ht="15" hidden="false" customHeight="true" outlineLevel="0" collapsed="false">
      <c r="A129" s="4" t="s">
        <v>213</v>
      </c>
      <c r="B129" s="4" t="s">
        <v>248</v>
      </c>
      <c r="C129" s="4" t="s">
        <v>255</v>
      </c>
      <c r="D129" s="43" t="n">
        <v>12000</v>
      </c>
      <c r="E129" s="4" t="s">
        <v>262</v>
      </c>
      <c r="F129" s="45"/>
      <c r="G129" s="45"/>
    </row>
    <row r="130" customFormat="false" ht="15" hidden="false" customHeight="true" outlineLevel="0" collapsed="false">
      <c r="A130" s="4" t="s">
        <v>221</v>
      </c>
      <c r="B130" s="4" t="s">
        <v>258</v>
      </c>
      <c r="C130" s="4" t="s">
        <v>253</v>
      </c>
      <c r="D130" s="43" t="n">
        <v>500000</v>
      </c>
      <c r="E130" s="4" t="s">
        <v>270</v>
      </c>
      <c r="F130" s="45"/>
      <c r="G130" s="45"/>
    </row>
    <row r="131" customFormat="false" ht="15" hidden="false" customHeight="true" outlineLevel="0" collapsed="false">
      <c r="A131" s="4" t="s">
        <v>221</v>
      </c>
      <c r="B131" s="4" t="s">
        <v>248</v>
      </c>
      <c r="C131" s="4" t="s">
        <v>253</v>
      </c>
      <c r="D131" s="43" t="n">
        <v>110000</v>
      </c>
      <c r="E131" s="4" t="s">
        <v>257</v>
      </c>
      <c r="F131" s="45"/>
      <c r="G131" s="45"/>
    </row>
    <row r="132" customFormat="false" ht="15" hidden="false" customHeight="true" outlineLevel="0" collapsed="false">
      <c r="A132" s="4" t="s">
        <v>221</v>
      </c>
      <c r="B132" s="4" t="s">
        <v>248</v>
      </c>
      <c r="C132" s="4" t="s">
        <v>253</v>
      </c>
      <c r="D132" s="43" t="n">
        <v>85980</v>
      </c>
      <c r="E132" s="4" t="s">
        <v>275</v>
      </c>
      <c r="F132" s="45"/>
      <c r="G132" s="45"/>
    </row>
    <row r="133" customFormat="false" ht="15" hidden="false" customHeight="true" outlineLevel="0" collapsed="false">
      <c r="A133" s="4" t="s">
        <v>221</v>
      </c>
      <c r="B133" s="4" t="s">
        <v>248</v>
      </c>
      <c r="C133" s="4" t="s">
        <v>255</v>
      </c>
      <c r="D133" s="43" t="n">
        <v>50000</v>
      </c>
      <c r="E133" s="4" t="s">
        <v>262</v>
      </c>
      <c r="F133" s="45"/>
      <c r="G133" s="45"/>
    </row>
    <row r="134" customFormat="false" ht="15" hidden="false" customHeight="true" outlineLevel="0" collapsed="false">
      <c r="A134" s="4" t="s">
        <v>221</v>
      </c>
      <c r="B134" s="4" t="s">
        <v>248</v>
      </c>
      <c r="C134" s="4" t="s">
        <v>255</v>
      </c>
      <c r="D134" s="43" t="n">
        <v>50000</v>
      </c>
      <c r="E134" s="4" t="s">
        <v>256</v>
      </c>
      <c r="F134" s="45"/>
      <c r="G134" s="45"/>
    </row>
    <row r="135" customFormat="false" ht="15" hidden="false" customHeight="true" outlineLevel="0" collapsed="false">
      <c r="A135" s="4" t="s">
        <v>221</v>
      </c>
      <c r="B135" s="4" t="s">
        <v>248</v>
      </c>
      <c r="C135" s="4" t="s">
        <v>253</v>
      </c>
      <c r="D135" s="43" t="n">
        <v>49280</v>
      </c>
      <c r="E135" s="4" t="s">
        <v>275</v>
      </c>
      <c r="F135" s="45"/>
      <c r="G135" s="45"/>
    </row>
    <row r="136" customFormat="false" ht="15" hidden="false" customHeight="true" outlineLevel="0" collapsed="false">
      <c r="A136" s="4" t="s">
        <v>221</v>
      </c>
      <c r="B136" s="4" t="s">
        <v>248</v>
      </c>
      <c r="C136" s="4" t="s">
        <v>253</v>
      </c>
      <c r="D136" s="43" t="n">
        <v>42731</v>
      </c>
      <c r="E136" s="4" t="s">
        <v>275</v>
      </c>
      <c r="F136" s="45"/>
      <c r="G136" s="45"/>
    </row>
    <row r="137" customFormat="false" ht="15" hidden="false" customHeight="true" outlineLevel="0" collapsed="false">
      <c r="A137" s="4" t="s">
        <v>221</v>
      </c>
      <c r="B137" s="4" t="s">
        <v>248</v>
      </c>
      <c r="C137" s="4" t="s">
        <v>255</v>
      </c>
      <c r="D137" s="43" t="n">
        <v>42000</v>
      </c>
      <c r="E137" s="4" t="s">
        <v>256</v>
      </c>
      <c r="F137" s="45"/>
      <c r="G137" s="45"/>
    </row>
    <row r="138" customFormat="false" ht="15" hidden="false" customHeight="true" outlineLevel="0" collapsed="false">
      <c r="A138" s="4" t="s">
        <v>221</v>
      </c>
      <c r="B138" s="4" t="s">
        <v>248</v>
      </c>
      <c r="C138" s="4" t="s">
        <v>255</v>
      </c>
      <c r="D138" s="43" t="n">
        <v>22500</v>
      </c>
      <c r="E138" s="4" t="s">
        <v>256</v>
      </c>
      <c r="F138" s="45"/>
      <c r="G138" s="45"/>
    </row>
    <row r="139" customFormat="false" ht="15" hidden="false" customHeight="true" outlineLevel="0" collapsed="false">
      <c r="A139" s="4" t="s">
        <v>221</v>
      </c>
      <c r="B139" s="4" t="s">
        <v>248</v>
      </c>
      <c r="C139" s="4" t="s">
        <v>255</v>
      </c>
      <c r="D139" s="43" t="n">
        <v>16000</v>
      </c>
      <c r="E139" s="4" t="s">
        <v>262</v>
      </c>
      <c r="F139" s="45"/>
      <c r="G139" s="45"/>
    </row>
    <row r="140" customFormat="false" ht="15" hidden="false" customHeight="true" outlineLevel="0" collapsed="false">
      <c r="A140" s="4" t="s">
        <v>221</v>
      </c>
      <c r="B140" s="4" t="s">
        <v>248</v>
      </c>
      <c r="C140" s="4" t="s">
        <v>255</v>
      </c>
      <c r="D140" s="43" t="n">
        <v>12000</v>
      </c>
      <c r="E140" s="4" t="s">
        <v>298</v>
      </c>
      <c r="F140" s="45"/>
      <c r="G140" s="45"/>
    </row>
    <row r="141" customFormat="false" ht="15" hidden="false" customHeight="true" outlineLevel="0" collapsed="false">
      <c r="A141" s="4" t="s">
        <v>221</v>
      </c>
      <c r="B141" s="4" t="s">
        <v>248</v>
      </c>
      <c r="C141" s="4" t="s">
        <v>253</v>
      </c>
      <c r="D141" s="43" t="n">
        <v>4390</v>
      </c>
      <c r="E141" s="4" t="s">
        <v>299</v>
      </c>
      <c r="F141" s="45"/>
      <c r="G141" s="45"/>
    </row>
    <row r="142" customFormat="false" ht="15" hidden="false" customHeight="true" outlineLevel="0" collapsed="false">
      <c r="A142" s="4" t="s">
        <v>226</v>
      </c>
      <c r="B142" s="4" t="s">
        <v>258</v>
      </c>
      <c r="C142" s="4" t="s">
        <v>259</v>
      </c>
      <c r="D142" s="43" t="n">
        <v>7000000</v>
      </c>
      <c r="E142" s="4" t="s">
        <v>260</v>
      </c>
      <c r="F142" s="45"/>
      <c r="G142" s="45"/>
    </row>
    <row r="143" customFormat="false" ht="15" hidden="false" customHeight="true" outlineLevel="0" collapsed="false">
      <c r="A143" s="4" t="s">
        <v>226</v>
      </c>
      <c r="B143" s="4" t="s">
        <v>258</v>
      </c>
      <c r="C143" s="4" t="s">
        <v>259</v>
      </c>
      <c r="D143" s="43" t="n">
        <v>1087806</v>
      </c>
      <c r="E143" s="4" t="s">
        <v>260</v>
      </c>
      <c r="F143" s="45"/>
      <c r="G143" s="45"/>
    </row>
    <row r="144" customFormat="false" ht="15" hidden="false" customHeight="true" outlineLevel="0" collapsed="false">
      <c r="A144" s="4" t="s">
        <v>226</v>
      </c>
      <c r="B144" s="4" t="s">
        <v>248</v>
      </c>
      <c r="C144" s="4" t="s">
        <v>249</v>
      </c>
      <c r="D144" s="43" t="n">
        <v>2000000</v>
      </c>
      <c r="E144" s="4" t="s">
        <v>250</v>
      </c>
      <c r="F144" s="45"/>
      <c r="G144" s="45"/>
    </row>
    <row r="145" customFormat="false" ht="15" hidden="false" customHeight="true" outlineLevel="0" collapsed="false">
      <c r="A145" s="4" t="s">
        <v>226</v>
      </c>
      <c r="B145" s="4" t="s">
        <v>248</v>
      </c>
      <c r="C145" s="4" t="s">
        <v>253</v>
      </c>
      <c r="D145" s="43" t="n">
        <v>225000</v>
      </c>
      <c r="E145" s="4" t="s">
        <v>254</v>
      </c>
      <c r="F145" s="45"/>
      <c r="G145" s="45"/>
    </row>
    <row r="146" customFormat="false" ht="15" hidden="false" customHeight="true" outlineLevel="0" collapsed="false">
      <c r="A146" s="4" t="s">
        <v>226</v>
      </c>
      <c r="B146" s="4" t="s">
        <v>248</v>
      </c>
      <c r="C146" s="4" t="s">
        <v>249</v>
      </c>
      <c r="D146" s="43" t="n">
        <v>160000</v>
      </c>
      <c r="E146" s="4" t="s">
        <v>250</v>
      </c>
      <c r="F146" s="45"/>
      <c r="G146" s="45"/>
    </row>
    <row r="147" customFormat="false" ht="15" hidden="false" customHeight="true" outlineLevel="0" collapsed="false">
      <c r="A147" s="4" t="s">
        <v>226</v>
      </c>
      <c r="B147" s="4" t="s">
        <v>248</v>
      </c>
      <c r="C147" s="4" t="s">
        <v>253</v>
      </c>
      <c r="D147" s="43" t="n">
        <v>83970</v>
      </c>
      <c r="E147" s="4" t="s">
        <v>254</v>
      </c>
      <c r="F147" s="45"/>
      <c r="G147" s="45"/>
    </row>
    <row r="148" customFormat="false" ht="15" hidden="false" customHeight="true" outlineLevel="0" collapsed="false">
      <c r="A148" s="4" t="s">
        <v>226</v>
      </c>
      <c r="B148" s="4" t="s">
        <v>248</v>
      </c>
      <c r="C148" s="4" t="s">
        <v>266</v>
      </c>
      <c r="D148" s="43" t="n">
        <v>57634</v>
      </c>
      <c r="E148" s="4" t="s">
        <v>300</v>
      </c>
      <c r="F148" s="45"/>
      <c r="G148" s="45"/>
    </row>
    <row r="149" customFormat="false" ht="15" hidden="false" customHeight="true" outlineLevel="0" collapsed="false">
      <c r="A149" s="4" t="s">
        <v>226</v>
      </c>
      <c r="B149" s="4" t="s">
        <v>248</v>
      </c>
      <c r="C149" s="4" t="s">
        <v>255</v>
      </c>
      <c r="D149" s="43" t="n">
        <v>42000</v>
      </c>
      <c r="E149" s="4" t="s">
        <v>256</v>
      </c>
      <c r="F149" s="45"/>
      <c r="G149" s="45"/>
    </row>
    <row r="150" customFormat="false" ht="15" hidden="false" customHeight="true" outlineLevel="0" collapsed="false">
      <c r="A150" s="4" t="s">
        <v>226</v>
      </c>
      <c r="B150" s="4" t="s">
        <v>248</v>
      </c>
      <c r="C150" s="4" t="s">
        <v>253</v>
      </c>
      <c r="D150" s="43" t="n">
        <v>7170</v>
      </c>
      <c r="E150" s="4" t="s">
        <v>301</v>
      </c>
      <c r="F150" s="45"/>
      <c r="G150" s="45"/>
    </row>
    <row r="151" customFormat="false" ht="15" hidden="false" customHeight="true" outlineLevel="0" collapsed="false">
      <c r="A151" s="4" t="s">
        <v>232</v>
      </c>
      <c r="B151" s="4" t="s">
        <v>248</v>
      </c>
      <c r="C151" s="4" t="s">
        <v>255</v>
      </c>
      <c r="D151" s="43" t="n">
        <v>71000</v>
      </c>
      <c r="E151" s="4" t="s">
        <v>256</v>
      </c>
      <c r="F151" s="45"/>
      <c r="G151" s="45"/>
    </row>
    <row r="152" customFormat="false" ht="15" hidden="false" customHeight="true" outlineLevel="0" collapsed="false">
      <c r="A152" s="4" t="s">
        <v>232</v>
      </c>
      <c r="B152" s="4" t="s">
        <v>248</v>
      </c>
      <c r="C152" s="4" t="s">
        <v>255</v>
      </c>
      <c r="D152" s="43" t="n">
        <v>65000</v>
      </c>
      <c r="E152" s="4" t="s">
        <v>261</v>
      </c>
      <c r="F152" s="45"/>
      <c r="G152" s="45"/>
    </row>
    <row r="153" customFormat="false" ht="15" hidden="false" customHeight="true" outlineLevel="0" collapsed="false">
      <c r="A153" s="4" t="s">
        <v>232</v>
      </c>
      <c r="B153" s="4" t="s">
        <v>248</v>
      </c>
      <c r="C153" s="4" t="s">
        <v>255</v>
      </c>
      <c r="D153" s="43" t="n">
        <v>39000</v>
      </c>
      <c r="E153" s="4" t="s">
        <v>302</v>
      </c>
      <c r="F153" s="45"/>
      <c r="G153" s="45"/>
    </row>
    <row r="154" customFormat="false" ht="15" hidden="false" customHeight="true" outlineLevel="0" collapsed="false">
      <c r="A154" s="4" t="s">
        <v>232</v>
      </c>
      <c r="B154" s="4" t="s">
        <v>248</v>
      </c>
      <c r="C154" s="4" t="s">
        <v>255</v>
      </c>
      <c r="D154" s="43" t="n">
        <v>27000</v>
      </c>
      <c r="E154" s="4" t="s">
        <v>298</v>
      </c>
      <c r="F154" s="45"/>
      <c r="G154" s="45"/>
    </row>
    <row r="155" customFormat="false" ht="15" hidden="false" customHeight="true" outlineLevel="0" collapsed="false">
      <c r="A155" s="4" t="s">
        <v>232</v>
      </c>
      <c r="B155" s="4" t="s">
        <v>248</v>
      </c>
      <c r="C155" s="4" t="s">
        <v>255</v>
      </c>
      <c r="D155" s="43" t="n">
        <v>23000</v>
      </c>
      <c r="E155" s="4" t="s">
        <v>262</v>
      </c>
      <c r="F155" s="45"/>
      <c r="G155" s="45"/>
    </row>
    <row r="156" customFormat="false" ht="15" hidden="false" customHeight="true" outlineLevel="0" collapsed="false">
      <c r="A156" s="4" t="s">
        <v>232</v>
      </c>
      <c r="B156" s="4" t="s">
        <v>248</v>
      </c>
      <c r="C156" s="4" t="s">
        <v>255</v>
      </c>
      <c r="D156" s="43" t="n">
        <v>17000</v>
      </c>
      <c r="E156" s="4" t="s">
        <v>262</v>
      </c>
      <c r="F156" s="45"/>
      <c r="G156" s="45"/>
    </row>
    <row r="157" customFormat="false" ht="15" hidden="false" customHeight="true" outlineLevel="0" collapsed="false">
      <c r="A157" s="4" t="s">
        <v>232</v>
      </c>
      <c r="B157" s="4" t="s">
        <v>248</v>
      </c>
      <c r="C157" s="4" t="s">
        <v>253</v>
      </c>
      <c r="D157" s="43" t="n">
        <v>11100</v>
      </c>
      <c r="E157" s="4" t="s">
        <v>303</v>
      </c>
      <c r="F157" s="45"/>
      <c r="G157" s="45"/>
    </row>
    <row r="158" customFormat="false" ht="15" hidden="false" customHeight="true" outlineLevel="0" collapsed="false">
      <c r="A158" s="4" t="s">
        <v>222</v>
      </c>
      <c r="B158" s="4" t="s">
        <v>248</v>
      </c>
      <c r="C158" s="4" t="s">
        <v>249</v>
      </c>
      <c r="D158" s="43" t="n">
        <v>1000000</v>
      </c>
      <c r="E158" s="4" t="s">
        <v>250</v>
      </c>
      <c r="F158" s="45"/>
      <c r="G158" s="45"/>
    </row>
    <row r="159" customFormat="false" ht="15" hidden="false" customHeight="true" outlineLevel="0" collapsed="false">
      <c r="A159" s="4" t="s">
        <v>222</v>
      </c>
      <c r="B159" s="4" t="s">
        <v>248</v>
      </c>
      <c r="C159" s="4" t="s">
        <v>251</v>
      </c>
      <c r="D159" s="43" t="n">
        <v>1000000</v>
      </c>
      <c r="E159" s="4" t="s">
        <v>252</v>
      </c>
      <c r="F159" s="45"/>
      <c r="G159" s="45"/>
    </row>
    <row r="160" customFormat="false" ht="15" hidden="false" customHeight="true" outlineLevel="0" collapsed="false">
      <c r="A160" s="4" t="s">
        <v>222</v>
      </c>
      <c r="B160" s="4" t="s">
        <v>248</v>
      </c>
      <c r="C160" s="4" t="s">
        <v>251</v>
      </c>
      <c r="D160" s="43" t="n">
        <v>300000</v>
      </c>
      <c r="E160" s="4" t="s">
        <v>252</v>
      </c>
      <c r="F160" s="45"/>
      <c r="G160" s="45"/>
    </row>
    <row r="161" customFormat="false" ht="15" hidden="false" customHeight="true" outlineLevel="0" collapsed="false">
      <c r="A161" s="4" t="s">
        <v>222</v>
      </c>
      <c r="B161" s="4" t="s">
        <v>248</v>
      </c>
      <c r="C161" s="4" t="s">
        <v>255</v>
      </c>
      <c r="D161" s="43" t="n">
        <v>70000</v>
      </c>
      <c r="E161" s="4" t="s">
        <v>304</v>
      </c>
      <c r="F161" s="45"/>
      <c r="G161" s="45"/>
    </row>
    <row r="162" customFormat="false" ht="15" hidden="false" customHeight="true" outlineLevel="0" collapsed="false">
      <c r="A162" s="4" t="s">
        <v>222</v>
      </c>
      <c r="B162" s="4" t="s">
        <v>248</v>
      </c>
      <c r="C162" s="4" t="s">
        <v>255</v>
      </c>
      <c r="D162" s="43" t="n">
        <v>52600</v>
      </c>
      <c r="E162" s="4" t="s">
        <v>256</v>
      </c>
      <c r="F162" s="45"/>
      <c r="G162" s="45"/>
    </row>
    <row r="163" customFormat="false" ht="15" hidden="false" customHeight="true" outlineLevel="0" collapsed="false">
      <c r="A163" s="4" t="s">
        <v>222</v>
      </c>
      <c r="B163" s="4" t="s">
        <v>248</v>
      </c>
      <c r="C163" s="4" t="s">
        <v>266</v>
      </c>
      <c r="D163" s="43" t="n">
        <v>40436</v>
      </c>
      <c r="E163" s="4" t="s">
        <v>305</v>
      </c>
      <c r="F163" s="45"/>
      <c r="G163" s="45"/>
    </row>
    <row r="164" customFormat="false" ht="15" hidden="false" customHeight="true" outlineLevel="0" collapsed="false">
      <c r="A164" s="4" t="s">
        <v>222</v>
      </c>
      <c r="B164" s="4" t="s">
        <v>248</v>
      </c>
      <c r="C164" s="4" t="s">
        <v>253</v>
      </c>
      <c r="D164" s="43" t="n">
        <v>31185</v>
      </c>
      <c r="E164" s="4" t="s">
        <v>306</v>
      </c>
      <c r="F164" s="45"/>
      <c r="G164" s="45"/>
    </row>
    <row r="165" customFormat="false" ht="15" hidden="false" customHeight="true" outlineLevel="0" collapsed="false">
      <c r="A165" s="4" t="s">
        <v>222</v>
      </c>
      <c r="B165" s="4" t="s">
        <v>248</v>
      </c>
      <c r="C165" s="4" t="s">
        <v>255</v>
      </c>
      <c r="D165" s="43" t="n">
        <v>24600</v>
      </c>
      <c r="E165" s="4" t="s">
        <v>262</v>
      </c>
      <c r="F165" s="45"/>
      <c r="G165" s="45"/>
    </row>
    <row r="166" customFormat="false" ht="15" hidden="false" customHeight="true" outlineLevel="0" collapsed="false">
      <c r="A166" s="4" t="s">
        <v>238</v>
      </c>
      <c r="B166" s="4" t="s">
        <v>248</v>
      </c>
      <c r="C166" s="4" t="s">
        <v>251</v>
      </c>
      <c r="D166" s="43" t="n">
        <v>1000000</v>
      </c>
      <c r="E166" s="4" t="s">
        <v>252</v>
      </c>
      <c r="F166" s="45"/>
      <c r="G166" s="45"/>
    </row>
    <row r="167" customFormat="false" ht="15" hidden="false" customHeight="true" outlineLevel="0" collapsed="false">
      <c r="A167" s="4" t="s">
        <v>238</v>
      </c>
      <c r="B167" s="4" t="s">
        <v>248</v>
      </c>
      <c r="C167" s="4" t="s">
        <v>253</v>
      </c>
      <c r="D167" s="43" t="n">
        <v>285000</v>
      </c>
      <c r="E167" s="4" t="s">
        <v>307</v>
      </c>
      <c r="F167" s="45"/>
      <c r="G167" s="45"/>
    </row>
    <row r="168" customFormat="false" ht="15" hidden="false" customHeight="true" outlineLevel="0" collapsed="false">
      <c r="A168" s="4" t="s">
        <v>238</v>
      </c>
      <c r="B168" s="4" t="s">
        <v>248</v>
      </c>
      <c r="C168" s="4" t="s">
        <v>253</v>
      </c>
      <c r="D168" s="43" t="n">
        <v>267000</v>
      </c>
      <c r="E168" s="4" t="s">
        <v>307</v>
      </c>
      <c r="F168" s="45"/>
      <c r="G168" s="45"/>
    </row>
    <row r="169" customFormat="false" ht="15" hidden="false" customHeight="true" outlineLevel="0" collapsed="false">
      <c r="A169" s="4" t="s">
        <v>238</v>
      </c>
      <c r="B169" s="4" t="s">
        <v>248</v>
      </c>
      <c r="C169" s="4" t="s">
        <v>253</v>
      </c>
      <c r="D169" s="43" t="n">
        <v>166500</v>
      </c>
      <c r="E169" s="4" t="s">
        <v>308</v>
      </c>
      <c r="F169" s="45"/>
      <c r="G169" s="45"/>
    </row>
    <row r="170" customFormat="false" ht="15" hidden="false" customHeight="true" outlineLevel="0" collapsed="false">
      <c r="A170" s="4" t="s">
        <v>238</v>
      </c>
      <c r="B170" s="4" t="s">
        <v>248</v>
      </c>
      <c r="C170" s="4" t="s">
        <v>255</v>
      </c>
      <c r="D170" s="43" t="n">
        <v>69000</v>
      </c>
      <c r="E170" s="4" t="s">
        <v>256</v>
      </c>
      <c r="F170" s="45"/>
      <c r="G170" s="45"/>
    </row>
    <row r="171" customFormat="false" ht="15" hidden="false" customHeight="true" outlineLevel="0" collapsed="false">
      <c r="A171" s="4" t="s">
        <v>238</v>
      </c>
      <c r="B171" s="4" t="s">
        <v>248</v>
      </c>
      <c r="C171" s="4" t="s">
        <v>255</v>
      </c>
      <c r="D171" s="43" t="n">
        <v>24000</v>
      </c>
      <c r="E171" s="4" t="s">
        <v>298</v>
      </c>
      <c r="F171" s="45"/>
      <c r="G171" s="45"/>
    </row>
    <row r="172" customFormat="false" ht="15" hidden="false" customHeight="true" outlineLevel="0" collapsed="false">
      <c r="A172" s="4" t="s">
        <v>238</v>
      </c>
      <c r="B172" s="4" t="s">
        <v>248</v>
      </c>
      <c r="C172" s="4" t="s">
        <v>255</v>
      </c>
      <c r="D172" s="43" t="n">
        <v>21000</v>
      </c>
      <c r="E172" s="4" t="s">
        <v>262</v>
      </c>
      <c r="F172" s="45"/>
      <c r="G172" s="45"/>
    </row>
    <row r="173" customFormat="false" ht="15" hidden="false" customHeight="true" outlineLevel="0" collapsed="false">
      <c r="A173" s="4" t="s">
        <v>238</v>
      </c>
      <c r="B173" s="4" t="s">
        <v>248</v>
      </c>
      <c r="C173" s="4" t="s">
        <v>268</v>
      </c>
      <c r="D173" s="43" t="n">
        <v>20000</v>
      </c>
      <c r="E173" s="4" t="s">
        <v>269</v>
      </c>
      <c r="F173" s="45"/>
      <c r="G173" s="45"/>
    </row>
    <row r="174" customFormat="false" ht="15" hidden="false" customHeight="true" outlineLevel="0" collapsed="false">
      <c r="A174" s="4" t="s">
        <v>238</v>
      </c>
      <c r="B174" s="4" t="s">
        <v>248</v>
      </c>
      <c r="C174" s="4" t="s">
        <v>253</v>
      </c>
      <c r="D174" s="43" t="n">
        <v>4300</v>
      </c>
      <c r="E174" s="4" t="s">
        <v>303</v>
      </c>
      <c r="F174" s="45"/>
      <c r="G174" s="45"/>
    </row>
    <row r="175" customFormat="false" ht="15" hidden="false" customHeight="true" outlineLevel="0" collapsed="false">
      <c r="A175" s="4" t="s">
        <v>239</v>
      </c>
      <c r="B175" s="4" t="s">
        <v>248</v>
      </c>
      <c r="C175" s="4" t="s">
        <v>249</v>
      </c>
      <c r="D175" s="43" t="n">
        <v>800000</v>
      </c>
      <c r="E175" s="4" t="s">
        <v>250</v>
      </c>
      <c r="F175" s="45"/>
      <c r="G175" s="45"/>
    </row>
    <row r="176" customFormat="false" ht="15" hidden="false" customHeight="true" outlineLevel="0" collapsed="false">
      <c r="A176" s="4" t="s">
        <v>239</v>
      </c>
      <c r="B176" s="4" t="s">
        <v>248</v>
      </c>
      <c r="C176" s="4" t="s">
        <v>268</v>
      </c>
      <c r="D176" s="43" t="n">
        <v>100000</v>
      </c>
      <c r="E176" s="4" t="s">
        <v>269</v>
      </c>
      <c r="F176" s="45"/>
      <c r="G176" s="45"/>
    </row>
    <row r="177" customFormat="false" ht="15" hidden="false" customHeight="true" outlineLevel="0" collapsed="false">
      <c r="A177" s="4" t="s">
        <v>239</v>
      </c>
      <c r="B177" s="4" t="s">
        <v>248</v>
      </c>
      <c r="C177" s="4" t="s">
        <v>255</v>
      </c>
      <c r="D177" s="43" t="n">
        <v>90000</v>
      </c>
      <c r="E177" s="4" t="s">
        <v>262</v>
      </c>
      <c r="F177" s="45"/>
      <c r="G177" s="45"/>
    </row>
    <row r="178" customFormat="false" ht="15" hidden="false" customHeight="true" outlineLevel="0" collapsed="false">
      <c r="A178" s="4" t="s">
        <v>239</v>
      </c>
      <c r="B178" s="4" t="s">
        <v>248</v>
      </c>
      <c r="C178" s="4" t="s">
        <v>255</v>
      </c>
      <c r="D178" s="43" t="n">
        <v>72000</v>
      </c>
      <c r="E178" s="4" t="s">
        <v>256</v>
      </c>
      <c r="F178" s="45"/>
      <c r="G178" s="45"/>
    </row>
    <row r="179" customFormat="false" ht="15" hidden="false" customHeight="true" outlineLevel="0" collapsed="false">
      <c r="A179" s="4" t="s">
        <v>239</v>
      </c>
      <c r="B179" s="4" t="s">
        <v>248</v>
      </c>
      <c r="C179" s="4" t="s">
        <v>255</v>
      </c>
      <c r="D179" s="43" t="n">
        <v>18000</v>
      </c>
      <c r="E179" s="4" t="s">
        <v>262</v>
      </c>
      <c r="F179" s="45"/>
      <c r="G179" s="4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22"/>
  </cols>
  <sheetData>
    <row r="1" customFormat="false" ht="17.25" hidden="false" customHeight="true" outlineLevel="0" collapsed="false">
      <c r="A1" s="2" t="s">
        <v>309</v>
      </c>
      <c r="B1" s="2"/>
      <c r="C1" s="2"/>
      <c r="D1" s="2"/>
      <c r="E1" s="2"/>
    </row>
    <row r="3" customFormat="false" ht="15" hidden="false" customHeight="true" outlineLevel="0" collapsed="false">
      <c r="A3" s="28" t="s">
        <v>134</v>
      </c>
      <c r="B3" s="28" t="s">
        <v>310</v>
      </c>
      <c r="C3" s="28" t="s">
        <v>311</v>
      </c>
      <c r="D3" s="28" t="s">
        <v>137</v>
      </c>
      <c r="E3" s="28" t="s">
        <v>312</v>
      </c>
    </row>
    <row r="4" customFormat="false" ht="15" hidden="false" customHeight="true" outlineLevel="0" collapsed="false">
      <c r="A4" s="4" t="s">
        <v>146</v>
      </c>
      <c r="B4" s="4" t="s">
        <v>313</v>
      </c>
      <c r="C4" s="46" t="n">
        <v>1150.1</v>
      </c>
      <c r="D4" s="43" t="n">
        <v>1409841</v>
      </c>
      <c r="E4" s="46" t="n">
        <v>4373.267</v>
      </c>
    </row>
    <row r="5" customFormat="false" ht="15" hidden="false" customHeight="true" outlineLevel="0" collapsed="false">
      <c r="A5" s="4" t="s">
        <v>147</v>
      </c>
      <c r="B5" s="4" t="s">
        <v>313</v>
      </c>
      <c r="C5" s="46" t="n">
        <v>3031.3</v>
      </c>
      <c r="D5" s="43" t="n">
        <v>3736980</v>
      </c>
      <c r="E5" s="46" t="n">
        <v>5299.228</v>
      </c>
    </row>
    <row r="6" customFormat="false" ht="15" hidden="false" customHeight="true" outlineLevel="0" collapsed="false">
      <c r="A6" s="4" t="s">
        <v>148</v>
      </c>
      <c r="B6" s="4" t="s">
        <v>313</v>
      </c>
      <c r="C6" s="46" t="n">
        <v>2987</v>
      </c>
      <c r="D6" s="43" t="n">
        <v>3663449</v>
      </c>
      <c r="E6" s="46" t="n">
        <v>6568.06</v>
      </c>
    </row>
    <row r="7" customFormat="false" ht="15" hidden="false" customHeight="true" outlineLevel="0" collapsed="false">
      <c r="A7" s="4" t="s">
        <v>314</v>
      </c>
      <c r="B7" s="4" t="s">
        <v>315</v>
      </c>
      <c r="C7" s="46" t="n">
        <v>714.8</v>
      </c>
      <c r="D7" s="43" t="n">
        <v>907953</v>
      </c>
      <c r="E7" s="4" t="s">
        <v>316</v>
      </c>
    </row>
    <row r="8" customFormat="false" ht="15" hidden="false" customHeight="true" outlineLevel="0" collapsed="false">
      <c r="A8" s="4" t="s">
        <v>149</v>
      </c>
      <c r="B8" s="4" t="s">
        <v>313</v>
      </c>
      <c r="C8" s="46" t="n">
        <v>1558.6</v>
      </c>
      <c r="D8" s="43" t="n">
        <v>1973411</v>
      </c>
      <c r="E8" s="46" t="n">
        <v>112.527</v>
      </c>
    </row>
    <row r="9" customFormat="false" ht="15" hidden="false" customHeight="true" outlineLevel="0" collapsed="false">
      <c r="A9" s="4" t="s">
        <v>150</v>
      </c>
      <c r="B9" s="4" t="s">
        <v>313</v>
      </c>
      <c r="C9" s="46" t="n">
        <v>523.1</v>
      </c>
      <c r="D9" s="43" t="n">
        <v>623347</v>
      </c>
      <c r="E9" s="46" t="n">
        <v>5338.884</v>
      </c>
    </row>
    <row r="10" customFormat="false" ht="15" hidden="false" customHeight="true" outlineLevel="0" collapsed="false">
      <c r="A10" s="4" t="s">
        <v>317</v>
      </c>
      <c r="B10" s="4" t="s">
        <v>315</v>
      </c>
      <c r="C10" s="46" t="n">
        <v>77.4</v>
      </c>
      <c r="D10" s="43" t="n">
        <v>98134</v>
      </c>
      <c r="E10" s="4" t="s">
        <v>316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</cols>
  <sheetData>
    <row r="1" customFormat="false" ht="17.25" hidden="false" customHeight="true" outlineLevel="0" collapsed="false">
      <c r="A1" s="2" t="s">
        <v>318</v>
      </c>
      <c r="B1" s="2"/>
    </row>
    <row r="3" customFormat="false" ht="15" hidden="false" customHeight="true" outlineLevel="0" collapsed="false">
      <c r="A3" s="28" t="s">
        <v>134</v>
      </c>
      <c r="B3" s="28" t="s">
        <v>243</v>
      </c>
    </row>
    <row r="4" customFormat="false" ht="15" hidden="false" customHeight="true" outlineLevel="0" collapsed="false">
      <c r="A4" s="4" t="s">
        <v>146</v>
      </c>
      <c r="B4" s="4" t="s">
        <v>169</v>
      </c>
    </row>
    <row r="5" customFormat="false" ht="15" hidden="false" customHeight="true" outlineLevel="0" collapsed="false">
      <c r="A5" s="4" t="s">
        <v>146</v>
      </c>
      <c r="B5" s="4" t="s">
        <v>188</v>
      </c>
    </row>
    <row r="6" customFormat="false" ht="15" hidden="false" customHeight="true" outlineLevel="0" collapsed="false">
      <c r="A6" s="4" t="s">
        <v>146</v>
      </c>
      <c r="B6" s="4" t="s">
        <v>190</v>
      </c>
    </row>
    <row r="7" customFormat="false" ht="15" hidden="false" customHeight="true" outlineLevel="0" collapsed="false">
      <c r="A7" s="4" t="s">
        <v>146</v>
      </c>
      <c r="B7" s="4" t="s">
        <v>192</v>
      </c>
    </row>
    <row r="8" customFormat="false" ht="15" hidden="false" customHeight="true" outlineLevel="0" collapsed="false">
      <c r="A8" s="4" t="s">
        <v>146</v>
      </c>
      <c r="B8" s="4" t="s">
        <v>126</v>
      </c>
    </row>
    <row r="9" customFormat="false" ht="15" hidden="false" customHeight="true" outlineLevel="0" collapsed="false">
      <c r="A9" s="4" t="s">
        <v>146</v>
      </c>
      <c r="B9" s="4" t="s">
        <v>199</v>
      </c>
    </row>
    <row r="10" customFormat="false" ht="15" hidden="false" customHeight="true" outlineLevel="0" collapsed="false">
      <c r="A10" s="4" t="s">
        <v>146</v>
      </c>
      <c r="B10" s="4" t="s">
        <v>201</v>
      </c>
    </row>
    <row r="11" customFormat="false" ht="15" hidden="false" customHeight="true" outlineLevel="0" collapsed="false">
      <c r="A11" s="4" t="s">
        <v>146</v>
      </c>
      <c r="B11" s="4" t="s">
        <v>202</v>
      </c>
    </row>
    <row r="12" customFormat="false" ht="15" hidden="false" customHeight="true" outlineLevel="0" collapsed="false">
      <c r="A12" s="4" t="s">
        <v>146</v>
      </c>
      <c r="B12" s="4" t="s">
        <v>296</v>
      </c>
    </row>
    <row r="13" customFormat="false" ht="15" hidden="false" customHeight="true" outlineLevel="0" collapsed="false">
      <c r="A13" s="4" t="s">
        <v>146</v>
      </c>
      <c r="B13" s="4" t="s">
        <v>210</v>
      </c>
    </row>
    <row r="14" customFormat="false" ht="15" hidden="false" customHeight="true" outlineLevel="0" collapsed="false">
      <c r="A14" s="4" t="s">
        <v>146</v>
      </c>
      <c r="B14" s="4" t="s">
        <v>213</v>
      </c>
    </row>
    <row r="15" customFormat="false" ht="15" hidden="false" customHeight="true" outlineLevel="0" collapsed="false">
      <c r="A15" s="4" t="s">
        <v>146</v>
      </c>
      <c r="B15" s="4" t="s">
        <v>319</v>
      </c>
    </row>
    <row r="16" customFormat="false" ht="15" hidden="false" customHeight="true" outlineLevel="0" collapsed="false">
      <c r="A16" s="4" t="s">
        <v>146</v>
      </c>
      <c r="B16" s="4" t="s">
        <v>221</v>
      </c>
    </row>
    <row r="17" customFormat="false" ht="15" hidden="false" customHeight="true" outlineLevel="0" collapsed="false">
      <c r="A17" s="4" t="s">
        <v>146</v>
      </c>
      <c r="B17" s="4" t="s">
        <v>226</v>
      </c>
    </row>
    <row r="18" customFormat="false" ht="15" hidden="false" customHeight="true" outlineLevel="0" collapsed="false">
      <c r="A18" s="4" t="s">
        <v>146</v>
      </c>
      <c r="B18" s="4" t="s">
        <v>232</v>
      </c>
    </row>
    <row r="19" customFormat="false" ht="15" hidden="false" customHeight="true" outlineLevel="0" collapsed="false">
      <c r="A19" s="4" t="s">
        <v>146</v>
      </c>
      <c r="B19" s="4" t="s">
        <v>222</v>
      </c>
    </row>
    <row r="20" customFormat="false" ht="15" hidden="false" customHeight="true" outlineLevel="0" collapsed="false">
      <c r="A20" s="4" t="s">
        <v>146</v>
      </c>
      <c r="B20" s="4" t="s">
        <v>238</v>
      </c>
    </row>
    <row r="21" customFormat="false" ht="15" hidden="false" customHeight="true" outlineLevel="0" collapsed="false">
      <c r="A21" s="4" t="s">
        <v>146</v>
      </c>
      <c r="B21" s="4" t="s">
        <v>239</v>
      </c>
    </row>
    <row r="22" customFormat="false" ht="15" hidden="false" customHeight="true" outlineLevel="0" collapsed="false">
      <c r="A22" s="4" t="s">
        <v>147</v>
      </c>
      <c r="B22" s="4" t="s">
        <v>169</v>
      </c>
    </row>
    <row r="23" customFormat="false" ht="15" hidden="false" customHeight="true" outlineLevel="0" collapsed="false">
      <c r="A23" s="4" t="s">
        <v>147</v>
      </c>
      <c r="B23" s="4" t="s">
        <v>177</v>
      </c>
    </row>
    <row r="24" customFormat="false" ht="15" hidden="false" customHeight="true" outlineLevel="0" collapsed="false">
      <c r="A24" s="4" t="s">
        <v>147</v>
      </c>
      <c r="B24" s="4" t="s">
        <v>181</v>
      </c>
    </row>
    <row r="25" customFormat="false" ht="15" hidden="false" customHeight="true" outlineLevel="0" collapsed="false">
      <c r="A25" s="4" t="s">
        <v>147</v>
      </c>
      <c r="B25" s="4" t="s">
        <v>188</v>
      </c>
    </row>
    <row r="26" customFormat="false" ht="15" hidden="false" customHeight="true" outlineLevel="0" collapsed="false">
      <c r="A26" s="4" t="s">
        <v>147</v>
      </c>
      <c r="B26" s="4" t="s">
        <v>190</v>
      </c>
    </row>
    <row r="27" customFormat="false" ht="15" hidden="false" customHeight="true" outlineLevel="0" collapsed="false">
      <c r="A27" s="4" t="s">
        <v>147</v>
      </c>
      <c r="B27" s="4" t="s">
        <v>192</v>
      </c>
    </row>
    <row r="28" customFormat="false" ht="15" hidden="false" customHeight="true" outlineLevel="0" collapsed="false">
      <c r="A28" s="4" t="s">
        <v>147</v>
      </c>
      <c r="B28" s="4" t="s">
        <v>126</v>
      </c>
    </row>
    <row r="29" customFormat="false" ht="15" hidden="false" customHeight="true" outlineLevel="0" collapsed="false">
      <c r="A29" s="4" t="s">
        <v>147</v>
      </c>
      <c r="B29" s="4" t="s">
        <v>198</v>
      </c>
    </row>
    <row r="30" customFormat="false" ht="15" hidden="false" customHeight="true" outlineLevel="0" collapsed="false">
      <c r="A30" s="4" t="s">
        <v>147</v>
      </c>
      <c r="B30" s="4" t="s">
        <v>199</v>
      </c>
    </row>
    <row r="31" customFormat="false" ht="15" hidden="false" customHeight="true" outlineLevel="0" collapsed="false">
      <c r="A31" s="4" t="s">
        <v>147</v>
      </c>
      <c r="B31" s="4" t="s">
        <v>201</v>
      </c>
    </row>
    <row r="32" customFormat="false" ht="15" hidden="false" customHeight="true" outlineLevel="0" collapsed="false">
      <c r="A32" s="4" t="s">
        <v>147</v>
      </c>
      <c r="B32" s="4" t="s">
        <v>202</v>
      </c>
    </row>
    <row r="33" customFormat="false" ht="15" hidden="false" customHeight="true" outlineLevel="0" collapsed="false">
      <c r="A33" s="4" t="s">
        <v>147</v>
      </c>
      <c r="B33" s="4" t="s">
        <v>296</v>
      </c>
    </row>
    <row r="34" customFormat="false" ht="15" hidden="false" customHeight="true" outlineLevel="0" collapsed="false">
      <c r="A34" s="4" t="s">
        <v>147</v>
      </c>
      <c r="B34" s="4" t="s">
        <v>208</v>
      </c>
    </row>
    <row r="35" customFormat="false" ht="15" hidden="false" customHeight="true" outlineLevel="0" collapsed="false">
      <c r="A35" s="4" t="s">
        <v>147</v>
      </c>
      <c r="B35" s="4" t="s">
        <v>210</v>
      </c>
    </row>
    <row r="36" customFormat="false" ht="15" hidden="false" customHeight="true" outlineLevel="0" collapsed="false">
      <c r="A36" s="4" t="s">
        <v>147</v>
      </c>
      <c r="B36" s="4" t="s">
        <v>213</v>
      </c>
    </row>
    <row r="37" customFormat="false" ht="15" hidden="false" customHeight="true" outlineLevel="0" collapsed="false">
      <c r="A37" s="4" t="s">
        <v>147</v>
      </c>
      <c r="B37" s="4" t="s">
        <v>221</v>
      </c>
    </row>
    <row r="38" customFormat="false" ht="15" hidden="false" customHeight="true" outlineLevel="0" collapsed="false">
      <c r="A38" s="4" t="s">
        <v>147</v>
      </c>
      <c r="B38" s="4" t="s">
        <v>226</v>
      </c>
    </row>
    <row r="39" customFormat="false" ht="15" hidden="false" customHeight="true" outlineLevel="0" collapsed="false">
      <c r="A39" s="4" t="s">
        <v>147</v>
      </c>
      <c r="B39" s="4" t="s">
        <v>232</v>
      </c>
    </row>
    <row r="40" customFormat="false" ht="15" hidden="false" customHeight="true" outlineLevel="0" collapsed="false">
      <c r="A40" s="4" t="s">
        <v>147</v>
      </c>
      <c r="B40" s="4" t="s">
        <v>222</v>
      </c>
    </row>
    <row r="41" customFormat="false" ht="15" hidden="false" customHeight="true" outlineLevel="0" collapsed="false">
      <c r="A41" s="4" t="s">
        <v>147</v>
      </c>
      <c r="B41" s="4" t="s">
        <v>238</v>
      </c>
    </row>
    <row r="42" customFormat="false" ht="15" hidden="false" customHeight="true" outlineLevel="0" collapsed="false">
      <c r="A42" s="4" t="s">
        <v>148</v>
      </c>
      <c r="B42" s="4" t="s">
        <v>177</v>
      </c>
    </row>
    <row r="43" customFormat="false" ht="15" hidden="false" customHeight="true" outlineLevel="0" collapsed="false">
      <c r="A43" s="4" t="s">
        <v>148</v>
      </c>
      <c r="B43" s="4" t="s">
        <v>181</v>
      </c>
    </row>
    <row r="44" customFormat="false" ht="15" hidden="false" customHeight="true" outlineLevel="0" collapsed="false">
      <c r="A44" s="4" t="s">
        <v>148</v>
      </c>
      <c r="B44" s="4" t="s">
        <v>188</v>
      </c>
    </row>
    <row r="45" customFormat="false" ht="15" hidden="false" customHeight="true" outlineLevel="0" collapsed="false">
      <c r="A45" s="4" t="s">
        <v>148</v>
      </c>
      <c r="B45" s="4" t="s">
        <v>190</v>
      </c>
    </row>
    <row r="46" customFormat="false" ht="15" hidden="false" customHeight="true" outlineLevel="0" collapsed="false">
      <c r="A46" s="4" t="s">
        <v>148</v>
      </c>
      <c r="B46" s="4" t="s">
        <v>192</v>
      </c>
    </row>
    <row r="47" customFormat="false" ht="15" hidden="false" customHeight="true" outlineLevel="0" collapsed="false">
      <c r="A47" s="4" t="s">
        <v>148</v>
      </c>
      <c r="B47" s="4" t="s">
        <v>126</v>
      </c>
    </row>
    <row r="48" customFormat="false" ht="15" hidden="false" customHeight="true" outlineLevel="0" collapsed="false">
      <c r="A48" s="4" t="s">
        <v>148</v>
      </c>
      <c r="B48" s="4" t="s">
        <v>198</v>
      </c>
    </row>
    <row r="49" customFormat="false" ht="15" hidden="false" customHeight="true" outlineLevel="0" collapsed="false">
      <c r="A49" s="4" t="s">
        <v>148</v>
      </c>
      <c r="B49" s="4" t="s">
        <v>201</v>
      </c>
    </row>
    <row r="50" customFormat="false" ht="15" hidden="false" customHeight="true" outlineLevel="0" collapsed="false">
      <c r="A50" s="4" t="s">
        <v>148</v>
      </c>
      <c r="B50" s="4" t="s">
        <v>320</v>
      </c>
    </row>
    <row r="51" customFormat="false" ht="15" hidden="false" customHeight="true" outlineLevel="0" collapsed="false">
      <c r="A51" s="4" t="s">
        <v>148</v>
      </c>
      <c r="B51" s="4" t="s">
        <v>202</v>
      </c>
    </row>
    <row r="52" customFormat="false" ht="15" hidden="false" customHeight="true" outlineLevel="0" collapsed="false">
      <c r="A52" s="4" t="s">
        <v>148</v>
      </c>
      <c r="B52" s="4" t="s">
        <v>296</v>
      </c>
    </row>
    <row r="53" customFormat="false" ht="15" hidden="false" customHeight="true" outlineLevel="0" collapsed="false">
      <c r="A53" s="4" t="s">
        <v>148</v>
      </c>
      <c r="B53" s="4" t="s">
        <v>208</v>
      </c>
    </row>
    <row r="54" customFormat="false" ht="15" hidden="false" customHeight="true" outlineLevel="0" collapsed="false">
      <c r="A54" s="4" t="s">
        <v>148</v>
      </c>
      <c r="B54" s="4" t="s">
        <v>210</v>
      </c>
    </row>
    <row r="55" customFormat="false" ht="15" hidden="false" customHeight="true" outlineLevel="0" collapsed="false">
      <c r="A55" s="4" t="s">
        <v>148</v>
      </c>
      <c r="B55" s="4" t="s">
        <v>213</v>
      </c>
    </row>
    <row r="56" customFormat="false" ht="15" hidden="false" customHeight="true" outlineLevel="0" collapsed="false">
      <c r="A56" s="4" t="s">
        <v>148</v>
      </c>
      <c r="B56" s="4" t="s">
        <v>221</v>
      </c>
    </row>
    <row r="57" customFormat="false" ht="15" hidden="false" customHeight="true" outlineLevel="0" collapsed="false">
      <c r="A57" s="4" t="s">
        <v>148</v>
      </c>
      <c r="B57" s="4" t="s">
        <v>226</v>
      </c>
    </row>
    <row r="58" customFormat="false" ht="15" hidden="false" customHeight="true" outlineLevel="0" collapsed="false">
      <c r="A58" s="4" t="s">
        <v>148</v>
      </c>
      <c r="B58" s="4" t="s">
        <v>232</v>
      </c>
    </row>
    <row r="59" customFormat="false" ht="15" hidden="false" customHeight="true" outlineLevel="0" collapsed="false">
      <c r="A59" s="4" t="s">
        <v>148</v>
      </c>
      <c r="B59" s="4" t="s">
        <v>222</v>
      </c>
    </row>
    <row r="60" customFormat="false" ht="15" hidden="false" customHeight="true" outlineLevel="0" collapsed="false">
      <c r="A60" s="4" t="s">
        <v>148</v>
      </c>
      <c r="B60" s="4" t="s">
        <v>238</v>
      </c>
    </row>
    <row r="61" customFormat="false" ht="15" hidden="false" customHeight="true" outlineLevel="0" collapsed="false">
      <c r="A61" s="4" t="s">
        <v>148</v>
      </c>
      <c r="B61" s="4" t="s">
        <v>239</v>
      </c>
    </row>
    <row r="62" customFormat="false" ht="15" hidden="false" customHeight="true" outlineLevel="0" collapsed="false">
      <c r="A62" s="4" t="s">
        <v>149</v>
      </c>
      <c r="B62" s="4" t="s">
        <v>321</v>
      </c>
    </row>
    <row r="63" customFormat="false" ht="15" hidden="false" customHeight="true" outlineLevel="0" collapsed="false">
      <c r="A63" s="4" t="s">
        <v>149</v>
      </c>
      <c r="B63" s="4" t="s">
        <v>169</v>
      </c>
    </row>
    <row r="64" customFormat="false" ht="15" hidden="false" customHeight="true" outlineLevel="0" collapsed="false">
      <c r="A64" s="4" t="s">
        <v>149</v>
      </c>
      <c r="B64" s="4" t="s">
        <v>188</v>
      </c>
    </row>
    <row r="65" customFormat="false" ht="15" hidden="false" customHeight="true" outlineLevel="0" collapsed="false">
      <c r="A65" s="4" t="s">
        <v>149</v>
      </c>
      <c r="B65" s="4" t="s">
        <v>190</v>
      </c>
    </row>
    <row r="66" customFormat="false" ht="15" hidden="false" customHeight="true" outlineLevel="0" collapsed="false">
      <c r="A66" s="4" t="s">
        <v>149</v>
      </c>
      <c r="B66" s="4" t="s">
        <v>192</v>
      </c>
    </row>
    <row r="67" customFormat="false" ht="15" hidden="false" customHeight="true" outlineLevel="0" collapsed="false">
      <c r="A67" s="4" t="s">
        <v>149</v>
      </c>
      <c r="B67" s="4" t="s">
        <v>126</v>
      </c>
    </row>
    <row r="68" customFormat="false" ht="15" hidden="false" customHeight="true" outlineLevel="0" collapsed="false">
      <c r="A68" s="4" t="s">
        <v>149</v>
      </c>
      <c r="B68" s="4" t="s">
        <v>213</v>
      </c>
    </row>
    <row r="69" customFormat="false" ht="15" hidden="false" customHeight="true" outlineLevel="0" collapsed="false">
      <c r="A69" s="4" t="s">
        <v>150</v>
      </c>
      <c r="B69" s="4" t="s">
        <v>169</v>
      </c>
    </row>
    <row r="70" customFormat="false" ht="15" hidden="false" customHeight="true" outlineLevel="0" collapsed="false">
      <c r="A70" s="4" t="s">
        <v>150</v>
      </c>
      <c r="B70" s="4" t="s">
        <v>177</v>
      </c>
    </row>
    <row r="71" customFormat="false" ht="15" hidden="false" customHeight="true" outlineLevel="0" collapsed="false">
      <c r="A71" s="4" t="s">
        <v>150</v>
      </c>
      <c r="B71" s="4" t="s">
        <v>181</v>
      </c>
    </row>
    <row r="72" customFormat="false" ht="15" hidden="false" customHeight="true" outlineLevel="0" collapsed="false">
      <c r="A72" s="4" t="s">
        <v>150</v>
      </c>
      <c r="B72" s="4" t="s">
        <v>188</v>
      </c>
    </row>
    <row r="73" customFormat="false" ht="15" hidden="false" customHeight="true" outlineLevel="0" collapsed="false">
      <c r="A73" s="4" t="s">
        <v>150</v>
      </c>
      <c r="B73" s="4" t="s">
        <v>190</v>
      </c>
    </row>
    <row r="74" customFormat="false" ht="15" hidden="false" customHeight="true" outlineLevel="0" collapsed="false">
      <c r="A74" s="4" t="s">
        <v>150</v>
      </c>
      <c r="B74" s="4" t="s">
        <v>192</v>
      </c>
    </row>
    <row r="75" customFormat="false" ht="15" hidden="false" customHeight="true" outlineLevel="0" collapsed="false">
      <c r="A75" s="4" t="s">
        <v>150</v>
      </c>
      <c r="B75" s="4" t="s">
        <v>126</v>
      </c>
    </row>
    <row r="76" customFormat="false" ht="15" hidden="false" customHeight="true" outlineLevel="0" collapsed="false">
      <c r="A76" s="4" t="s">
        <v>150</v>
      </c>
      <c r="B76" s="4" t="s">
        <v>198</v>
      </c>
    </row>
    <row r="77" customFormat="false" ht="15" hidden="false" customHeight="true" outlineLevel="0" collapsed="false">
      <c r="A77" s="4" t="s">
        <v>150</v>
      </c>
      <c r="B77" s="4" t="s">
        <v>199</v>
      </c>
    </row>
    <row r="78" customFormat="false" ht="15" hidden="false" customHeight="true" outlineLevel="0" collapsed="false">
      <c r="A78" s="4" t="s">
        <v>150</v>
      </c>
      <c r="B78" s="4" t="s">
        <v>201</v>
      </c>
    </row>
    <row r="79" customFormat="false" ht="15" hidden="false" customHeight="true" outlineLevel="0" collapsed="false">
      <c r="A79" s="4" t="s">
        <v>150</v>
      </c>
      <c r="B79" s="4" t="s">
        <v>202</v>
      </c>
    </row>
    <row r="80" customFormat="false" ht="15" hidden="false" customHeight="true" outlineLevel="0" collapsed="false">
      <c r="A80" s="4" t="s">
        <v>150</v>
      </c>
      <c r="B80" s="4" t="s">
        <v>208</v>
      </c>
    </row>
    <row r="81" customFormat="false" ht="15" hidden="false" customHeight="true" outlineLevel="0" collapsed="false">
      <c r="A81" s="4" t="s">
        <v>150</v>
      </c>
      <c r="B81" s="4" t="s">
        <v>210</v>
      </c>
    </row>
    <row r="82" customFormat="false" ht="15" hidden="false" customHeight="true" outlineLevel="0" collapsed="false">
      <c r="A82" s="4" t="s">
        <v>150</v>
      </c>
      <c r="B82" s="4" t="s">
        <v>213</v>
      </c>
    </row>
    <row r="83" customFormat="false" ht="15" hidden="false" customHeight="true" outlineLevel="0" collapsed="false">
      <c r="A83" s="4" t="s">
        <v>150</v>
      </c>
      <c r="B83" s="4" t="s">
        <v>221</v>
      </c>
    </row>
    <row r="84" customFormat="false" ht="15" hidden="false" customHeight="true" outlineLevel="0" collapsed="false">
      <c r="A84" s="4" t="s">
        <v>150</v>
      </c>
      <c r="B84" s="4" t="s">
        <v>226</v>
      </c>
    </row>
    <row r="85" customFormat="false" ht="15" hidden="false" customHeight="true" outlineLevel="0" collapsed="false">
      <c r="A85" s="4" t="s">
        <v>150</v>
      </c>
      <c r="B85" s="4" t="s">
        <v>232</v>
      </c>
    </row>
    <row r="86" customFormat="false" ht="15" hidden="false" customHeight="true" outlineLevel="0" collapsed="false">
      <c r="A86" s="4" t="s">
        <v>150</v>
      </c>
      <c r="B86" s="4" t="s">
        <v>222</v>
      </c>
    </row>
    <row r="87" customFormat="false" ht="15" hidden="false" customHeight="true" outlineLevel="0" collapsed="false">
      <c r="A87" s="4" t="s">
        <v>150</v>
      </c>
      <c r="B87" s="4" t="s">
        <v>238</v>
      </c>
    </row>
    <row r="88" customFormat="false" ht="15" hidden="false" customHeight="true" outlineLevel="0" collapsed="false">
      <c r="A88" s="4" t="s">
        <v>150</v>
      </c>
      <c r="B88" s="4" t="s">
        <v>239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2026-10-04T13:51:46Z</dcterms:created>
  <dc:creator>openpyxl</dc:creator>
  <dc:description/>
  <dc:language>en-US</dc:language>
  <cp:lastModifiedBy/>
  <dcterms:modified xsi:type="dcterms:W3CDTF">2026-10-04T15:38:01Z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