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lo\Desktop\NEGOCIO TRANSPORTE SANTIAGO\GLOBAL SOLUTIONS SpA\1 COMERCIAL\TARIFARIOS\"/>
    </mc:Choice>
  </mc:AlternateContent>
  <xr:revisionPtr revIDLastSave="0" documentId="13_ncr:1_{615AABD7-79B2-4077-973E-9DA1C021987F}" xr6:coauthVersionLast="47" xr6:coauthVersionMax="47" xr10:uidLastSave="{00000000-0000-0000-0000-000000000000}"/>
  <bookViews>
    <workbookView xWindow="-110" yWindow="-110" windowWidth="19420" windowHeight="10300" tabRatio="500" firstSheet="4" activeTab="4" xr2:uid="{00000000-000D-0000-FFFF-FFFF00000000}"/>
  </bookViews>
  <sheets>
    <sheet name="Parámetros" sheetId="1" r:id="rId1"/>
    <sheet name="Peajes Referencia" sheetId="2" r:id="rId2"/>
    <sheet name="RM" sheetId="3" r:id="rId3"/>
    <sheet name="V Valparaíso" sheetId="4" r:id="rId4"/>
    <sheet name="VI O'Higgins" sheetId="5" r:id="rId5"/>
    <sheet name="VII Maule" sheetId="6" r:id="rId6"/>
    <sheet name="XVI Ñuble – VIII BioBío" sheetId="7" r:id="rId7"/>
    <sheet name="CONSOLIDAD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3" l="1"/>
  <c r="U5" i="3" s="1"/>
  <c r="Q95" i="8"/>
  <c r="O95" i="8"/>
  <c r="L95" i="8"/>
  <c r="J95" i="8"/>
  <c r="N95" i="8" s="1"/>
  <c r="G95" i="8"/>
  <c r="E95" i="8"/>
  <c r="K95" i="8" s="1"/>
  <c r="Q94" i="8"/>
  <c r="O94" i="8"/>
  <c r="L94" i="8"/>
  <c r="J94" i="8"/>
  <c r="N94" i="8" s="1"/>
  <c r="G94" i="8"/>
  <c r="E94" i="8"/>
  <c r="Q93" i="8"/>
  <c r="O93" i="8"/>
  <c r="L93" i="8"/>
  <c r="J93" i="8"/>
  <c r="N93" i="8" s="1"/>
  <c r="G93" i="8"/>
  <c r="E93" i="8"/>
  <c r="K93" i="8" s="1"/>
  <c r="R93" i="8" s="1"/>
  <c r="U93" i="8" s="1"/>
  <c r="W93" i="8" s="1"/>
  <c r="Q92" i="8"/>
  <c r="O92" i="8"/>
  <c r="L92" i="8"/>
  <c r="J92" i="8"/>
  <c r="N92" i="8" s="1"/>
  <c r="G92" i="8"/>
  <c r="E92" i="8"/>
  <c r="T92" i="8" s="1"/>
  <c r="Q91" i="8"/>
  <c r="O91" i="8"/>
  <c r="L91" i="8"/>
  <c r="J91" i="8"/>
  <c r="N91" i="8" s="1"/>
  <c r="G91" i="8"/>
  <c r="E91" i="8"/>
  <c r="K91" i="8" s="1"/>
  <c r="Q90" i="8"/>
  <c r="O90" i="8"/>
  <c r="L90" i="8"/>
  <c r="J90" i="8"/>
  <c r="N90" i="8" s="1"/>
  <c r="G90" i="8"/>
  <c r="E90" i="8"/>
  <c r="Q89" i="8"/>
  <c r="O89" i="8"/>
  <c r="N89" i="8"/>
  <c r="L89" i="8"/>
  <c r="K89" i="8"/>
  <c r="J89" i="8"/>
  <c r="G89" i="8"/>
  <c r="E89" i="8"/>
  <c r="T89" i="8" s="1"/>
  <c r="T88" i="8"/>
  <c r="Q88" i="8"/>
  <c r="O88" i="8"/>
  <c r="L88" i="8"/>
  <c r="K88" i="8"/>
  <c r="V88" i="8" s="1"/>
  <c r="J88" i="8"/>
  <c r="N88" i="8" s="1"/>
  <c r="G88" i="8"/>
  <c r="E88" i="8"/>
  <c r="T87" i="8"/>
  <c r="Q87" i="8"/>
  <c r="O87" i="8"/>
  <c r="L87" i="8"/>
  <c r="J87" i="8"/>
  <c r="N87" i="8" s="1"/>
  <c r="G87" i="8"/>
  <c r="E87" i="8"/>
  <c r="K87" i="8" s="1"/>
  <c r="Q86" i="8"/>
  <c r="O86" i="8"/>
  <c r="N86" i="8"/>
  <c r="L86" i="8"/>
  <c r="J86" i="8"/>
  <c r="G86" i="8"/>
  <c r="E86" i="8"/>
  <c r="Q85" i="8"/>
  <c r="O85" i="8"/>
  <c r="L85" i="8"/>
  <c r="J85" i="8"/>
  <c r="N85" i="8" s="1"/>
  <c r="G85" i="8"/>
  <c r="E85" i="8"/>
  <c r="K85" i="8" s="1"/>
  <c r="Q84" i="8"/>
  <c r="O84" i="8"/>
  <c r="L84" i="8"/>
  <c r="J84" i="8"/>
  <c r="N84" i="8" s="1"/>
  <c r="G84" i="8"/>
  <c r="E84" i="8"/>
  <c r="K84" i="8" s="1"/>
  <c r="T83" i="8"/>
  <c r="Q83" i="8"/>
  <c r="O83" i="8"/>
  <c r="L83" i="8"/>
  <c r="J83" i="8"/>
  <c r="N83" i="8" s="1"/>
  <c r="G83" i="8"/>
  <c r="E83" i="8"/>
  <c r="K83" i="8" s="1"/>
  <c r="Q82" i="8"/>
  <c r="O82" i="8"/>
  <c r="N82" i="8"/>
  <c r="L82" i="8"/>
  <c r="J82" i="8"/>
  <c r="G82" i="8"/>
  <c r="E82" i="8"/>
  <c r="Q81" i="8"/>
  <c r="O81" i="8"/>
  <c r="N81" i="8"/>
  <c r="L81" i="8"/>
  <c r="J81" i="8"/>
  <c r="G81" i="8"/>
  <c r="E81" i="8"/>
  <c r="K81" i="8" s="1"/>
  <c r="T80" i="8"/>
  <c r="Q80" i="8"/>
  <c r="O80" i="8"/>
  <c r="L80" i="8"/>
  <c r="K80" i="8"/>
  <c r="J80" i="8"/>
  <c r="N80" i="8" s="1"/>
  <c r="G80" i="8"/>
  <c r="E80" i="8"/>
  <c r="T79" i="8"/>
  <c r="Q79" i="8"/>
  <c r="O79" i="8"/>
  <c r="L79" i="8"/>
  <c r="J79" i="8"/>
  <c r="N79" i="8" s="1"/>
  <c r="G79" i="8"/>
  <c r="E79" i="8"/>
  <c r="K79" i="8" s="1"/>
  <c r="Q78" i="8"/>
  <c r="O78" i="8"/>
  <c r="N78" i="8"/>
  <c r="L78" i="8"/>
  <c r="J78" i="8"/>
  <c r="G78" i="8"/>
  <c r="E78" i="8"/>
  <c r="Q77" i="8"/>
  <c r="O77" i="8"/>
  <c r="N77" i="8"/>
  <c r="L77" i="8"/>
  <c r="J77" i="8"/>
  <c r="G77" i="8"/>
  <c r="E77" i="8"/>
  <c r="K77" i="8" s="1"/>
  <c r="R77" i="8" s="1"/>
  <c r="Q76" i="8"/>
  <c r="O76" i="8"/>
  <c r="L76" i="8"/>
  <c r="J76" i="8"/>
  <c r="N76" i="8" s="1"/>
  <c r="G76" i="8"/>
  <c r="E76" i="8"/>
  <c r="K76" i="8" s="1"/>
  <c r="Q75" i="8"/>
  <c r="O75" i="8"/>
  <c r="L75" i="8"/>
  <c r="J75" i="8"/>
  <c r="N75" i="8" s="1"/>
  <c r="G75" i="8"/>
  <c r="E75" i="8"/>
  <c r="K75" i="8" s="1"/>
  <c r="Q74" i="8"/>
  <c r="O74" i="8"/>
  <c r="L74" i="8"/>
  <c r="J74" i="8"/>
  <c r="N74" i="8" s="1"/>
  <c r="G74" i="8"/>
  <c r="E74" i="8"/>
  <c r="Q73" i="8"/>
  <c r="O73" i="8"/>
  <c r="N73" i="8"/>
  <c r="L73" i="8"/>
  <c r="K73" i="8"/>
  <c r="J73" i="8"/>
  <c r="G73" i="8"/>
  <c r="E73" i="8"/>
  <c r="T73" i="8" s="1"/>
  <c r="T72" i="8"/>
  <c r="Q72" i="8"/>
  <c r="O72" i="8"/>
  <c r="L72" i="8"/>
  <c r="K72" i="8"/>
  <c r="V72" i="8" s="1"/>
  <c r="J72" i="8"/>
  <c r="N72" i="8" s="1"/>
  <c r="G72" i="8"/>
  <c r="E72" i="8"/>
  <c r="T71" i="8"/>
  <c r="Q71" i="8"/>
  <c r="O71" i="8"/>
  <c r="L71" i="8"/>
  <c r="J71" i="8"/>
  <c r="N71" i="8" s="1"/>
  <c r="G71" i="8"/>
  <c r="E71" i="8"/>
  <c r="K71" i="8" s="1"/>
  <c r="Q70" i="8"/>
  <c r="O70" i="8"/>
  <c r="L70" i="8"/>
  <c r="J70" i="8"/>
  <c r="N70" i="8" s="1"/>
  <c r="G70" i="8"/>
  <c r="E70" i="8"/>
  <c r="Q69" i="8"/>
  <c r="O69" i="8"/>
  <c r="L69" i="8"/>
  <c r="K69" i="8"/>
  <c r="J69" i="8"/>
  <c r="N69" i="8" s="1"/>
  <c r="G69" i="8"/>
  <c r="E69" i="8"/>
  <c r="T69" i="8" s="1"/>
  <c r="Q68" i="8"/>
  <c r="O68" i="8"/>
  <c r="L68" i="8"/>
  <c r="K68" i="8"/>
  <c r="J68" i="8"/>
  <c r="N68" i="8" s="1"/>
  <c r="G68" i="8"/>
  <c r="E68" i="8"/>
  <c r="T68" i="8" s="1"/>
  <c r="Q67" i="8"/>
  <c r="O67" i="8"/>
  <c r="L67" i="8"/>
  <c r="J67" i="8"/>
  <c r="N67" i="8" s="1"/>
  <c r="G67" i="8"/>
  <c r="E67" i="8"/>
  <c r="K67" i="8" s="1"/>
  <c r="Q66" i="8"/>
  <c r="O66" i="8"/>
  <c r="L66" i="8"/>
  <c r="J66" i="8"/>
  <c r="N66" i="8" s="1"/>
  <c r="G66" i="8"/>
  <c r="E66" i="8"/>
  <c r="Q65" i="8"/>
  <c r="O65" i="8"/>
  <c r="L65" i="8"/>
  <c r="K65" i="8"/>
  <c r="J65" i="8"/>
  <c r="N65" i="8" s="1"/>
  <c r="G65" i="8"/>
  <c r="E65" i="8"/>
  <c r="T65" i="8" s="1"/>
  <c r="Q64" i="8"/>
  <c r="O64" i="8"/>
  <c r="L64" i="8"/>
  <c r="K64" i="8"/>
  <c r="V64" i="8" s="1"/>
  <c r="J64" i="8"/>
  <c r="N64" i="8" s="1"/>
  <c r="G64" i="8"/>
  <c r="E64" i="8"/>
  <c r="T64" i="8" s="1"/>
  <c r="Q63" i="8"/>
  <c r="O63" i="8"/>
  <c r="L63" i="8"/>
  <c r="J63" i="8"/>
  <c r="N63" i="8" s="1"/>
  <c r="G63" i="8"/>
  <c r="E63" i="8"/>
  <c r="K63" i="8" s="1"/>
  <c r="Q62" i="8"/>
  <c r="O62" i="8"/>
  <c r="N62" i="8"/>
  <c r="L62" i="8"/>
  <c r="J62" i="8"/>
  <c r="G62" i="8"/>
  <c r="E62" i="8"/>
  <c r="Q61" i="8"/>
  <c r="O61" i="8"/>
  <c r="L61" i="8"/>
  <c r="J61" i="8"/>
  <c r="N61" i="8" s="1"/>
  <c r="G61" i="8"/>
  <c r="E61" i="8"/>
  <c r="T61" i="8" s="1"/>
  <c r="Q60" i="8"/>
  <c r="O60" i="8"/>
  <c r="L60" i="8"/>
  <c r="J60" i="8"/>
  <c r="N60" i="8" s="1"/>
  <c r="G60" i="8"/>
  <c r="E60" i="8"/>
  <c r="T60" i="8" s="1"/>
  <c r="Q59" i="8"/>
  <c r="O59" i="8"/>
  <c r="L59" i="8"/>
  <c r="J59" i="8"/>
  <c r="N59" i="8" s="1"/>
  <c r="G59" i="8"/>
  <c r="E59" i="8"/>
  <c r="K59" i="8" s="1"/>
  <c r="V59" i="8" s="1"/>
  <c r="Q58" i="8"/>
  <c r="O58" i="8"/>
  <c r="L58" i="8"/>
  <c r="J58" i="8"/>
  <c r="N58" i="8" s="1"/>
  <c r="G58" i="8"/>
  <c r="E58" i="8"/>
  <c r="Q57" i="8"/>
  <c r="O57" i="8"/>
  <c r="L57" i="8"/>
  <c r="J57" i="8"/>
  <c r="N57" i="8" s="1"/>
  <c r="G57" i="8"/>
  <c r="E57" i="8"/>
  <c r="K57" i="8" s="1"/>
  <c r="R57" i="8" s="1"/>
  <c r="U57" i="8" s="1"/>
  <c r="W57" i="8" s="1"/>
  <c r="T56" i="8"/>
  <c r="Q56" i="8"/>
  <c r="O56" i="8"/>
  <c r="L56" i="8"/>
  <c r="J56" i="8"/>
  <c r="N56" i="8" s="1"/>
  <c r="G56" i="8"/>
  <c r="E56" i="8"/>
  <c r="K56" i="8" s="1"/>
  <c r="Q55" i="8"/>
  <c r="O55" i="8"/>
  <c r="L55" i="8"/>
  <c r="J55" i="8"/>
  <c r="N55" i="8" s="1"/>
  <c r="G55" i="8"/>
  <c r="E55" i="8"/>
  <c r="K55" i="8" s="1"/>
  <c r="V55" i="8" s="1"/>
  <c r="Q54" i="8"/>
  <c r="O54" i="8"/>
  <c r="N54" i="8"/>
  <c r="L54" i="8"/>
  <c r="J54" i="8"/>
  <c r="G54" i="8"/>
  <c r="E54" i="8"/>
  <c r="Q53" i="8"/>
  <c r="O53" i="8"/>
  <c r="N53" i="8"/>
  <c r="L53" i="8"/>
  <c r="J53" i="8"/>
  <c r="G53" i="8"/>
  <c r="E53" i="8"/>
  <c r="K53" i="8" s="1"/>
  <c r="V53" i="8" s="1"/>
  <c r="T52" i="8"/>
  <c r="Q52" i="8"/>
  <c r="O52" i="8"/>
  <c r="L52" i="8"/>
  <c r="J52" i="8"/>
  <c r="N52" i="8" s="1"/>
  <c r="G52" i="8"/>
  <c r="E52" i="8"/>
  <c r="K52" i="8" s="1"/>
  <c r="V52" i="8" s="1"/>
  <c r="Q51" i="8"/>
  <c r="O51" i="8"/>
  <c r="L51" i="8"/>
  <c r="J51" i="8"/>
  <c r="N51" i="8" s="1"/>
  <c r="G51" i="8"/>
  <c r="E51" i="8"/>
  <c r="K51" i="8" s="1"/>
  <c r="Q50" i="8"/>
  <c r="O50" i="8"/>
  <c r="L50" i="8"/>
  <c r="J50" i="8"/>
  <c r="N50" i="8" s="1"/>
  <c r="G50" i="8"/>
  <c r="E50" i="8"/>
  <c r="Q49" i="8"/>
  <c r="O49" i="8"/>
  <c r="L49" i="8"/>
  <c r="K49" i="8"/>
  <c r="J49" i="8"/>
  <c r="N49" i="8" s="1"/>
  <c r="G49" i="8"/>
  <c r="E49" i="8"/>
  <c r="T48" i="8"/>
  <c r="Q48" i="8"/>
  <c r="O48" i="8"/>
  <c r="L48" i="8"/>
  <c r="K48" i="8"/>
  <c r="J48" i="8"/>
  <c r="N48" i="8" s="1"/>
  <c r="G48" i="8"/>
  <c r="E48" i="8"/>
  <c r="Q47" i="8"/>
  <c r="O47" i="8"/>
  <c r="L47" i="8"/>
  <c r="J47" i="8"/>
  <c r="N47" i="8" s="1"/>
  <c r="G47" i="8"/>
  <c r="E47" i="8"/>
  <c r="Q46" i="8"/>
  <c r="O46" i="8"/>
  <c r="N46" i="8"/>
  <c r="L46" i="8"/>
  <c r="J46" i="8"/>
  <c r="G46" i="8"/>
  <c r="E46" i="8"/>
  <c r="Q45" i="8"/>
  <c r="O45" i="8"/>
  <c r="L45" i="8"/>
  <c r="J45" i="8"/>
  <c r="N45" i="8" s="1"/>
  <c r="G45" i="8"/>
  <c r="E45" i="8"/>
  <c r="K45" i="8" s="1"/>
  <c r="R45" i="8" s="1"/>
  <c r="U45" i="8" s="1"/>
  <c r="W45" i="8" s="1"/>
  <c r="T44" i="8"/>
  <c r="Q44" i="8"/>
  <c r="O44" i="8"/>
  <c r="L44" i="8"/>
  <c r="J44" i="8"/>
  <c r="N44" i="8" s="1"/>
  <c r="G44" i="8"/>
  <c r="E44" i="8"/>
  <c r="K44" i="8" s="1"/>
  <c r="Q43" i="8"/>
  <c r="O43" i="8"/>
  <c r="L43" i="8"/>
  <c r="J43" i="8"/>
  <c r="N43" i="8" s="1"/>
  <c r="G43" i="8"/>
  <c r="E43" i="8"/>
  <c r="K43" i="8" s="1"/>
  <c r="V43" i="8" s="1"/>
  <c r="Q42" i="8"/>
  <c r="O42" i="8"/>
  <c r="N42" i="8"/>
  <c r="L42" i="8"/>
  <c r="J42" i="8"/>
  <c r="G42" i="8"/>
  <c r="E42" i="8"/>
  <c r="Q41" i="8"/>
  <c r="O41" i="8"/>
  <c r="N41" i="8"/>
  <c r="L41" i="8"/>
  <c r="J41" i="8"/>
  <c r="G41" i="8"/>
  <c r="E41" i="8"/>
  <c r="K41" i="8" s="1"/>
  <c r="T40" i="8"/>
  <c r="Q40" i="8"/>
  <c r="O40" i="8"/>
  <c r="L40" i="8"/>
  <c r="J40" i="8"/>
  <c r="N40" i="8" s="1"/>
  <c r="G40" i="8"/>
  <c r="E40" i="8"/>
  <c r="K40" i="8" s="1"/>
  <c r="V40" i="8" s="1"/>
  <c r="Q39" i="8"/>
  <c r="O39" i="8"/>
  <c r="L39" i="8"/>
  <c r="J39" i="8"/>
  <c r="N39" i="8" s="1"/>
  <c r="G39" i="8"/>
  <c r="E39" i="8"/>
  <c r="K39" i="8" s="1"/>
  <c r="Q38" i="8"/>
  <c r="O38" i="8"/>
  <c r="N38" i="8"/>
  <c r="L38" i="8"/>
  <c r="J38" i="8"/>
  <c r="G38" i="8"/>
  <c r="E38" i="8"/>
  <c r="Q37" i="8"/>
  <c r="O37" i="8"/>
  <c r="N37" i="8"/>
  <c r="L37" i="8"/>
  <c r="J37" i="8"/>
  <c r="G37" i="8"/>
  <c r="E37" i="8"/>
  <c r="K37" i="8" s="1"/>
  <c r="R37" i="8" s="1"/>
  <c r="U37" i="8" s="1"/>
  <c r="W37" i="8" s="1"/>
  <c r="T36" i="8"/>
  <c r="Q36" i="8"/>
  <c r="O36" i="8"/>
  <c r="L36" i="8"/>
  <c r="J36" i="8"/>
  <c r="N36" i="8" s="1"/>
  <c r="G36" i="8"/>
  <c r="E36" i="8"/>
  <c r="K36" i="8" s="1"/>
  <c r="T35" i="8"/>
  <c r="Q35" i="8"/>
  <c r="O35" i="8"/>
  <c r="L35" i="8"/>
  <c r="J35" i="8"/>
  <c r="N35" i="8" s="1"/>
  <c r="G35" i="8"/>
  <c r="E35" i="8"/>
  <c r="K35" i="8" s="1"/>
  <c r="V35" i="8" s="1"/>
  <c r="Q34" i="8"/>
  <c r="O34" i="8"/>
  <c r="N34" i="8"/>
  <c r="L34" i="8"/>
  <c r="J34" i="8"/>
  <c r="G34" i="8"/>
  <c r="E34" i="8"/>
  <c r="Q33" i="8"/>
  <c r="O33" i="8"/>
  <c r="N33" i="8"/>
  <c r="L33" i="8"/>
  <c r="J33" i="8"/>
  <c r="G33" i="8"/>
  <c r="E33" i="8"/>
  <c r="K33" i="8" s="1"/>
  <c r="V33" i="8" s="1"/>
  <c r="Q32" i="8"/>
  <c r="O32" i="8"/>
  <c r="N32" i="8"/>
  <c r="L32" i="8"/>
  <c r="J32" i="8"/>
  <c r="G32" i="8"/>
  <c r="E32" i="8"/>
  <c r="K32" i="8" s="1"/>
  <c r="R32" i="8" s="1"/>
  <c r="Q31" i="8"/>
  <c r="O31" i="8"/>
  <c r="L31" i="8"/>
  <c r="J31" i="8"/>
  <c r="N31" i="8" s="1"/>
  <c r="G31" i="8"/>
  <c r="E31" i="8"/>
  <c r="K31" i="8" s="1"/>
  <c r="V31" i="8" s="1"/>
  <c r="T30" i="8"/>
  <c r="Q30" i="8"/>
  <c r="O30" i="8"/>
  <c r="L30" i="8"/>
  <c r="J30" i="8"/>
  <c r="N30" i="8" s="1"/>
  <c r="G30" i="8"/>
  <c r="E30" i="8"/>
  <c r="K30" i="8" s="1"/>
  <c r="Q29" i="8"/>
  <c r="O29" i="8"/>
  <c r="L29" i="8"/>
  <c r="K29" i="8"/>
  <c r="V29" i="8" s="1"/>
  <c r="J29" i="8"/>
  <c r="N29" i="8" s="1"/>
  <c r="G29" i="8"/>
  <c r="E29" i="8"/>
  <c r="Q28" i="8"/>
  <c r="O28" i="8"/>
  <c r="L28" i="8"/>
  <c r="J28" i="8"/>
  <c r="N28" i="8" s="1"/>
  <c r="G28" i="8"/>
  <c r="E28" i="8"/>
  <c r="Q27" i="8"/>
  <c r="O27" i="8"/>
  <c r="L27" i="8"/>
  <c r="K27" i="8"/>
  <c r="J27" i="8"/>
  <c r="N27" i="8" s="1"/>
  <c r="G27" i="8"/>
  <c r="E27" i="8"/>
  <c r="T27" i="8" s="1"/>
  <c r="Q26" i="8"/>
  <c r="O26" i="8"/>
  <c r="L26" i="8"/>
  <c r="J26" i="8"/>
  <c r="N26" i="8" s="1"/>
  <c r="G26" i="8"/>
  <c r="E26" i="8"/>
  <c r="K26" i="8" s="1"/>
  <c r="Q25" i="8"/>
  <c r="O25" i="8"/>
  <c r="L25" i="8"/>
  <c r="J25" i="8"/>
  <c r="N25" i="8" s="1"/>
  <c r="G25" i="8"/>
  <c r="E25" i="8"/>
  <c r="T25" i="8" s="1"/>
  <c r="Q24" i="8"/>
  <c r="O24" i="8"/>
  <c r="L24" i="8"/>
  <c r="J24" i="8"/>
  <c r="N24" i="8" s="1"/>
  <c r="G24" i="8"/>
  <c r="E24" i="8"/>
  <c r="T23" i="8"/>
  <c r="Q23" i="8"/>
  <c r="O23" i="8"/>
  <c r="L23" i="8"/>
  <c r="J23" i="8"/>
  <c r="N23" i="8" s="1"/>
  <c r="G23" i="8"/>
  <c r="E23" i="8"/>
  <c r="K23" i="8" s="1"/>
  <c r="R23" i="8" s="1"/>
  <c r="U23" i="8" s="1"/>
  <c r="W23" i="8" s="1"/>
  <c r="S22" i="8"/>
  <c r="Q22" i="8"/>
  <c r="O22" i="8"/>
  <c r="L22" i="8"/>
  <c r="J22" i="8"/>
  <c r="N22" i="8" s="1"/>
  <c r="G22" i="8"/>
  <c r="E22" i="8"/>
  <c r="K22" i="8" s="1"/>
  <c r="T21" i="8"/>
  <c r="Q21" i="8"/>
  <c r="O21" i="8"/>
  <c r="L21" i="8"/>
  <c r="J21" i="8"/>
  <c r="N21" i="8" s="1"/>
  <c r="G21" i="8"/>
  <c r="E21" i="8"/>
  <c r="K21" i="8" s="1"/>
  <c r="V21" i="8" s="1"/>
  <c r="Q20" i="8"/>
  <c r="O20" i="8"/>
  <c r="N20" i="8"/>
  <c r="L20" i="8"/>
  <c r="J20" i="8"/>
  <c r="G20" i="8"/>
  <c r="E20" i="8"/>
  <c r="T19" i="8"/>
  <c r="Q19" i="8"/>
  <c r="O19" i="8"/>
  <c r="L19" i="8"/>
  <c r="J19" i="8"/>
  <c r="N19" i="8" s="1"/>
  <c r="G19" i="8"/>
  <c r="E19" i="8"/>
  <c r="K19" i="8" s="1"/>
  <c r="Q18" i="8"/>
  <c r="O18" i="8"/>
  <c r="L18" i="8"/>
  <c r="J18" i="8"/>
  <c r="N18" i="8" s="1"/>
  <c r="G18" i="8"/>
  <c r="E18" i="8"/>
  <c r="K18" i="8" s="1"/>
  <c r="Q17" i="8"/>
  <c r="O17" i="8"/>
  <c r="L17" i="8"/>
  <c r="J17" i="8"/>
  <c r="N17" i="8" s="1"/>
  <c r="G17" i="8"/>
  <c r="E17" i="8"/>
  <c r="K17" i="8" s="1"/>
  <c r="V17" i="8" s="1"/>
  <c r="Q16" i="8"/>
  <c r="O16" i="8"/>
  <c r="N16" i="8"/>
  <c r="L16" i="8"/>
  <c r="J16" i="8"/>
  <c r="G16" i="8"/>
  <c r="E16" i="8"/>
  <c r="T15" i="8"/>
  <c r="Q15" i="8"/>
  <c r="O15" i="8"/>
  <c r="L15" i="8"/>
  <c r="J15" i="8"/>
  <c r="N15" i="8" s="1"/>
  <c r="G15" i="8"/>
  <c r="E15" i="8"/>
  <c r="K15" i="8" s="1"/>
  <c r="Q14" i="8"/>
  <c r="O14" i="8"/>
  <c r="N14" i="8"/>
  <c r="L14" i="8"/>
  <c r="J14" i="8"/>
  <c r="G14" i="8"/>
  <c r="E14" i="8"/>
  <c r="K14" i="8" s="1"/>
  <c r="Q13" i="8"/>
  <c r="O13" i="8"/>
  <c r="L13" i="8"/>
  <c r="K13" i="8"/>
  <c r="V13" i="8" s="1"/>
  <c r="J13" i="8"/>
  <c r="N13" i="8" s="1"/>
  <c r="G13" i="8"/>
  <c r="E13" i="8"/>
  <c r="T13" i="8" s="1"/>
  <c r="Q12" i="8"/>
  <c r="O12" i="8"/>
  <c r="L12" i="8"/>
  <c r="J12" i="8"/>
  <c r="N12" i="8" s="1"/>
  <c r="G12" i="8"/>
  <c r="E12" i="8"/>
  <c r="T11" i="8"/>
  <c r="Q11" i="8"/>
  <c r="O11" i="8"/>
  <c r="L11" i="8"/>
  <c r="K11" i="8"/>
  <c r="J11" i="8"/>
  <c r="N11" i="8" s="1"/>
  <c r="G11" i="8"/>
  <c r="E11" i="8"/>
  <c r="Q10" i="8"/>
  <c r="O10" i="8"/>
  <c r="N10" i="8"/>
  <c r="L10" i="8"/>
  <c r="J10" i="8"/>
  <c r="G10" i="8"/>
  <c r="E10" i="8"/>
  <c r="K10" i="8" s="1"/>
  <c r="T9" i="8"/>
  <c r="Q9" i="8"/>
  <c r="O9" i="8"/>
  <c r="L9" i="8"/>
  <c r="K9" i="8"/>
  <c r="J9" i="8"/>
  <c r="N9" i="8" s="1"/>
  <c r="G9" i="8"/>
  <c r="E9" i="8"/>
  <c r="Q8" i="8"/>
  <c r="O8" i="8"/>
  <c r="L8" i="8"/>
  <c r="J8" i="8"/>
  <c r="N8" i="8" s="1"/>
  <c r="G8" i="8"/>
  <c r="E8" i="8"/>
  <c r="Q7" i="8"/>
  <c r="O7" i="8"/>
  <c r="L7" i="8"/>
  <c r="J7" i="8"/>
  <c r="N7" i="8" s="1"/>
  <c r="G7" i="8"/>
  <c r="E7" i="8"/>
  <c r="T7" i="8" s="1"/>
  <c r="Q6" i="8"/>
  <c r="O6" i="8"/>
  <c r="L6" i="8"/>
  <c r="J6" i="8"/>
  <c r="N6" i="8" s="1"/>
  <c r="G6" i="8"/>
  <c r="E6" i="8"/>
  <c r="K6" i="8" s="1"/>
  <c r="T5" i="8"/>
  <c r="Q5" i="8"/>
  <c r="O5" i="8"/>
  <c r="L5" i="8"/>
  <c r="J5" i="8"/>
  <c r="N5" i="8" s="1"/>
  <c r="G5" i="8"/>
  <c r="E5" i="8"/>
  <c r="K5" i="8" s="1"/>
  <c r="V5" i="8" s="1"/>
  <c r="Q24" i="7"/>
  <c r="O24" i="7"/>
  <c r="L24" i="7"/>
  <c r="J24" i="7"/>
  <c r="N24" i="7" s="1"/>
  <c r="G24" i="7"/>
  <c r="E24" i="7"/>
  <c r="Q23" i="7"/>
  <c r="O23" i="7"/>
  <c r="L23" i="7"/>
  <c r="J23" i="7"/>
  <c r="N23" i="7" s="1"/>
  <c r="G23" i="7"/>
  <c r="E23" i="7"/>
  <c r="K23" i="7" s="1"/>
  <c r="Q22" i="7"/>
  <c r="O22" i="7"/>
  <c r="L22" i="7"/>
  <c r="J22" i="7"/>
  <c r="N22" i="7" s="1"/>
  <c r="G22" i="7"/>
  <c r="E22" i="7"/>
  <c r="K22" i="7" s="1"/>
  <c r="Q21" i="7"/>
  <c r="O21" i="7"/>
  <c r="L21" i="7"/>
  <c r="J21" i="7"/>
  <c r="N21" i="7" s="1"/>
  <c r="G21" i="7"/>
  <c r="E21" i="7"/>
  <c r="K21" i="7" s="1"/>
  <c r="V21" i="7" s="1"/>
  <c r="Q20" i="7"/>
  <c r="O20" i="7"/>
  <c r="N20" i="7"/>
  <c r="L20" i="7"/>
  <c r="J20" i="7"/>
  <c r="G20" i="7"/>
  <c r="E20" i="7"/>
  <c r="Q19" i="7"/>
  <c r="O19" i="7"/>
  <c r="L19" i="7"/>
  <c r="J19" i="7"/>
  <c r="N19" i="7" s="1"/>
  <c r="G19" i="7"/>
  <c r="E19" i="7"/>
  <c r="K19" i="7" s="1"/>
  <c r="Q18" i="7"/>
  <c r="O18" i="7"/>
  <c r="N18" i="7"/>
  <c r="L18" i="7"/>
  <c r="J18" i="7"/>
  <c r="G18" i="7"/>
  <c r="E18" i="7"/>
  <c r="K18" i="7" s="1"/>
  <c r="Q17" i="7"/>
  <c r="O17" i="7"/>
  <c r="L17" i="7"/>
  <c r="K17" i="7"/>
  <c r="V17" i="7" s="1"/>
  <c r="J17" i="7"/>
  <c r="N17" i="7" s="1"/>
  <c r="G17" i="7"/>
  <c r="E17" i="7"/>
  <c r="T17" i="7" s="1"/>
  <c r="Q16" i="7"/>
  <c r="O16" i="7"/>
  <c r="L16" i="7"/>
  <c r="J16" i="7"/>
  <c r="N16" i="7" s="1"/>
  <c r="G16" i="7"/>
  <c r="E16" i="7"/>
  <c r="Q15" i="7"/>
  <c r="O15" i="7"/>
  <c r="L15" i="7"/>
  <c r="K15" i="7"/>
  <c r="J15" i="7"/>
  <c r="N15" i="7" s="1"/>
  <c r="G15" i="7"/>
  <c r="E15" i="7"/>
  <c r="T15" i="7" s="1"/>
  <c r="Q14" i="7"/>
  <c r="O14" i="7"/>
  <c r="L14" i="7"/>
  <c r="J14" i="7"/>
  <c r="N14" i="7" s="1"/>
  <c r="G14" i="7"/>
  <c r="E14" i="7"/>
  <c r="K14" i="7" s="1"/>
  <c r="Q13" i="7"/>
  <c r="O13" i="7"/>
  <c r="L13" i="7"/>
  <c r="K13" i="7"/>
  <c r="V13" i="7" s="1"/>
  <c r="J13" i="7"/>
  <c r="N13" i="7" s="1"/>
  <c r="G13" i="7"/>
  <c r="E13" i="7"/>
  <c r="T13" i="7" s="1"/>
  <c r="Q12" i="7"/>
  <c r="O12" i="7"/>
  <c r="L12" i="7"/>
  <c r="J12" i="7"/>
  <c r="N12" i="7" s="1"/>
  <c r="G12" i="7"/>
  <c r="E12" i="7"/>
  <c r="Q11" i="7"/>
  <c r="O11" i="7"/>
  <c r="L11" i="7"/>
  <c r="J11" i="7"/>
  <c r="N11" i="7" s="1"/>
  <c r="G11" i="7"/>
  <c r="E11" i="7"/>
  <c r="T11" i="7" s="1"/>
  <c r="Q10" i="7"/>
  <c r="O10" i="7"/>
  <c r="L10" i="7"/>
  <c r="J10" i="7"/>
  <c r="N10" i="7" s="1"/>
  <c r="G10" i="7"/>
  <c r="E10" i="7"/>
  <c r="K10" i="7" s="1"/>
  <c r="T9" i="7"/>
  <c r="Q9" i="7"/>
  <c r="O9" i="7"/>
  <c r="L9" i="7"/>
  <c r="J9" i="7"/>
  <c r="N9" i="7" s="1"/>
  <c r="G9" i="7"/>
  <c r="E9" i="7"/>
  <c r="K9" i="7" s="1"/>
  <c r="V9" i="7" s="1"/>
  <c r="Q8" i="7"/>
  <c r="O8" i="7"/>
  <c r="L8" i="7"/>
  <c r="J8" i="7"/>
  <c r="N8" i="7" s="1"/>
  <c r="G8" i="7"/>
  <c r="E8" i="7"/>
  <c r="Q7" i="7"/>
  <c r="O7" i="7"/>
  <c r="L7" i="7"/>
  <c r="J7" i="7"/>
  <c r="N7" i="7" s="1"/>
  <c r="G7" i="7"/>
  <c r="E7" i="7"/>
  <c r="K7" i="7" s="1"/>
  <c r="Q6" i="7"/>
  <c r="O6" i="7"/>
  <c r="L6" i="7"/>
  <c r="J6" i="7"/>
  <c r="N6" i="7" s="1"/>
  <c r="G6" i="7"/>
  <c r="E6" i="7"/>
  <c r="K6" i="7" s="1"/>
  <c r="T5" i="7"/>
  <c r="Q5" i="7"/>
  <c r="O5" i="7"/>
  <c r="L5" i="7"/>
  <c r="J5" i="7"/>
  <c r="N5" i="7" s="1"/>
  <c r="G5" i="7"/>
  <c r="E5" i="7"/>
  <c r="K5" i="7" s="1"/>
  <c r="Q24" i="6"/>
  <c r="O24" i="6"/>
  <c r="N24" i="6"/>
  <c r="L24" i="6"/>
  <c r="J24" i="6"/>
  <c r="G24" i="6"/>
  <c r="E24" i="6"/>
  <c r="Q23" i="6"/>
  <c r="O23" i="6"/>
  <c r="L23" i="6"/>
  <c r="J23" i="6"/>
  <c r="N23" i="6" s="1"/>
  <c r="G23" i="6"/>
  <c r="E23" i="6"/>
  <c r="K23" i="6" s="1"/>
  <c r="Q22" i="6"/>
  <c r="O22" i="6"/>
  <c r="L22" i="6"/>
  <c r="J22" i="6"/>
  <c r="N22" i="6" s="1"/>
  <c r="G22" i="6"/>
  <c r="E22" i="6"/>
  <c r="Q21" i="6"/>
  <c r="O21" i="6"/>
  <c r="L21" i="6"/>
  <c r="J21" i="6"/>
  <c r="N21" i="6" s="1"/>
  <c r="G21" i="6"/>
  <c r="E21" i="6"/>
  <c r="T21" i="6" s="1"/>
  <c r="Q20" i="6"/>
  <c r="O20" i="6"/>
  <c r="L20" i="6"/>
  <c r="J20" i="6"/>
  <c r="N20" i="6" s="1"/>
  <c r="G20" i="6"/>
  <c r="E20" i="6"/>
  <c r="Q19" i="6"/>
  <c r="O19" i="6"/>
  <c r="L19" i="6"/>
  <c r="J19" i="6"/>
  <c r="N19" i="6" s="1"/>
  <c r="G19" i="6"/>
  <c r="E19" i="6"/>
  <c r="T19" i="6" s="1"/>
  <c r="Q18" i="6"/>
  <c r="O18" i="6"/>
  <c r="L18" i="6"/>
  <c r="J18" i="6"/>
  <c r="N18" i="6" s="1"/>
  <c r="G18" i="6"/>
  <c r="E18" i="6"/>
  <c r="T18" i="6" s="1"/>
  <c r="Q17" i="6"/>
  <c r="O17" i="6"/>
  <c r="L17" i="6"/>
  <c r="J17" i="6"/>
  <c r="N17" i="6" s="1"/>
  <c r="G17" i="6"/>
  <c r="E17" i="6"/>
  <c r="K17" i="6" s="1"/>
  <c r="Q16" i="6"/>
  <c r="O16" i="6"/>
  <c r="L16" i="6"/>
  <c r="J16" i="6"/>
  <c r="N16" i="6" s="1"/>
  <c r="G16" i="6"/>
  <c r="E16" i="6"/>
  <c r="T16" i="6" s="1"/>
  <c r="Q15" i="6"/>
  <c r="O15" i="6"/>
  <c r="L15" i="6"/>
  <c r="J15" i="6"/>
  <c r="N15" i="6" s="1"/>
  <c r="G15" i="6"/>
  <c r="E15" i="6"/>
  <c r="T15" i="6" s="1"/>
  <c r="Q14" i="6"/>
  <c r="O14" i="6"/>
  <c r="L14" i="6"/>
  <c r="J14" i="6"/>
  <c r="N14" i="6" s="1"/>
  <c r="G14" i="6"/>
  <c r="E14" i="6"/>
  <c r="K14" i="6" s="1"/>
  <c r="Q13" i="6"/>
  <c r="O13" i="6"/>
  <c r="L13" i="6"/>
  <c r="J13" i="6"/>
  <c r="N13" i="6" s="1"/>
  <c r="G13" i="6"/>
  <c r="E13" i="6"/>
  <c r="K13" i="6" s="1"/>
  <c r="Q12" i="6"/>
  <c r="O12" i="6"/>
  <c r="L12" i="6"/>
  <c r="J12" i="6"/>
  <c r="N12" i="6" s="1"/>
  <c r="G12" i="6"/>
  <c r="E12" i="6"/>
  <c r="K12" i="6" s="1"/>
  <c r="Q11" i="6"/>
  <c r="O11" i="6"/>
  <c r="L11" i="6"/>
  <c r="J11" i="6"/>
  <c r="N11" i="6" s="1"/>
  <c r="G11" i="6"/>
  <c r="E11" i="6"/>
  <c r="T11" i="6" s="1"/>
  <c r="Q10" i="6"/>
  <c r="O10" i="6"/>
  <c r="L10" i="6"/>
  <c r="J10" i="6"/>
  <c r="N10" i="6" s="1"/>
  <c r="G10" i="6"/>
  <c r="E10" i="6"/>
  <c r="K10" i="6" s="1"/>
  <c r="Q9" i="6"/>
  <c r="O9" i="6"/>
  <c r="L9" i="6"/>
  <c r="J9" i="6"/>
  <c r="N9" i="6" s="1"/>
  <c r="G9" i="6"/>
  <c r="E9" i="6"/>
  <c r="K9" i="6" s="1"/>
  <c r="Q8" i="6"/>
  <c r="O8" i="6"/>
  <c r="L8" i="6"/>
  <c r="J8" i="6"/>
  <c r="N8" i="6" s="1"/>
  <c r="G8" i="6"/>
  <c r="E8" i="6"/>
  <c r="K8" i="6" s="1"/>
  <c r="Q7" i="6"/>
  <c r="O7" i="6"/>
  <c r="L7" i="6"/>
  <c r="J7" i="6"/>
  <c r="N7" i="6" s="1"/>
  <c r="G7" i="6"/>
  <c r="E7" i="6"/>
  <c r="T7" i="6" s="1"/>
  <c r="Q6" i="6"/>
  <c r="O6" i="6"/>
  <c r="L6" i="6"/>
  <c r="J6" i="6"/>
  <c r="N6" i="6" s="1"/>
  <c r="G6" i="6"/>
  <c r="E6" i="6"/>
  <c r="T6" i="6" s="1"/>
  <c r="Q5" i="6"/>
  <c r="O5" i="6"/>
  <c r="L5" i="6"/>
  <c r="J5" i="6"/>
  <c r="N5" i="6" s="1"/>
  <c r="G5" i="6"/>
  <c r="E5" i="6"/>
  <c r="K5" i="6" s="1"/>
  <c r="Q23" i="5"/>
  <c r="O23" i="5"/>
  <c r="L23" i="5"/>
  <c r="J23" i="5"/>
  <c r="N23" i="5" s="1"/>
  <c r="G23" i="5"/>
  <c r="E23" i="5"/>
  <c r="K23" i="5" s="1"/>
  <c r="Q22" i="5"/>
  <c r="O22" i="5"/>
  <c r="L22" i="5"/>
  <c r="K22" i="5"/>
  <c r="J22" i="5"/>
  <c r="N22" i="5" s="1"/>
  <c r="G22" i="5"/>
  <c r="E22" i="5"/>
  <c r="T22" i="5" s="1"/>
  <c r="Q21" i="5"/>
  <c r="O21" i="5"/>
  <c r="L21" i="5"/>
  <c r="K21" i="5"/>
  <c r="J21" i="5"/>
  <c r="N21" i="5" s="1"/>
  <c r="G21" i="5"/>
  <c r="E21" i="5"/>
  <c r="T21" i="5" s="1"/>
  <c r="Q20" i="5"/>
  <c r="O20" i="5"/>
  <c r="L20" i="5"/>
  <c r="J20" i="5"/>
  <c r="N20" i="5" s="1"/>
  <c r="G20" i="5"/>
  <c r="E20" i="5"/>
  <c r="K20" i="5" s="1"/>
  <c r="Q19" i="5"/>
  <c r="O19" i="5"/>
  <c r="N19" i="5"/>
  <c r="L19" i="5"/>
  <c r="J19" i="5"/>
  <c r="G19" i="5"/>
  <c r="E19" i="5"/>
  <c r="K19" i="5" s="1"/>
  <c r="Q18" i="5"/>
  <c r="O18" i="5"/>
  <c r="N18" i="5"/>
  <c r="L18" i="5"/>
  <c r="J18" i="5"/>
  <c r="G18" i="5"/>
  <c r="E18" i="5"/>
  <c r="T18" i="5" s="1"/>
  <c r="Q17" i="5"/>
  <c r="O17" i="5"/>
  <c r="L17" i="5"/>
  <c r="J17" i="5"/>
  <c r="N17" i="5" s="1"/>
  <c r="G17" i="5"/>
  <c r="E17" i="5"/>
  <c r="T17" i="5" s="1"/>
  <c r="Q16" i="5"/>
  <c r="O16" i="5"/>
  <c r="L16" i="5"/>
  <c r="J16" i="5"/>
  <c r="N16" i="5" s="1"/>
  <c r="G16" i="5"/>
  <c r="E16" i="5"/>
  <c r="K16" i="5" s="1"/>
  <c r="Q15" i="5"/>
  <c r="O15" i="5"/>
  <c r="N15" i="5"/>
  <c r="L15" i="5"/>
  <c r="J15" i="5"/>
  <c r="G15" i="5"/>
  <c r="E15" i="5"/>
  <c r="K15" i="5" s="1"/>
  <c r="Q14" i="5"/>
  <c r="O14" i="5"/>
  <c r="N14" i="5"/>
  <c r="L14" i="5"/>
  <c r="J14" i="5"/>
  <c r="G14" i="5"/>
  <c r="E14" i="5"/>
  <c r="T14" i="5" s="1"/>
  <c r="Q13" i="5"/>
  <c r="O13" i="5"/>
  <c r="L13" i="5"/>
  <c r="J13" i="5"/>
  <c r="N13" i="5" s="1"/>
  <c r="G13" i="5"/>
  <c r="E13" i="5"/>
  <c r="K13" i="5" s="1"/>
  <c r="Q12" i="5"/>
  <c r="O12" i="5"/>
  <c r="L12" i="5"/>
  <c r="J12" i="5"/>
  <c r="N12" i="5" s="1"/>
  <c r="G12" i="5"/>
  <c r="E12" i="5"/>
  <c r="K12" i="5" s="1"/>
  <c r="Q11" i="5"/>
  <c r="O11" i="5"/>
  <c r="L11" i="5"/>
  <c r="J11" i="5"/>
  <c r="N11" i="5" s="1"/>
  <c r="G11" i="5"/>
  <c r="E11" i="5"/>
  <c r="K11" i="5" s="1"/>
  <c r="Q10" i="5"/>
  <c r="O10" i="5"/>
  <c r="L10" i="5"/>
  <c r="J10" i="5"/>
  <c r="N10" i="5" s="1"/>
  <c r="G10" i="5"/>
  <c r="E10" i="5"/>
  <c r="T10" i="5" s="1"/>
  <c r="T9" i="5"/>
  <c r="Q9" i="5"/>
  <c r="O9" i="5"/>
  <c r="L9" i="5"/>
  <c r="J9" i="5"/>
  <c r="N9" i="5" s="1"/>
  <c r="G9" i="5"/>
  <c r="E9" i="5"/>
  <c r="K9" i="5" s="1"/>
  <c r="Q8" i="5"/>
  <c r="O8" i="5"/>
  <c r="L8" i="5"/>
  <c r="J8" i="5"/>
  <c r="N8" i="5" s="1"/>
  <c r="G8" i="5"/>
  <c r="E8" i="5"/>
  <c r="K8" i="5" s="1"/>
  <c r="Q7" i="5"/>
  <c r="O7" i="5"/>
  <c r="N7" i="5"/>
  <c r="L7" i="5"/>
  <c r="J7" i="5"/>
  <c r="G7" i="5"/>
  <c r="E7" i="5"/>
  <c r="K7" i="5" s="1"/>
  <c r="Q6" i="5"/>
  <c r="O6" i="5"/>
  <c r="L6" i="5"/>
  <c r="J6" i="5"/>
  <c r="N6" i="5" s="1"/>
  <c r="G6" i="5"/>
  <c r="E6" i="5"/>
  <c r="T6" i="5" s="1"/>
  <c r="T5" i="5"/>
  <c r="Q5" i="5"/>
  <c r="O5" i="5"/>
  <c r="L5" i="5"/>
  <c r="J5" i="5"/>
  <c r="N5" i="5" s="1"/>
  <c r="G5" i="5"/>
  <c r="E5" i="5"/>
  <c r="K5" i="5" s="1"/>
  <c r="Q21" i="4"/>
  <c r="O21" i="4"/>
  <c r="L21" i="4"/>
  <c r="J21" i="4"/>
  <c r="N21" i="4" s="1"/>
  <c r="G21" i="4"/>
  <c r="E21" i="4"/>
  <c r="K21" i="4" s="1"/>
  <c r="Q20" i="4"/>
  <c r="O20" i="4"/>
  <c r="N20" i="4"/>
  <c r="L20" i="4"/>
  <c r="J20" i="4"/>
  <c r="G20" i="4"/>
  <c r="E20" i="4"/>
  <c r="K20" i="4" s="1"/>
  <c r="Q19" i="4"/>
  <c r="O19" i="4"/>
  <c r="L19" i="4"/>
  <c r="J19" i="4"/>
  <c r="N19" i="4" s="1"/>
  <c r="G19" i="4"/>
  <c r="E19" i="4"/>
  <c r="T19" i="4" s="1"/>
  <c r="T18" i="4"/>
  <c r="Q18" i="4"/>
  <c r="O18" i="4"/>
  <c r="L18" i="4"/>
  <c r="K18" i="4"/>
  <c r="J18" i="4"/>
  <c r="N18" i="4" s="1"/>
  <c r="G18" i="4"/>
  <c r="E18" i="4"/>
  <c r="Q17" i="4"/>
  <c r="O17" i="4"/>
  <c r="L17" i="4"/>
  <c r="J17" i="4"/>
  <c r="N17" i="4" s="1"/>
  <c r="G17" i="4"/>
  <c r="E17" i="4"/>
  <c r="K17" i="4" s="1"/>
  <c r="Q16" i="4"/>
  <c r="O16" i="4"/>
  <c r="L16" i="4"/>
  <c r="J16" i="4"/>
  <c r="N16" i="4" s="1"/>
  <c r="G16" i="4"/>
  <c r="E16" i="4"/>
  <c r="K16" i="4" s="1"/>
  <c r="Q15" i="4"/>
  <c r="O15" i="4"/>
  <c r="L15" i="4"/>
  <c r="J15" i="4"/>
  <c r="N15" i="4" s="1"/>
  <c r="G15" i="4"/>
  <c r="E15" i="4"/>
  <c r="T15" i="4" s="1"/>
  <c r="Q14" i="4"/>
  <c r="O14" i="4"/>
  <c r="L14" i="4"/>
  <c r="J14" i="4"/>
  <c r="N14" i="4" s="1"/>
  <c r="G14" i="4"/>
  <c r="E14" i="4"/>
  <c r="T14" i="4" s="1"/>
  <c r="Q13" i="4"/>
  <c r="O13" i="4"/>
  <c r="L13" i="4"/>
  <c r="J13" i="4"/>
  <c r="N13" i="4" s="1"/>
  <c r="G13" i="4"/>
  <c r="E13" i="4"/>
  <c r="K13" i="4" s="1"/>
  <c r="Q12" i="4"/>
  <c r="O12" i="4"/>
  <c r="N12" i="4"/>
  <c r="L12" i="4"/>
  <c r="J12" i="4"/>
  <c r="G12" i="4"/>
  <c r="E12" i="4"/>
  <c r="K12" i="4" s="1"/>
  <c r="Q11" i="4"/>
  <c r="O11" i="4"/>
  <c r="N11" i="4"/>
  <c r="L11" i="4"/>
  <c r="J11" i="4"/>
  <c r="G11" i="4"/>
  <c r="E11" i="4"/>
  <c r="T11" i="4" s="1"/>
  <c r="T10" i="4"/>
  <c r="Q10" i="4"/>
  <c r="O10" i="4"/>
  <c r="L10" i="4"/>
  <c r="J10" i="4"/>
  <c r="N10" i="4" s="1"/>
  <c r="G10" i="4"/>
  <c r="E10" i="4"/>
  <c r="K10" i="4" s="1"/>
  <c r="Q9" i="4"/>
  <c r="O9" i="4"/>
  <c r="L9" i="4"/>
  <c r="J9" i="4"/>
  <c r="N9" i="4" s="1"/>
  <c r="G9" i="4"/>
  <c r="E9" i="4"/>
  <c r="K9" i="4" s="1"/>
  <c r="Q8" i="4"/>
  <c r="O8" i="4"/>
  <c r="N8" i="4"/>
  <c r="L8" i="4"/>
  <c r="J8" i="4"/>
  <c r="G8" i="4"/>
  <c r="E8" i="4"/>
  <c r="K8" i="4" s="1"/>
  <c r="Q7" i="4"/>
  <c r="O7" i="4"/>
  <c r="N7" i="4"/>
  <c r="L7" i="4"/>
  <c r="K7" i="4"/>
  <c r="J7" i="4"/>
  <c r="G7" i="4"/>
  <c r="E7" i="4"/>
  <c r="T7" i="4" s="1"/>
  <c r="Q6" i="4"/>
  <c r="O6" i="4"/>
  <c r="L6" i="4"/>
  <c r="J6" i="4"/>
  <c r="N6" i="4" s="1"/>
  <c r="G6" i="4"/>
  <c r="E6" i="4"/>
  <c r="K6" i="4" s="1"/>
  <c r="Q5" i="4"/>
  <c r="O5" i="4"/>
  <c r="L5" i="4"/>
  <c r="J5" i="4"/>
  <c r="N5" i="4" s="1"/>
  <c r="G5" i="4"/>
  <c r="E5" i="4"/>
  <c r="K5" i="4" s="1"/>
  <c r="Q19" i="3"/>
  <c r="O19" i="3"/>
  <c r="L19" i="3"/>
  <c r="J19" i="3"/>
  <c r="N19" i="3" s="1"/>
  <c r="G19" i="3"/>
  <c r="E19" i="3"/>
  <c r="T19" i="3" s="1"/>
  <c r="Q18" i="3"/>
  <c r="O18" i="3"/>
  <c r="L18" i="3"/>
  <c r="J18" i="3"/>
  <c r="N18" i="3" s="1"/>
  <c r="G18" i="3"/>
  <c r="E18" i="3"/>
  <c r="T18" i="3" s="1"/>
  <c r="T17" i="3"/>
  <c r="Q17" i="3"/>
  <c r="O17" i="3"/>
  <c r="L17" i="3"/>
  <c r="J17" i="3"/>
  <c r="N17" i="3" s="1"/>
  <c r="G17" i="3"/>
  <c r="E17" i="3"/>
  <c r="K17" i="3" s="1"/>
  <c r="Q16" i="3"/>
  <c r="O16" i="3"/>
  <c r="L16" i="3"/>
  <c r="J16" i="3"/>
  <c r="N16" i="3" s="1"/>
  <c r="G16" i="3"/>
  <c r="E16" i="3"/>
  <c r="K16" i="3" s="1"/>
  <c r="Q15" i="3"/>
  <c r="O15" i="3"/>
  <c r="L15" i="3"/>
  <c r="J15" i="3"/>
  <c r="N15" i="3" s="1"/>
  <c r="G15" i="3"/>
  <c r="E15" i="3"/>
  <c r="T15" i="3" s="1"/>
  <c r="Q14" i="3"/>
  <c r="O14" i="3"/>
  <c r="L14" i="3"/>
  <c r="J14" i="3"/>
  <c r="N14" i="3" s="1"/>
  <c r="G14" i="3"/>
  <c r="E14" i="3"/>
  <c r="T14" i="3" s="1"/>
  <c r="Q13" i="3"/>
  <c r="O13" i="3"/>
  <c r="L13" i="3"/>
  <c r="J13" i="3"/>
  <c r="N13" i="3" s="1"/>
  <c r="G13" i="3"/>
  <c r="E13" i="3"/>
  <c r="T13" i="3" s="1"/>
  <c r="Q12" i="3"/>
  <c r="O12" i="3"/>
  <c r="N12" i="3"/>
  <c r="L12" i="3"/>
  <c r="J12" i="3"/>
  <c r="G12" i="3"/>
  <c r="E12" i="3"/>
  <c r="Q11" i="3"/>
  <c r="O11" i="3"/>
  <c r="L11" i="3"/>
  <c r="J11" i="3"/>
  <c r="N11" i="3" s="1"/>
  <c r="G11" i="3"/>
  <c r="E11" i="3"/>
  <c r="T11" i="3" s="1"/>
  <c r="Q10" i="3"/>
  <c r="O10" i="3"/>
  <c r="L10" i="3"/>
  <c r="J10" i="3"/>
  <c r="N10" i="3" s="1"/>
  <c r="G10" i="3"/>
  <c r="E10" i="3"/>
  <c r="T10" i="3" s="1"/>
  <c r="T9" i="3"/>
  <c r="Q9" i="3"/>
  <c r="O9" i="3"/>
  <c r="L9" i="3"/>
  <c r="J9" i="3"/>
  <c r="N9" i="3" s="1"/>
  <c r="G9" i="3"/>
  <c r="E9" i="3"/>
  <c r="K9" i="3" s="1"/>
  <c r="Q8" i="3"/>
  <c r="O8" i="3"/>
  <c r="L8" i="3"/>
  <c r="J8" i="3"/>
  <c r="N8" i="3" s="1"/>
  <c r="G8" i="3"/>
  <c r="E8" i="3"/>
  <c r="T8" i="3" s="1"/>
  <c r="Q7" i="3"/>
  <c r="O7" i="3"/>
  <c r="L7" i="3"/>
  <c r="J7" i="3"/>
  <c r="N7" i="3" s="1"/>
  <c r="G7" i="3"/>
  <c r="E7" i="3"/>
  <c r="T7" i="3" s="1"/>
  <c r="Q6" i="3"/>
  <c r="O6" i="3"/>
  <c r="L6" i="3"/>
  <c r="J6" i="3"/>
  <c r="N6" i="3" s="1"/>
  <c r="G6" i="3"/>
  <c r="E6" i="3"/>
  <c r="T6" i="3" s="1"/>
  <c r="Q5" i="3"/>
  <c r="O5" i="3"/>
  <c r="L5" i="3"/>
  <c r="J5" i="3"/>
  <c r="N5" i="3" s="1"/>
  <c r="G5" i="3"/>
  <c r="E5" i="3"/>
  <c r="K5" i="3" s="1"/>
  <c r="R41" i="8" l="1"/>
  <c r="U41" i="8" s="1"/>
  <c r="W41" i="8" s="1"/>
  <c r="V41" i="8"/>
  <c r="R85" i="8"/>
  <c r="S85" i="8" s="1"/>
  <c r="R6" i="8"/>
  <c r="R22" i="8"/>
  <c r="U22" i="8" s="1"/>
  <c r="W22" i="8" s="1"/>
  <c r="T57" i="8"/>
  <c r="R69" i="8"/>
  <c r="U69" i="8" s="1"/>
  <c r="W69" i="8" s="1"/>
  <c r="T84" i="8"/>
  <c r="V9" i="8"/>
  <c r="T17" i="8"/>
  <c r="T31" i="8"/>
  <c r="T41" i="8"/>
  <c r="T85" i="8"/>
  <c r="K7" i="8"/>
  <c r="R18" i="8"/>
  <c r="K25" i="8"/>
  <c r="V25" i="8" s="1"/>
  <c r="T32" i="8"/>
  <c r="T53" i="8"/>
  <c r="K60" i="8"/>
  <c r="R60" i="8" s="1"/>
  <c r="S60" i="8" s="1"/>
  <c r="K61" i="8"/>
  <c r="T75" i="8"/>
  <c r="T76" i="8"/>
  <c r="T81" i="8"/>
  <c r="K92" i="8"/>
  <c r="R92" i="8" s="1"/>
  <c r="S92" i="8" s="1"/>
  <c r="T33" i="8"/>
  <c r="V39" i="8"/>
  <c r="T77" i="8"/>
  <c r="V93" i="8"/>
  <c r="R14" i="8"/>
  <c r="U14" i="8" s="1"/>
  <c r="W14" i="8" s="1"/>
  <c r="V51" i="8"/>
  <c r="T67" i="8"/>
  <c r="T95" i="8"/>
  <c r="T63" i="8"/>
  <c r="V80" i="8"/>
  <c r="R10" i="8"/>
  <c r="T91" i="8"/>
  <c r="T7" i="7"/>
  <c r="R10" i="7"/>
  <c r="S10" i="7" s="1"/>
  <c r="T23" i="7"/>
  <c r="T21" i="7"/>
  <c r="K11" i="7"/>
  <c r="R11" i="7" s="1"/>
  <c r="T19" i="7"/>
  <c r="R22" i="7"/>
  <c r="R18" i="7"/>
  <c r="S18" i="7" s="1"/>
  <c r="R14" i="7"/>
  <c r="S14" i="7" s="1"/>
  <c r="T10" i="6"/>
  <c r="K11" i="6"/>
  <c r="R11" i="6" s="1"/>
  <c r="U11" i="6" s="1"/>
  <c r="W11" i="6" s="1"/>
  <c r="K7" i="6"/>
  <c r="V7" i="6" s="1"/>
  <c r="K21" i="6"/>
  <c r="K6" i="6"/>
  <c r="R6" i="6" s="1"/>
  <c r="T17" i="6"/>
  <c r="T14" i="6"/>
  <c r="K19" i="6"/>
  <c r="V19" i="6" s="1"/>
  <c r="K15" i="6"/>
  <c r="V15" i="6" s="1"/>
  <c r="T23" i="6"/>
  <c r="R7" i="6"/>
  <c r="U7" i="6" s="1"/>
  <c r="W7" i="6" s="1"/>
  <c r="K10" i="5"/>
  <c r="R10" i="5" s="1"/>
  <c r="U10" i="5" s="1"/>
  <c r="W10" i="5" s="1"/>
  <c r="T13" i="5"/>
  <c r="K17" i="5"/>
  <c r="K18" i="5"/>
  <c r="R18" i="5" s="1"/>
  <c r="U18" i="5" s="1"/>
  <c r="W18" i="5" s="1"/>
  <c r="R22" i="5"/>
  <c r="U22" i="5" s="1"/>
  <c r="W22" i="5" s="1"/>
  <c r="K6" i="5"/>
  <c r="R6" i="5" s="1"/>
  <c r="S6" i="5" s="1"/>
  <c r="V18" i="5"/>
  <c r="K14" i="5"/>
  <c r="R14" i="5" s="1"/>
  <c r="U14" i="5" s="1"/>
  <c r="W14" i="5" s="1"/>
  <c r="K14" i="4"/>
  <c r="K15" i="4"/>
  <c r="R15" i="4" s="1"/>
  <c r="T6" i="4"/>
  <c r="S7" i="4"/>
  <c r="K11" i="4"/>
  <c r="R11" i="4" s="1"/>
  <c r="U11" i="4" s="1"/>
  <c r="W11" i="4" s="1"/>
  <c r="V11" i="4"/>
  <c r="K19" i="4"/>
  <c r="R19" i="4" s="1"/>
  <c r="T5" i="3"/>
  <c r="K18" i="3"/>
  <c r="K19" i="3"/>
  <c r="V19" i="3" s="1"/>
  <c r="K13" i="3"/>
  <c r="K14" i="3"/>
  <c r="V14" i="3" s="1"/>
  <c r="K15" i="3"/>
  <c r="V15" i="3" s="1"/>
  <c r="K10" i="3"/>
  <c r="V10" i="3" s="1"/>
  <c r="K11" i="3"/>
  <c r="V11" i="3" s="1"/>
  <c r="K6" i="3"/>
  <c r="R6" i="3" s="1"/>
  <c r="U6" i="3" s="1"/>
  <c r="W6" i="3" s="1"/>
  <c r="K7" i="3"/>
  <c r="R18" i="3"/>
  <c r="V81" i="8"/>
  <c r="V77" i="8"/>
  <c r="V22" i="5"/>
  <c r="V11" i="6"/>
  <c r="R55" i="8"/>
  <c r="V56" i="8"/>
  <c r="V57" i="8"/>
  <c r="V7" i="4"/>
  <c r="V19" i="4"/>
  <c r="V44" i="8"/>
  <c r="V49" i="8"/>
  <c r="V69" i="8"/>
  <c r="V73" i="8"/>
  <c r="V18" i="3"/>
  <c r="V30" i="8"/>
  <c r="V61" i="8"/>
  <c r="V65" i="8"/>
  <c r="S23" i="8"/>
  <c r="V15" i="4"/>
  <c r="R39" i="8"/>
  <c r="S39" i="8" s="1"/>
  <c r="V45" i="8"/>
  <c r="V48" i="8"/>
  <c r="V85" i="8"/>
  <c r="V89" i="8"/>
  <c r="V13" i="6"/>
  <c r="R13" i="6"/>
  <c r="R9" i="3"/>
  <c r="V9" i="3"/>
  <c r="K12" i="3"/>
  <c r="T12" i="3"/>
  <c r="R6" i="4"/>
  <c r="V6" i="4"/>
  <c r="V8" i="4"/>
  <c r="R8" i="4"/>
  <c r="V12" i="4"/>
  <c r="R12" i="4"/>
  <c r="V16" i="4"/>
  <c r="R16" i="4"/>
  <c r="V20" i="4"/>
  <c r="R20" i="4"/>
  <c r="V7" i="5"/>
  <c r="R7" i="5"/>
  <c r="V11" i="5"/>
  <c r="R11" i="5"/>
  <c r="V15" i="5"/>
  <c r="R15" i="5"/>
  <c r="V19" i="5"/>
  <c r="R19" i="5"/>
  <c r="V5" i="6"/>
  <c r="R5" i="6"/>
  <c r="V8" i="6"/>
  <c r="R8" i="6"/>
  <c r="R10" i="3"/>
  <c r="R7" i="4"/>
  <c r="U7" i="4" s="1"/>
  <c r="W7" i="4" s="1"/>
  <c r="R10" i="4"/>
  <c r="V10" i="4"/>
  <c r="R14" i="4"/>
  <c r="V14" i="4"/>
  <c r="R18" i="4"/>
  <c r="V18" i="4"/>
  <c r="R5" i="5"/>
  <c r="V5" i="5"/>
  <c r="R9" i="5"/>
  <c r="V9" i="5"/>
  <c r="R13" i="5"/>
  <c r="V13" i="5"/>
  <c r="R17" i="5"/>
  <c r="V17" i="5"/>
  <c r="R21" i="5"/>
  <c r="V21" i="5"/>
  <c r="V23" i="5"/>
  <c r="R23" i="5"/>
  <c r="U23" i="5" s="1"/>
  <c r="W23" i="5" s="1"/>
  <c r="V9" i="6"/>
  <c r="R9" i="6"/>
  <c r="R26" i="8"/>
  <c r="V26" i="8"/>
  <c r="S19" i="4"/>
  <c r="U19" i="4"/>
  <c r="W19" i="4" s="1"/>
  <c r="V16" i="3"/>
  <c r="R16" i="3"/>
  <c r="R10" i="6"/>
  <c r="V10" i="6"/>
  <c r="V12" i="6"/>
  <c r="R12" i="6"/>
  <c r="U12" i="6" s="1"/>
  <c r="W12" i="6" s="1"/>
  <c r="K24" i="8"/>
  <c r="T24" i="8"/>
  <c r="V7" i="3"/>
  <c r="R13" i="3"/>
  <c r="V13" i="3"/>
  <c r="R14" i="6"/>
  <c r="V14" i="6"/>
  <c r="S11" i="4"/>
  <c r="K8" i="3"/>
  <c r="R14" i="3"/>
  <c r="V5" i="4"/>
  <c r="R5" i="4"/>
  <c r="K47" i="8"/>
  <c r="T47" i="8"/>
  <c r="V5" i="3"/>
  <c r="R17" i="3"/>
  <c r="V17" i="3"/>
  <c r="R7" i="7"/>
  <c r="V7" i="7"/>
  <c r="S15" i="4"/>
  <c r="U15" i="4"/>
  <c r="W15" i="4" s="1"/>
  <c r="S18" i="3"/>
  <c r="U18" i="3"/>
  <c r="W18" i="3" s="1"/>
  <c r="V9" i="4"/>
  <c r="R9" i="4"/>
  <c r="V13" i="4"/>
  <c r="R13" i="4"/>
  <c r="V17" i="4"/>
  <c r="R17" i="4"/>
  <c r="V21" i="4"/>
  <c r="R21" i="4"/>
  <c r="V8" i="5"/>
  <c r="R8" i="5"/>
  <c r="V12" i="5"/>
  <c r="R12" i="5"/>
  <c r="V16" i="5"/>
  <c r="R16" i="5"/>
  <c r="V20" i="5"/>
  <c r="R20" i="5"/>
  <c r="V5" i="7"/>
  <c r="R5" i="7"/>
  <c r="K8" i="7"/>
  <c r="T8" i="7"/>
  <c r="V10" i="7"/>
  <c r="V14" i="7"/>
  <c r="V18" i="7"/>
  <c r="V22" i="7"/>
  <c r="V6" i="8"/>
  <c r="V10" i="8"/>
  <c r="V14" i="8"/>
  <c r="V18" i="8"/>
  <c r="V21" i="6"/>
  <c r="R21" i="6"/>
  <c r="K12" i="7"/>
  <c r="T12" i="7"/>
  <c r="K16" i="7"/>
  <c r="T16" i="7"/>
  <c r="K20" i="7"/>
  <c r="T20" i="7"/>
  <c r="S22" i="7"/>
  <c r="U22" i="7"/>
  <c r="W22" i="7" s="1"/>
  <c r="K24" i="7"/>
  <c r="T24" i="7"/>
  <c r="S6" i="8"/>
  <c r="U6" i="8"/>
  <c r="W6" i="8" s="1"/>
  <c r="K8" i="8"/>
  <c r="T8" i="8"/>
  <c r="S10" i="8"/>
  <c r="U10" i="8"/>
  <c r="W10" i="8" s="1"/>
  <c r="K12" i="8"/>
  <c r="T12" i="8"/>
  <c r="S14" i="8"/>
  <c r="K16" i="8"/>
  <c r="T16" i="8"/>
  <c r="S18" i="8"/>
  <c r="U18" i="8"/>
  <c r="W18" i="8" s="1"/>
  <c r="K20" i="8"/>
  <c r="T20" i="8"/>
  <c r="V22" i="8"/>
  <c r="K28" i="8"/>
  <c r="T28" i="8"/>
  <c r="U39" i="8"/>
  <c r="W39" i="8" s="1"/>
  <c r="U55" i="8"/>
  <c r="W55" i="8" s="1"/>
  <c r="S55" i="8"/>
  <c r="R7" i="3"/>
  <c r="R15" i="3"/>
  <c r="T16" i="3"/>
  <c r="R19" i="3"/>
  <c r="T5" i="4"/>
  <c r="T9" i="4"/>
  <c r="T13" i="4"/>
  <c r="T17" i="4"/>
  <c r="T21" i="4"/>
  <c r="T8" i="5"/>
  <c r="T12" i="5"/>
  <c r="T16" i="5"/>
  <c r="T20" i="5"/>
  <c r="T5" i="6"/>
  <c r="T9" i="6"/>
  <c r="T13" i="6"/>
  <c r="V17" i="6"/>
  <c r="R17" i="6"/>
  <c r="K20" i="6"/>
  <c r="T20" i="6"/>
  <c r="K24" i="6"/>
  <c r="T24" i="6"/>
  <c r="S32" i="8"/>
  <c r="U32" i="8"/>
  <c r="W32" i="8" s="1"/>
  <c r="K46" i="8"/>
  <c r="T46" i="8"/>
  <c r="R15" i="7"/>
  <c r="R19" i="7"/>
  <c r="R23" i="7"/>
  <c r="R7" i="8"/>
  <c r="U7" i="8" s="1"/>
  <c r="W7" i="8" s="1"/>
  <c r="R11" i="8"/>
  <c r="U11" i="8" s="1"/>
  <c r="W11" i="8" s="1"/>
  <c r="R15" i="8"/>
  <c r="U15" i="8" s="1"/>
  <c r="W15" i="8" s="1"/>
  <c r="R19" i="8"/>
  <c r="U19" i="8" s="1"/>
  <c r="W19" i="8" s="1"/>
  <c r="R30" i="8"/>
  <c r="U30" i="8" s="1"/>
  <c r="W30" i="8" s="1"/>
  <c r="T8" i="4"/>
  <c r="T12" i="4"/>
  <c r="T16" i="4"/>
  <c r="T20" i="4"/>
  <c r="T7" i="5"/>
  <c r="T11" i="5"/>
  <c r="T15" i="5"/>
  <c r="T19" i="5"/>
  <c r="T23" i="5"/>
  <c r="T8" i="6"/>
  <c r="T12" i="6"/>
  <c r="R23" i="6"/>
  <c r="V23" i="6"/>
  <c r="R27" i="8"/>
  <c r="U27" i="8" s="1"/>
  <c r="W27" i="8" s="1"/>
  <c r="K16" i="6"/>
  <c r="R6" i="7"/>
  <c r="V6" i="7"/>
  <c r="R43" i="8"/>
  <c r="K18" i="6"/>
  <c r="K22" i="6"/>
  <c r="T22" i="6"/>
  <c r="S77" i="8"/>
  <c r="U77" i="8"/>
  <c r="W77" i="8" s="1"/>
  <c r="T6" i="7"/>
  <c r="R9" i="7"/>
  <c r="T10" i="7"/>
  <c r="V11" i="7"/>
  <c r="R13" i="7"/>
  <c r="T14" i="7"/>
  <c r="V15" i="7"/>
  <c r="R17" i="7"/>
  <c r="T18" i="7"/>
  <c r="V19" i="7"/>
  <c r="R21" i="7"/>
  <c r="T22" i="7"/>
  <c r="V23" i="7"/>
  <c r="R5" i="8"/>
  <c r="U5" i="8" s="1"/>
  <c r="W5" i="8" s="1"/>
  <c r="T6" i="8"/>
  <c r="V7" i="8"/>
  <c r="R9" i="8"/>
  <c r="U9" i="8" s="1"/>
  <c r="W9" i="8" s="1"/>
  <c r="T10" i="8"/>
  <c r="V11" i="8"/>
  <c r="R13" i="8"/>
  <c r="U13" i="8" s="1"/>
  <c r="W13" i="8" s="1"/>
  <c r="T14" i="8"/>
  <c r="V15" i="8"/>
  <c r="R17" i="8"/>
  <c r="U17" i="8" s="1"/>
  <c r="W17" i="8" s="1"/>
  <c r="T18" i="8"/>
  <c r="V19" i="8"/>
  <c r="R21" i="8"/>
  <c r="U21" i="8" s="1"/>
  <c r="W21" i="8" s="1"/>
  <c r="T22" i="8"/>
  <c r="V23" i="8"/>
  <c r="R25" i="8"/>
  <c r="U25" i="8" s="1"/>
  <c r="W25" i="8" s="1"/>
  <c r="T26" i="8"/>
  <c r="V27" i="8"/>
  <c r="R29" i="8"/>
  <c r="U29" i="8" s="1"/>
  <c r="W29" i="8" s="1"/>
  <c r="R31" i="8"/>
  <c r="U31" i="8" s="1"/>
  <c r="W31" i="8" s="1"/>
  <c r="R35" i="8"/>
  <c r="U35" i="8" s="1"/>
  <c r="W35" i="8" s="1"/>
  <c r="S37" i="8"/>
  <c r="R40" i="8"/>
  <c r="S45" i="8"/>
  <c r="R49" i="8"/>
  <c r="U49" i="8" s="1"/>
  <c r="W49" i="8" s="1"/>
  <c r="S57" i="8"/>
  <c r="R68" i="8"/>
  <c r="R76" i="8"/>
  <c r="R84" i="8"/>
  <c r="K94" i="8"/>
  <c r="T94" i="8"/>
  <c r="V95" i="8"/>
  <c r="R95" i="8"/>
  <c r="T29" i="8"/>
  <c r="V32" i="8"/>
  <c r="V37" i="8"/>
  <c r="R44" i="8"/>
  <c r="R56" i="8"/>
  <c r="R59" i="8"/>
  <c r="R61" i="8"/>
  <c r="U61" i="8" s="1"/>
  <c r="W61" i="8" s="1"/>
  <c r="K62" i="8"/>
  <c r="T62" i="8"/>
  <c r="V63" i="8"/>
  <c r="R63" i="8"/>
  <c r="K70" i="8"/>
  <c r="T70" i="8"/>
  <c r="V71" i="8"/>
  <c r="R71" i="8"/>
  <c r="K78" i="8"/>
  <c r="T78" i="8"/>
  <c r="V79" i="8"/>
  <c r="R79" i="8"/>
  <c r="K86" i="8"/>
  <c r="T86" i="8"/>
  <c r="V87" i="8"/>
  <c r="R87" i="8"/>
  <c r="K38" i="8"/>
  <c r="T38" i="8"/>
  <c r="R52" i="8"/>
  <c r="K58" i="8"/>
  <c r="T58" i="8"/>
  <c r="T59" i="8"/>
  <c r="T39" i="8"/>
  <c r="K42" i="8"/>
  <c r="T42" i="8"/>
  <c r="U60" i="8"/>
  <c r="W60" i="8" s="1"/>
  <c r="R64" i="8"/>
  <c r="R72" i="8"/>
  <c r="R80" i="8"/>
  <c r="R88" i="8"/>
  <c r="S30" i="8"/>
  <c r="T43" i="8"/>
  <c r="R51" i="8"/>
  <c r="U51" i="8" s="1"/>
  <c r="W51" i="8" s="1"/>
  <c r="R53" i="8"/>
  <c r="U53" i="8" s="1"/>
  <c r="W53" i="8" s="1"/>
  <c r="K54" i="8"/>
  <c r="T54" i="8"/>
  <c r="T55" i="8"/>
  <c r="V60" i="8"/>
  <c r="K66" i="8"/>
  <c r="T66" i="8"/>
  <c r="V67" i="8"/>
  <c r="R67" i="8"/>
  <c r="K74" i="8"/>
  <c r="T74" i="8"/>
  <c r="V75" i="8"/>
  <c r="R75" i="8"/>
  <c r="K82" i="8"/>
  <c r="T82" i="8"/>
  <c r="V83" i="8"/>
  <c r="R83" i="8"/>
  <c r="K90" i="8"/>
  <c r="T90" i="8"/>
  <c r="V91" i="8"/>
  <c r="R91" i="8"/>
  <c r="U92" i="8"/>
  <c r="W92" i="8" s="1"/>
  <c r="R33" i="8"/>
  <c r="U33" i="8" s="1"/>
  <c r="W33" i="8" s="1"/>
  <c r="R48" i="8"/>
  <c r="R65" i="8"/>
  <c r="U65" i="8" s="1"/>
  <c r="W65" i="8" s="1"/>
  <c r="V68" i="8"/>
  <c r="R73" i="8"/>
  <c r="V76" i="8"/>
  <c r="R81" i="8"/>
  <c r="V84" i="8"/>
  <c r="R89" i="8"/>
  <c r="K34" i="8"/>
  <c r="T34" i="8"/>
  <c r="R36" i="8"/>
  <c r="V36" i="8"/>
  <c r="K50" i="8"/>
  <c r="T50" i="8"/>
  <c r="T51" i="8"/>
  <c r="S93" i="8"/>
  <c r="T37" i="8"/>
  <c r="T45" i="8"/>
  <c r="T49" i="8"/>
  <c r="T93" i="8"/>
  <c r="U10" i="7" l="1"/>
  <c r="W10" i="7" s="1"/>
  <c r="U6" i="5"/>
  <c r="W6" i="5" s="1"/>
  <c r="U14" i="7"/>
  <c r="W14" i="7" s="1"/>
  <c r="U85" i="8"/>
  <c r="W85" i="8" s="1"/>
  <c r="S41" i="8"/>
  <c r="S69" i="8"/>
  <c r="V92" i="8"/>
  <c r="U18" i="7"/>
  <c r="W18" i="7" s="1"/>
  <c r="S12" i="6"/>
  <c r="V6" i="6"/>
  <c r="R19" i="6"/>
  <c r="U19" i="6" s="1"/>
  <c r="W19" i="6" s="1"/>
  <c r="S11" i="6"/>
  <c r="S7" i="6"/>
  <c r="R15" i="6"/>
  <c r="U15" i="6" s="1"/>
  <c r="W15" i="6" s="1"/>
  <c r="S14" i="5"/>
  <c r="V14" i="5"/>
  <c r="S10" i="5"/>
  <c r="S18" i="5"/>
  <c r="S22" i="5"/>
  <c r="V6" i="5"/>
  <c r="V10" i="5"/>
  <c r="R11" i="3"/>
  <c r="S11" i="3" s="1"/>
  <c r="S6" i="3"/>
  <c r="V6" i="3"/>
  <c r="S9" i="8"/>
  <c r="S33" i="8"/>
  <c r="S29" i="8"/>
  <c r="S35" i="8"/>
  <c r="S27" i="8"/>
  <c r="S21" i="8"/>
  <c r="V74" i="8"/>
  <c r="R74" i="8"/>
  <c r="U17" i="7"/>
  <c r="W17" i="7" s="1"/>
  <c r="S17" i="7"/>
  <c r="S17" i="6"/>
  <c r="U17" i="6"/>
  <c r="W17" i="6" s="1"/>
  <c r="U15" i="3"/>
  <c r="W15" i="3" s="1"/>
  <c r="S15" i="3"/>
  <c r="U36" i="8"/>
  <c r="W36" i="8" s="1"/>
  <c r="S36" i="8"/>
  <c r="U67" i="8"/>
  <c r="W67" i="8" s="1"/>
  <c r="S67" i="8"/>
  <c r="S88" i="8"/>
  <c r="U88" i="8"/>
  <c r="W88" i="8" s="1"/>
  <c r="U79" i="8"/>
  <c r="W79" i="8" s="1"/>
  <c r="S79" i="8"/>
  <c r="U59" i="8"/>
  <c r="W59" i="8" s="1"/>
  <c r="S59" i="8"/>
  <c r="U43" i="8"/>
  <c r="W43" i="8" s="1"/>
  <c r="S43" i="8"/>
  <c r="S19" i="6"/>
  <c r="V28" i="8"/>
  <c r="R28" i="8"/>
  <c r="S13" i="8"/>
  <c r="V12" i="7"/>
  <c r="R12" i="7"/>
  <c r="V8" i="7"/>
  <c r="R8" i="7"/>
  <c r="U12" i="5"/>
  <c r="W12" i="5" s="1"/>
  <c r="S12" i="5"/>
  <c r="U13" i="4"/>
  <c r="W13" i="4" s="1"/>
  <c r="S13" i="4"/>
  <c r="V8" i="3"/>
  <c r="R8" i="3"/>
  <c r="U16" i="3"/>
  <c r="W16" i="3" s="1"/>
  <c r="S16" i="3"/>
  <c r="U9" i="6"/>
  <c r="W9" i="6" s="1"/>
  <c r="S9" i="6"/>
  <c r="V82" i="8"/>
  <c r="R82" i="8"/>
  <c r="S81" i="8"/>
  <c r="U81" i="8"/>
  <c r="W81" i="8" s="1"/>
  <c r="V42" i="8"/>
  <c r="R42" i="8"/>
  <c r="V86" i="8"/>
  <c r="R86" i="8"/>
  <c r="S53" i="8"/>
  <c r="S73" i="8"/>
  <c r="U73" i="8"/>
  <c r="W73" i="8" s="1"/>
  <c r="U91" i="8"/>
  <c r="W91" i="8" s="1"/>
  <c r="S91" i="8"/>
  <c r="V54" i="8"/>
  <c r="R54" i="8"/>
  <c r="S80" i="8"/>
  <c r="U80" i="8"/>
  <c r="W80" i="8" s="1"/>
  <c r="S65" i="8"/>
  <c r="V38" i="8"/>
  <c r="R38" i="8"/>
  <c r="V70" i="8"/>
  <c r="R70" i="8"/>
  <c r="S56" i="8"/>
  <c r="U56" i="8"/>
  <c r="W56" i="8" s="1"/>
  <c r="S23" i="6"/>
  <c r="U23" i="6"/>
  <c r="W23" i="6" s="1"/>
  <c r="U7" i="3"/>
  <c r="W7" i="3" s="1"/>
  <c r="S7" i="3"/>
  <c r="S17" i="8"/>
  <c r="V24" i="7"/>
  <c r="R24" i="7"/>
  <c r="S5" i="7"/>
  <c r="U5" i="7"/>
  <c r="W5" i="7" s="1"/>
  <c r="S13" i="5"/>
  <c r="U13" i="5"/>
  <c r="W13" i="5" s="1"/>
  <c r="S14" i="4"/>
  <c r="U14" i="4"/>
  <c r="W14" i="4" s="1"/>
  <c r="U5" i="6"/>
  <c r="W5" i="6" s="1"/>
  <c r="S5" i="6"/>
  <c r="U7" i="5"/>
  <c r="W7" i="5" s="1"/>
  <c r="S7" i="5"/>
  <c r="U8" i="4"/>
  <c r="W8" i="4" s="1"/>
  <c r="S8" i="4"/>
  <c r="S9" i="3"/>
  <c r="U9" i="3"/>
  <c r="W9" i="3" s="1"/>
  <c r="S44" i="8"/>
  <c r="U44" i="8"/>
  <c r="W44" i="8" s="1"/>
  <c r="U6" i="7"/>
  <c r="W6" i="7" s="1"/>
  <c r="S6" i="7"/>
  <c r="S64" i="8"/>
  <c r="U64" i="8"/>
  <c r="W64" i="8" s="1"/>
  <c r="R22" i="6"/>
  <c r="V22" i="6"/>
  <c r="U23" i="7"/>
  <c r="W23" i="7" s="1"/>
  <c r="S23" i="7"/>
  <c r="S23" i="5"/>
  <c r="V24" i="6"/>
  <c r="R24" i="6"/>
  <c r="V12" i="8"/>
  <c r="R12" i="8"/>
  <c r="S7" i="8"/>
  <c r="V16" i="7"/>
  <c r="R16" i="7"/>
  <c r="S21" i="6"/>
  <c r="U21" i="6"/>
  <c r="W21" i="6" s="1"/>
  <c r="S7" i="7"/>
  <c r="U7" i="7"/>
  <c r="W7" i="7" s="1"/>
  <c r="S9" i="5"/>
  <c r="U9" i="5"/>
  <c r="W9" i="5" s="1"/>
  <c r="S10" i="4"/>
  <c r="U10" i="4"/>
  <c r="W10" i="4" s="1"/>
  <c r="U19" i="5"/>
  <c r="W19" i="5" s="1"/>
  <c r="S19" i="5"/>
  <c r="U20" i="4"/>
  <c r="W20" i="4" s="1"/>
  <c r="S20" i="4"/>
  <c r="U13" i="7"/>
  <c r="W13" i="7" s="1"/>
  <c r="S13" i="7"/>
  <c r="V47" i="8"/>
  <c r="R47" i="8"/>
  <c r="U13" i="6"/>
  <c r="W13" i="6" s="1"/>
  <c r="S13" i="6"/>
  <c r="V34" i="8"/>
  <c r="R34" i="8"/>
  <c r="U75" i="8"/>
  <c r="W75" i="8" s="1"/>
  <c r="S75" i="8"/>
  <c r="U87" i="8"/>
  <c r="W87" i="8" s="1"/>
  <c r="S87" i="8"/>
  <c r="S84" i="8"/>
  <c r="U84" i="8"/>
  <c r="W84" i="8" s="1"/>
  <c r="V16" i="6"/>
  <c r="R16" i="6"/>
  <c r="S61" i="8"/>
  <c r="V66" i="8"/>
  <c r="R66" i="8"/>
  <c r="S49" i="8"/>
  <c r="V78" i="8"/>
  <c r="R78" i="8"/>
  <c r="S76" i="8"/>
  <c r="U76" i="8"/>
  <c r="W76" i="8" s="1"/>
  <c r="U21" i="7"/>
  <c r="W21" i="7" s="1"/>
  <c r="S21" i="7"/>
  <c r="V18" i="6"/>
  <c r="R18" i="6"/>
  <c r="U19" i="7"/>
  <c r="W19" i="7" s="1"/>
  <c r="S19" i="7"/>
  <c r="V16" i="8"/>
  <c r="R16" i="8"/>
  <c r="S11" i="8"/>
  <c r="U20" i="5"/>
  <c r="W20" i="5" s="1"/>
  <c r="S20" i="5"/>
  <c r="U21" i="4"/>
  <c r="W21" i="4" s="1"/>
  <c r="S21" i="4"/>
  <c r="S14" i="6"/>
  <c r="U14" i="6"/>
  <c r="W14" i="6" s="1"/>
  <c r="S6" i="4"/>
  <c r="U6" i="4"/>
  <c r="W6" i="4" s="1"/>
  <c r="U63" i="8"/>
  <c r="W63" i="8" s="1"/>
  <c r="S63" i="8"/>
  <c r="V94" i="8"/>
  <c r="R94" i="8"/>
  <c r="V8" i="8"/>
  <c r="R8" i="8"/>
  <c r="V24" i="8"/>
  <c r="R24" i="8"/>
  <c r="S89" i="8"/>
  <c r="U89" i="8"/>
  <c r="W89" i="8" s="1"/>
  <c r="S51" i="8"/>
  <c r="V90" i="8"/>
  <c r="R90" i="8"/>
  <c r="V58" i="8"/>
  <c r="R58" i="8"/>
  <c r="U71" i="8"/>
  <c r="W71" i="8" s="1"/>
  <c r="S71" i="8"/>
  <c r="S68" i="8"/>
  <c r="U68" i="8"/>
  <c r="W68" i="8" s="1"/>
  <c r="U9" i="7"/>
  <c r="W9" i="7" s="1"/>
  <c r="S9" i="7"/>
  <c r="U15" i="7"/>
  <c r="W15" i="7" s="1"/>
  <c r="S15" i="7"/>
  <c r="U19" i="3"/>
  <c r="W19" i="3" s="1"/>
  <c r="S19" i="3"/>
  <c r="V20" i="8"/>
  <c r="R20" i="8"/>
  <c r="S15" i="8"/>
  <c r="S31" i="8"/>
  <c r="S17" i="3"/>
  <c r="U17" i="3"/>
  <c r="W17" i="3" s="1"/>
  <c r="U5" i="4"/>
  <c r="W5" i="4" s="1"/>
  <c r="S5" i="4"/>
  <c r="S21" i="5"/>
  <c r="U21" i="5"/>
  <c r="W21" i="5" s="1"/>
  <c r="S5" i="5"/>
  <c r="U5" i="5"/>
  <c r="W5" i="5" s="1"/>
  <c r="S10" i="3"/>
  <c r="U10" i="3"/>
  <c r="W10" i="3" s="1"/>
  <c r="U15" i="5"/>
  <c r="W15" i="5" s="1"/>
  <c r="S15" i="5"/>
  <c r="U16" i="4"/>
  <c r="W16" i="4" s="1"/>
  <c r="S16" i="4"/>
  <c r="S6" i="6"/>
  <c r="U6" i="6"/>
  <c r="W6" i="6" s="1"/>
  <c r="S72" i="8"/>
  <c r="U72" i="8"/>
  <c r="W72" i="8" s="1"/>
  <c r="U40" i="8"/>
  <c r="W40" i="8" s="1"/>
  <c r="S40" i="8"/>
  <c r="U8" i="5"/>
  <c r="W8" i="5" s="1"/>
  <c r="S8" i="5"/>
  <c r="U9" i="4"/>
  <c r="W9" i="4" s="1"/>
  <c r="S9" i="4"/>
  <c r="V50" i="8"/>
  <c r="R50" i="8"/>
  <c r="S48" i="8"/>
  <c r="U48" i="8"/>
  <c r="W48" i="8" s="1"/>
  <c r="U83" i="8"/>
  <c r="W83" i="8" s="1"/>
  <c r="S83" i="8"/>
  <c r="S52" i="8"/>
  <c r="U52" i="8"/>
  <c r="W52" i="8" s="1"/>
  <c r="V62" i="8"/>
  <c r="R62" i="8"/>
  <c r="U95" i="8"/>
  <c r="W95" i="8" s="1"/>
  <c r="S95" i="8"/>
  <c r="U11" i="7"/>
  <c r="W11" i="7" s="1"/>
  <c r="S11" i="7"/>
  <c r="V46" i="8"/>
  <c r="R46" i="8"/>
  <c r="V20" i="6"/>
  <c r="R20" i="6"/>
  <c r="S19" i="8"/>
  <c r="S5" i="8"/>
  <c r="V20" i="7"/>
  <c r="R20" i="7"/>
  <c r="U16" i="5"/>
  <c r="W16" i="5" s="1"/>
  <c r="S16" i="5"/>
  <c r="U17" i="4"/>
  <c r="W17" i="4" s="1"/>
  <c r="S17" i="4"/>
  <c r="S13" i="3"/>
  <c r="U13" i="3"/>
  <c r="W13" i="3" s="1"/>
  <c r="S26" i="8"/>
  <c r="U26" i="8"/>
  <c r="W26" i="8" s="1"/>
  <c r="U8" i="6"/>
  <c r="W8" i="6" s="1"/>
  <c r="S8" i="6"/>
  <c r="W5" i="3"/>
  <c r="S5" i="3"/>
  <c r="S14" i="3"/>
  <c r="U14" i="3"/>
  <c r="W14" i="3" s="1"/>
  <c r="S10" i="6"/>
  <c r="U10" i="6"/>
  <c r="W10" i="6" s="1"/>
  <c r="S25" i="8"/>
  <c r="S17" i="5"/>
  <c r="U17" i="5"/>
  <c r="W17" i="5" s="1"/>
  <c r="S18" i="4"/>
  <c r="U18" i="4"/>
  <c r="W18" i="4" s="1"/>
  <c r="U11" i="5"/>
  <c r="W11" i="5" s="1"/>
  <c r="S11" i="5"/>
  <c r="U12" i="4"/>
  <c r="W12" i="4" s="1"/>
  <c r="S12" i="4"/>
  <c r="V12" i="3"/>
  <c r="R12" i="3"/>
  <c r="U11" i="3" l="1"/>
  <c r="W11" i="3" s="1"/>
  <c r="S15" i="6"/>
  <c r="U94" i="8"/>
  <c r="W94" i="8" s="1"/>
  <c r="S94" i="8"/>
  <c r="U20" i="7"/>
  <c r="W20" i="7" s="1"/>
  <c r="S20" i="7"/>
  <c r="U20" i="8"/>
  <c r="W20" i="8" s="1"/>
  <c r="S20" i="8"/>
  <c r="U18" i="6"/>
  <c r="W18" i="6" s="1"/>
  <c r="S18" i="6"/>
  <c r="U47" i="8"/>
  <c r="W47" i="8" s="1"/>
  <c r="S47" i="8"/>
  <c r="U16" i="7"/>
  <c r="W16" i="7" s="1"/>
  <c r="S16" i="7"/>
  <c r="U24" i="7"/>
  <c r="W24" i="7" s="1"/>
  <c r="S24" i="7"/>
  <c r="U54" i="8"/>
  <c r="W54" i="8" s="1"/>
  <c r="S54" i="8"/>
  <c r="U62" i="8"/>
  <c r="W62" i="8" s="1"/>
  <c r="S62" i="8"/>
  <c r="U66" i="8"/>
  <c r="W66" i="8" s="1"/>
  <c r="S66" i="8"/>
  <c r="U70" i="8"/>
  <c r="W70" i="8" s="1"/>
  <c r="S70" i="8"/>
  <c r="U42" i="8"/>
  <c r="W42" i="8" s="1"/>
  <c r="S42" i="8"/>
  <c r="U8" i="7"/>
  <c r="W8" i="7" s="1"/>
  <c r="S8" i="7"/>
  <c r="U24" i="8"/>
  <c r="W24" i="8" s="1"/>
  <c r="S24" i="8"/>
  <c r="U12" i="8"/>
  <c r="W12" i="8" s="1"/>
  <c r="S12" i="8"/>
  <c r="U22" i="6"/>
  <c r="W22" i="6" s="1"/>
  <c r="S22" i="6"/>
  <c r="U38" i="8"/>
  <c r="W38" i="8" s="1"/>
  <c r="S38" i="8"/>
  <c r="U8" i="3"/>
  <c r="W8" i="3" s="1"/>
  <c r="S8" i="3"/>
  <c r="U12" i="7"/>
  <c r="W12" i="7" s="1"/>
  <c r="S12" i="7"/>
  <c r="U20" i="6"/>
  <c r="W20" i="6" s="1"/>
  <c r="S20" i="6"/>
  <c r="U58" i="8"/>
  <c r="W58" i="8" s="1"/>
  <c r="S58" i="8"/>
  <c r="U16" i="8"/>
  <c r="W16" i="8" s="1"/>
  <c r="S16" i="8"/>
  <c r="U16" i="6"/>
  <c r="W16" i="6" s="1"/>
  <c r="S16" i="6"/>
  <c r="U34" i="8"/>
  <c r="W34" i="8" s="1"/>
  <c r="S34" i="8"/>
  <c r="U8" i="8"/>
  <c r="W8" i="8" s="1"/>
  <c r="S8" i="8"/>
  <c r="U24" i="6"/>
  <c r="W24" i="6" s="1"/>
  <c r="S24" i="6"/>
  <c r="U82" i="8"/>
  <c r="W82" i="8" s="1"/>
  <c r="S82" i="8"/>
  <c r="U50" i="8"/>
  <c r="W50" i="8" s="1"/>
  <c r="S50" i="8"/>
  <c r="U12" i="3"/>
  <c r="W12" i="3" s="1"/>
  <c r="S12" i="3"/>
  <c r="U46" i="8"/>
  <c r="W46" i="8" s="1"/>
  <c r="S46" i="8"/>
  <c r="U90" i="8"/>
  <c r="W90" i="8" s="1"/>
  <c r="S90" i="8"/>
  <c r="U78" i="8"/>
  <c r="W78" i="8" s="1"/>
  <c r="S78" i="8"/>
  <c r="U28" i="8"/>
  <c r="W28" i="8" s="1"/>
  <c r="S28" i="8"/>
  <c r="U74" i="8"/>
  <c r="W74" i="8" s="1"/>
  <c r="S74" i="8"/>
  <c r="U86" i="8"/>
  <c r="W86" i="8" s="1"/>
  <c r="S86" i="8"/>
</calcChain>
</file>

<file path=xl/sharedStrings.xml><?xml version="1.0" encoding="utf-8"?>
<sst xmlns="http://schemas.openxmlformats.org/spreadsheetml/2006/main" count="596" uniqueCount="186">
  <si>
    <t>PARÁMETROS GLOBALES – GLOBAL SOLUTIONS SpA</t>
  </si>
  <si>
    <t>Parámetro</t>
  </si>
  <si>
    <t>Valor</t>
  </si>
  <si>
    <t>Formato/Nota</t>
  </si>
  <si>
    <t>Rendimiento (km/lt)</t>
  </si>
  <si>
    <t>0.0</t>
  </si>
  <si>
    <t>Precio petróleo ($/lt)</t>
  </si>
  <si>
    <t>$#,##0</t>
  </si>
  <si>
    <t>Costos fijos ($/viaje)</t>
  </si>
  <si>
    <t>Peajes</t>
  </si>
  <si>
    <t>Ver columna Peajes por ruta</t>
  </si>
  <si>
    <t>Provisión mantención ($/viaje)</t>
  </si>
  <si>
    <t>Costo financiero (%)</t>
  </si>
  <si>
    <t>0.0%</t>
  </si>
  <si>
    <t>IVA (%)</t>
  </si>
  <si>
    <t>Sueldo base chofer ($/día)</t>
  </si>
  <si>
    <t>Comisión chofer (%tarifa orig)</t>
  </si>
  <si>
    <t>Dist. Coltauco–Casablanca</t>
  </si>
  <si>
    <t>#,##0</t>
  </si>
  <si>
    <t>Celdas azules sobre fondo amarillo = input editable. Cambiar aquí actualiza todos los modelos.</t>
  </si>
  <si>
    <t>TARIFAS PEAJE 2026 – CAMIÓN &gt;2 EJES – HORARIO NORMAL</t>
  </si>
  <si>
    <t>Plaza de Peaje</t>
  </si>
  <si>
    <t>Ruta</t>
  </si>
  <si>
    <t>Tramo</t>
  </si>
  <si>
    <t>Tarifa &gt;2 ejes</t>
  </si>
  <si>
    <t>Observación</t>
  </si>
  <si>
    <t>Ruta 68 – Lo Prado</t>
  </si>
  <si>
    <t>R68</t>
  </si>
  <si>
    <t>Casablanca ↔ Santiago</t>
  </si>
  <si>
    <t>$8.300</t>
  </si>
  <si>
    <t>Troncal. 2 troncales en el tramo completo</t>
  </si>
  <si>
    <t>Ruta 68 – Zapata</t>
  </si>
  <si>
    <t>Troncal. Se cobran ambos en la mayoría de destinos RM/V</t>
  </si>
  <si>
    <t>Ruta 68 – Lateral/Troncal Sur</t>
  </si>
  <si>
    <t>Ramales y accesos</t>
  </si>
  <si>
    <t>$3.400</t>
  </si>
  <si>
    <t>Tarifa única todo el día</t>
  </si>
  <si>
    <t>Ruta del Maipo – Angostura</t>
  </si>
  <si>
    <t>R5 Sur</t>
  </si>
  <si>
    <t>RM ↔ O'Higgins norte (km54)</t>
  </si>
  <si>
    <t>$12.200</t>
  </si>
  <si>
    <t>Lateral gratis al pagar troncal (6h)</t>
  </si>
  <si>
    <t>Ruta del Maipo – Quinta</t>
  </si>
  <si>
    <t>O'Higgins ↔ Maule norte (km162)</t>
  </si>
  <si>
    <t>Ruta del Maipo – Acc. Sur</t>
  </si>
  <si>
    <t>Acc. Sur</t>
  </si>
  <si>
    <t>Entrada sur Santiago</t>
  </si>
  <si>
    <t>$4.400</t>
  </si>
  <si>
    <t>Troncal Acceso Sur &gt;2 ejes</t>
  </si>
  <si>
    <t>Survías – Río Claro</t>
  </si>
  <si>
    <t>Maule sur / Talca (km220)</t>
  </si>
  <si>
    <t>$10.800</t>
  </si>
  <si>
    <t>Troncal Survías Talca-Chillán</t>
  </si>
  <si>
    <t>Survías – Retiro</t>
  </si>
  <si>
    <t>Maule sur / Parral (km323)</t>
  </si>
  <si>
    <t>Troncal Survías</t>
  </si>
  <si>
    <t>Ruta Sur – Santa Clara</t>
  </si>
  <si>
    <t>Ñuble / Bío Bío (km444)</t>
  </si>
  <si>
    <t>Troncal Ruta Sur</t>
  </si>
  <si>
    <t>REGIÓN METROPOLITANA – Base Casablanca | Retorno directo</t>
  </si>
  <si>
    <t>Verde=peaje real integrado | Naranja=tarifa nueva | Amarillo=input manual | Comisión=10% tarifa original</t>
  </si>
  <si>
    <t>Región</t>
  </si>
  <si>
    <t>Destino</t>
  </si>
  <si>
    <t>DISTANCIAS (km)</t>
  </si>
  <si>
    <t>Tarifa
Original ($)</t>
  </si>
  <si>
    <t>Comisión
Chofer 10% ($)</t>
  </si>
  <si>
    <t>Tarifa
Nueva ($)</t>
  </si>
  <si>
    <t>Tarifa
+IVA ($)</t>
  </si>
  <si>
    <t>Gasto
Petróleo ($)</t>
  </si>
  <si>
    <t>Costos
Fijos ($)</t>
  </si>
  <si>
    <t>Peajes
I+V ($)</t>
  </si>
  <si>
    <t>Costo
Financiero ($)</t>
  </si>
  <si>
    <t>Prov.
Mant. ($)</t>
  </si>
  <si>
    <t>Días
Chofer</t>
  </si>
  <si>
    <t>Sueldo
Base ($)</t>
  </si>
  <si>
    <t>Costo
Total ($)</t>
  </si>
  <si>
    <t>Costo/km
($)</t>
  </si>
  <si>
    <t>Tarifa/km
($)</t>
  </si>
  <si>
    <t>Margen
Op. ($)</t>
  </si>
  <si>
    <t>Margen
Bruto %</t>
  </si>
  <si>
    <t>Margen
Neto %</t>
  </si>
  <si>
    <t>Km Ida</t>
  </si>
  <si>
    <t>Km Vuelta</t>
  </si>
  <si>
    <t>Km Total</t>
  </si>
  <si>
    <t>RM</t>
  </si>
  <si>
    <t>ALHUE</t>
  </si>
  <si>
    <t>BUIN</t>
  </si>
  <si>
    <t>COLINA</t>
  </si>
  <si>
    <t>CURACAVI</t>
  </si>
  <si>
    <t>EL MONTE</t>
  </si>
  <si>
    <t>ISLA MAIPO</t>
  </si>
  <si>
    <t>LAMPA</t>
  </si>
  <si>
    <t>MARIA PINTO</t>
  </si>
  <si>
    <t>PAINE</t>
  </si>
  <si>
    <t>PEÑAFLOR</t>
  </si>
  <si>
    <t>POMAIRE</t>
  </si>
  <si>
    <t>SAN BERNARDO</t>
  </si>
  <si>
    <t>TALAGANTE</t>
  </si>
  <si>
    <t>TILTIL</t>
  </si>
  <si>
    <t>PADRE HURTADO</t>
  </si>
  <si>
    <t>REGIÓN DE VALPARAÍSO – Base Casablanca | Retorno directo</t>
  </si>
  <si>
    <t>V Valparaíso</t>
  </si>
  <si>
    <t>CABILDO</t>
  </si>
  <si>
    <t>CALLE LARGA</t>
  </si>
  <si>
    <t>CASABLANCA</t>
  </si>
  <si>
    <t>HIJUELA</t>
  </si>
  <si>
    <t>LA LIGUA</t>
  </si>
  <si>
    <t>LLAILLAY</t>
  </si>
  <si>
    <t>LOS ANDES</t>
  </si>
  <si>
    <t>PANQUEHUE</t>
  </si>
  <si>
    <t>PETORCA</t>
  </si>
  <si>
    <t>PUTAENDO</t>
  </si>
  <si>
    <t>QUILLOTA</t>
  </si>
  <si>
    <t>RINCONADA</t>
  </si>
  <si>
    <t>SAN ANTONIO</t>
  </si>
  <si>
    <t>SAN FELIPE</t>
  </si>
  <si>
    <t>SAN ESTEBAN</t>
  </si>
  <si>
    <t>SANTA MARIA</t>
  </si>
  <si>
    <t>VALPARAISO</t>
  </si>
  <si>
    <t>REGIÓN O'HIGGINS – Base Coltauco (vía Casablanca 188km)</t>
  </si>
  <si>
    <t>VI O'Higgins</t>
  </si>
  <si>
    <t>LITUECHE</t>
  </si>
  <si>
    <t>ROSARIO</t>
  </si>
  <si>
    <t>GRANEROS</t>
  </si>
  <si>
    <t>RANCAGUA</t>
  </si>
  <si>
    <t>LAS CABRAS</t>
  </si>
  <si>
    <t>PICHIDEGUA</t>
  </si>
  <si>
    <t>PEUMO</t>
  </si>
  <si>
    <t>REQUINOA</t>
  </si>
  <si>
    <t>MARCHIGUE</t>
  </si>
  <si>
    <t>PERALILLO</t>
  </si>
  <si>
    <t>RENGO</t>
  </si>
  <si>
    <t>SANTA CRUZ</t>
  </si>
  <si>
    <t>MALLOA</t>
  </si>
  <si>
    <t>SAN FERNANDO</t>
  </si>
  <si>
    <t>SAN VICENTE</t>
  </si>
  <si>
    <t>LOLOL</t>
  </si>
  <si>
    <t>CHIMBARONGO</t>
  </si>
  <si>
    <t>PLACILLA</t>
  </si>
  <si>
    <t>NANCAGUA</t>
  </si>
  <si>
    <t>REGIÓN DEL MAULE – Base Coltauco (vía Casablanca 188km)</t>
  </si>
  <si>
    <t>VII Maule</t>
  </si>
  <si>
    <t>TENO</t>
  </si>
  <si>
    <t>CURICO</t>
  </si>
  <si>
    <t>ROMERAL</t>
  </si>
  <si>
    <t>RAUCO</t>
  </si>
  <si>
    <t>MOLINA</t>
  </si>
  <si>
    <t>SAN RAFAEL</t>
  </si>
  <si>
    <t>RIO CLARO</t>
  </si>
  <si>
    <t>CUMPEO</t>
  </si>
  <si>
    <t>TALCA</t>
  </si>
  <si>
    <t>HUALAÑE</t>
  </si>
  <si>
    <t>PENCAHUE</t>
  </si>
  <si>
    <t>SAN CLEMENTE</t>
  </si>
  <si>
    <t>VILLA ALEGRE</t>
  </si>
  <si>
    <t>YERBAS BUENAS</t>
  </si>
  <si>
    <t>LINARES</t>
  </si>
  <si>
    <t>COLBUN</t>
  </si>
  <si>
    <t>LONGAVI</t>
  </si>
  <si>
    <t>RETIRO</t>
  </si>
  <si>
    <t>PARRAL</t>
  </si>
  <si>
    <t>CAUQUENES</t>
  </si>
  <si>
    <t>ÑUBLE Y BÍO BÍO – Base Coltauco (vía Casablanca 188km)</t>
  </si>
  <si>
    <t>Ñuble/BioBío</t>
  </si>
  <si>
    <t>SAN CARLOS</t>
  </si>
  <si>
    <t>CHILLAN</t>
  </si>
  <si>
    <t>SAN NICOLAS</t>
  </si>
  <si>
    <t>SAN IGNACIO</t>
  </si>
  <si>
    <t>COIHUECO</t>
  </si>
  <si>
    <t>BULNES</t>
  </si>
  <si>
    <t>EL CARMEN</t>
  </si>
  <si>
    <t>PEMUCO</t>
  </si>
  <si>
    <t>YUNGAY</t>
  </si>
  <si>
    <t>YUMBEL</t>
  </si>
  <si>
    <t>PENCO</t>
  </si>
  <si>
    <t>CONCEPCION</t>
  </si>
  <si>
    <t>TALCAHUANO</t>
  </si>
  <si>
    <t>HUALPEN</t>
  </si>
  <si>
    <t>LOS ANGELES</t>
  </si>
  <si>
    <t>CORONEL</t>
  </si>
  <si>
    <t>NACIMIENTO</t>
  </si>
  <si>
    <t>MULCHEN</t>
  </si>
  <si>
    <t>ANTUCO</t>
  </si>
  <si>
    <t>CAÑETE</t>
  </si>
  <si>
    <t>CONSOLIDADO TODAS LAS REGIONES – GLOBAL SOLUTIONS SpA</t>
  </si>
  <si>
    <t>Viatico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</si>
</sst>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777777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i/>
      <sz val="8"/>
      <color rgb="FF555555"/>
      <name val="Arial"/>
      <charset val="1"/>
    </font>
    <font>
      <b/>
      <sz val="8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0E6"/>
      </patternFill>
    </fill>
    <fill>
      <patternFill patternType="solid">
        <fgColor rgb="FF2E5F8A"/>
        <bgColor rgb="FF555555"/>
      </patternFill>
    </fill>
    <fill>
      <patternFill patternType="solid">
        <fgColor rgb="FFFFF0E6"/>
        <bgColor rgb="FFF2F2F2"/>
      </patternFill>
    </fill>
    <fill>
      <patternFill patternType="solid">
        <fgColor rgb="FFE2EFDA"/>
        <bgColor rgb="FFF2F2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3" borderId="1" xfId="0" applyNumberFormat="1" applyFont="1" applyFill="1" applyBorder="1"/>
    <xf numFmtId="0" fontId="5" fillId="0" borderId="1" xfId="0" applyFont="1" applyBorder="1"/>
    <xf numFmtId="165" fontId="4" fillId="3" borderId="1" xfId="0" applyNumberFormat="1" applyFont="1" applyFill="1" applyBorder="1"/>
    <xf numFmtId="0" fontId="4" fillId="3" borderId="1" xfId="0" applyFont="1" applyFill="1" applyBorder="1"/>
    <xf numFmtId="166" fontId="4" fillId="3" borderId="1" xfId="0" applyNumberFormat="1" applyFont="1" applyFill="1" applyBorder="1"/>
    <xf numFmtId="3" fontId="4" fillId="3" borderId="1" xfId="0" applyNumberFormat="1" applyFont="1" applyFill="1" applyBorder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6" fontId="8" fillId="4" borderId="1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0E6"/>
      <rgbColor rgb="FFF2F2F2"/>
      <rgbColor rgb="FF660066"/>
      <rgbColor rgb="FFFF8080"/>
      <rgbColor rgb="FF2E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Normal="100" workbookViewId="0">
      <selection activeCell="B6" sqref="B6"/>
    </sheetView>
  </sheetViews>
  <sheetFormatPr baseColWidth="10" defaultColWidth="8.6328125" defaultRowHeight="14.5" x14ac:dyDescent="0.35"/>
  <cols>
    <col min="1" max="1" width="30" customWidth="1"/>
    <col min="2" max="2" width="18" customWidth="1"/>
    <col min="3" max="3" width="28" customWidth="1"/>
  </cols>
  <sheetData>
    <row r="1" spans="1:3" ht="15" customHeight="1" x14ac:dyDescent="0.35">
      <c r="A1" s="6" t="s">
        <v>0</v>
      </c>
      <c r="B1" s="6"/>
      <c r="C1" s="6"/>
    </row>
    <row r="3" spans="1:3" x14ac:dyDescent="0.35">
      <c r="A3" s="7" t="s">
        <v>1</v>
      </c>
      <c r="B3" s="7" t="s">
        <v>2</v>
      </c>
      <c r="C3" s="7" t="s">
        <v>3</v>
      </c>
    </row>
    <row r="4" spans="1:3" x14ac:dyDescent="0.35">
      <c r="A4" s="8" t="s">
        <v>4</v>
      </c>
      <c r="B4" s="9">
        <v>2.5</v>
      </c>
      <c r="C4" s="10" t="s">
        <v>5</v>
      </c>
    </row>
    <row r="5" spans="1:3" x14ac:dyDescent="0.35">
      <c r="A5" s="8" t="s">
        <v>6</v>
      </c>
      <c r="B5" s="11">
        <v>1300</v>
      </c>
      <c r="C5" s="10" t="s">
        <v>7</v>
      </c>
    </row>
    <row r="6" spans="1:3" x14ac:dyDescent="0.35">
      <c r="A6" s="8" t="s">
        <v>8</v>
      </c>
      <c r="B6" s="11">
        <v>50000</v>
      </c>
      <c r="C6" s="10" t="s">
        <v>7</v>
      </c>
    </row>
    <row r="7" spans="1:3" x14ac:dyDescent="0.35">
      <c r="A7" s="8" t="s">
        <v>9</v>
      </c>
      <c r="B7" s="12" t="s">
        <v>10</v>
      </c>
      <c r="C7" s="10"/>
    </row>
    <row r="8" spans="1:3" x14ac:dyDescent="0.35">
      <c r="A8" s="8" t="s">
        <v>11</v>
      </c>
      <c r="B8" s="11">
        <v>30000</v>
      </c>
      <c r="C8" s="10" t="s">
        <v>7</v>
      </c>
    </row>
    <row r="9" spans="1:3" x14ac:dyDescent="0.35">
      <c r="A9" s="8" t="s">
        <v>12</v>
      </c>
      <c r="B9" s="13">
        <v>0.03</v>
      </c>
      <c r="C9" s="10" t="s">
        <v>13</v>
      </c>
    </row>
    <row r="10" spans="1:3" x14ac:dyDescent="0.35">
      <c r="A10" s="8" t="s">
        <v>14</v>
      </c>
      <c r="B10" s="13">
        <v>0.19</v>
      </c>
      <c r="C10" s="10" t="s">
        <v>13</v>
      </c>
    </row>
    <row r="11" spans="1:3" x14ac:dyDescent="0.35">
      <c r="A11" s="8" t="s">
        <v>15</v>
      </c>
      <c r="B11" s="11">
        <v>33000</v>
      </c>
      <c r="C11" s="10" t="s">
        <v>7</v>
      </c>
    </row>
    <row r="12" spans="1:3" x14ac:dyDescent="0.35">
      <c r="A12" s="8" t="s">
        <v>16</v>
      </c>
      <c r="B12" s="13">
        <v>0.1</v>
      </c>
      <c r="C12" s="10" t="s">
        <v>13</v>
      </c>
    </row>
    <row r="13" spans="1:3" x14ac:dyDescent="0.35">
      <c r="A13" s="8" t="s">
        <v>17</v>
      </c>
      <c r="B13" s="14">
        <v>188</v>
      </c>
      <c r="C13" s="10" t="s">
        <v>18</v>
      </c>
    </row>
    <row r="15" spans="1:3" x14ac:dyDescent="0.35">
      <c r="A15" s="5" t="s">
        <v>19</v>
      </c>
      <c r="B15" s="5"/>
      <c r="C15" s="5"/>
    </row>
  </sheetData>
  <mergeCells count="2">
    <mergeCell ref="A1:C1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selection activeCell="E6" sqref="E6"/>
    </sheetView>
  </sheetViews>
  <sheetFormatPr baseColWidth="10" defaultColWidth="8.6328125" defaultRowHeight="14.5" x14ac:dyDescent="0.35"/>
  <cols>
    <col min="1" max="1" width="28" customWidth="1"/>
    <col min="2" max="2" width="10" customWidth="1"/>
    <col min="3" max="3" width="28" customWidth="1"/>
    <col min="4" max="4" width="14" customWidth="1"/>
    <col min="5" max="5" width="42" customWidth="1"/>
  </cols>
  <sheetData>
    <row r="1" spans="1:5" ht="15" customHeight="1" x14ac:dyDescent="0.35">
      <c r="A1" s="4" t="s">
        <v>20</v>
      </c>
      <c r="B1" s="4"/>
      <c r="C1" s="4"/>
      <c r="D1" s="4"/>
      <c r="E1" s="4"/>
    </row>
    <row r="3" spans="1:5" x14ac:dyDescent="0.35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</row>
    <row r="4" spans="1:5" x14ac:dyDescent="0.35">
      <c r="A4" s="15" t="s">
        <v>26</v>
      </c>
      <c r="B4" s="16" t="s">
        <v>27</v>
      </c>
      <c r="C4" s="15" t="s">
        <v>28</v>
      </c>
      <c r="D4" s="17" t="s">
        <v>29</v>
      </c>
      <c r="E4" s="15" t="s">
        <v>30</v>
      </c>
    </row>
    <row r="5" spans="1:5" x14ac:dyDescent="0.35">
      <c r="A5" s="18" t="s">
        <v>31</v>
      </c>
      <c r="B5" s="19" t="s">
        <v>27</v>
      </c>
      <c r="C5" s="18" t="s">
        <v>28</v>
      </c>
      <c r="D5" s="20" t="s">
        <v>29</v>
      </c>
      <c r="E5" s="18" t="s">
        <v>32</v>
      </c>
    </row>
    <row r="6" spans="1:5" x14ac:dyDescent="0.35">
      <c r="A6" s="15" t="s">
        <v>33</v>
      </c>
      <c r="B6" s="16" t="s">
        <v>27</v>
      </c>
      <c r="C6" s="15" t="s">
        <v>34</v>
      </c>
      <c r="D6" s="17" t="s">
        <v>35</v>
      </c>
      <c r="E6" s="15" t="s">
        <v>36</v>
      </c>
    </row>
    <row r="7" spans="1:5" x14ac:dyDescent="0.35">
      <c r="A7" s="18" t="s">
        <v>37</v>
      </c>
      <c r="B7" s="19" t="s">
        <v>38</v>
      </c>
      <c r="C7" s="18" t="s">
        <v>39</v>
      </c>
      <c r="D7" s="20" t="s">
        <v>40</v>
      </c>
      <c r="E7" s="18" t="s">
        <v>41</v>
      </c>
    </row>
    <row r="8" spans="1:5" x14ac:dyDescent="0.35">
      <c r="A8" s="15" t="s">
        <v>42</v>
      </c>
      <c r="B8" s="16" t="s">
        <v>38</v>
      </c>
      <c r="C8" s="15" t="s">
        <v>43</v>
      </c>
      <c r="D8" s="17" t="s">
        <v>40</v>
      </c>
      <c r="E8" s="15" t="s">
        <v>41</v>
      </c>
    </row>
    <row r="9" spans="1:5" x14ac:dyDescent="0.35">
      <c r="A9" s="18" t="s">
        <v>44</v>
      </c>
      <c r="B9" s="19" t="s">
        <v>45</v>
      </c>
      <c r="C9" s="18" t="s">
        <v>46</v>
      </c>
      <c r="D9" s="20" t="s">
        <v>47</v>
      </c>
      <c r="E9" s="18" t="s">
        <v>48</v>
      </c>
    </row>
    <row r="10" spans="1:5" x14ac:dyDescent="0.35">
      <c r="A10" s="15" t="s">
        <v>49</v>
      </c>
      <c r="B10" s="16" t="s">
        <v>38</v>
      </c>
      <c r="C10" s="15" t="s">
        <v>50</v>
      </c>
      <c r="D10" s="17" t="s">
        <v>51</v>
      </c>
      <c r="E10" s="15" t="s">
        <v>52</v>
      </c>
    </row>
    <row r="11" spans="1:5" x14ac:dyDescent="0.35">
      <c r="A11" s="18" t="s">
        <v>53</v>
      </c>
      <c r="B11" s="19" t="s">
        <v>38</v>
      </c>
      <c r="C11" s="18" t="s">
        <v>54</v>
      </c>
      <c r="D11" s="20" t="s">
        <v>51</v>
      </c>
      <c r="E11" s="18" t="s">
        <v>55</v>
      </c>
    </row>
    <row r="12" spans="1:5" x14ac:dyDescent="0.35">
      <c r="A12" s="15" t="s">
        <v>56</v>
      </c>
      <c r="B12" s="16" t="s">
        <v>38</v>
      </c>
      <c r="C12" s="15" t="s">
        <v>57</v>
      </c>
      <c r="D12" s="17" t="s">
        <v>51</v>
      </c>
      <c r="E12" s="15" t="s">
        <v>58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zoomScaleNormal="100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U8" sqref="U8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84</v>
      </c>
      <c r="B5" s="22" t="s">
        <v>85</v>
      </c>
      <c r="C5" s="23">
        <v>75</v>
      </c>
      <c r="D5" s="23">
        <v>75</v>
      </c>
      <c r="E5" s="24">
        <f t="shared" ref="E5:E19" si="0">C5+D5</f>
        <v>150</v>
      </c>
      <c r="F5" s="25">
        <v>300000</v>
      </c>
      <c r="G5" s="25">
        <f>F5*Parámetros!$B$12</f>
        <v>30000</v>
      </c>
      <c r="H5" s="25">
        <v>12000</v>
      </c>
      <c r="I5" s="26">
        <v>354000</v>
      </c>
      <c r="J5" s="25">
        <f>I5*(1+Parámetros!$B$10)</f>
        <v>421260</v>
      </c>
      <c r="K5" s="25">
        <f>E5/Parámetros!$B$4*Parámetros!$B$5</f>
        <v>78000</v>
      </c>
      <c r="L5" s="25">
        <f>Parámetros!$B$6</f>
        <v>50000</v>
      </c>
      <c r="M5" s="27">
        <v>0</v>
      </c>
      <c r="N5" s="25">
        <f>J5*Parámetros!$B$9</f>
        <v>12637.8</v>
      </c>
      <c r="O5" s="25">
        <f>Parámetros!$B$8</f>
        <v>30000</v>
      </c>
      <c r="P5" s="28">
        <v>1</v>
      </c>
      <c r="Q5" s="25">
        <f>IF(P5="",0,P5*Parámetros!$B$11)</f>
        <v>33000</v>
      </c>
      <c r="R5" s="29">
        <f>K5+L5+M5+N5+O5+Q5</f>
        <v>203637.8</v>
      </c>
      <c r="S5" s="25">
        <f t="shared" ref="S5:S19" si="1">IF(E5=0,"",R5/E5)</f>
        <v>1357.5853333333332</v>
      </c>
      <c r="T5" s="25">
        <f t="shared" ref="T5:T19" si="2">IF(E5=0,"",I5/E5)</f>
        <v>2360</v>
      </c>
      <c r="U5" s="25">
        <f>I5-R5</f>
        <v>150362.20000000001</v>
      </c>
      <c r="V5" s="30">
        <f t="shared" ref="V5:V19" si="3">IF(I5=0,"",(I5-K5-L5-M5-O5)/I5)</f>
        <v>0.5536723163841808</v>
      </c>
      <c r="W5" s="30">
        <f t="shared" ref="W5:W19" si="4">IF(I5=0,"",U5/I5)</f>
        <v>0.42475197740112997</v>
      </c>
    </row>
    <row r="6" spans="1:23" x14ac:dyDescent="0.35">
      <c r="A6" s="15" t="s">
        <v>84</v>
      </c>
      <c r="B6" s="31" t="s">
        <v>86</v>
      </c>
      <c r="C6" s="32">
        <v>88</v>
      </c>
      <c r="D6" s="32">
        <v>88</v>
      </c>
      <c r="E6" s="33">
        <f t="shared" si="0"/>
        <v>176</v>
      </c>
      <c r="F6" s="34">
        <v>300000</v>
      </c>
      <c r="G6" s="34">
        <f>F6*Parámetros!$B$12</f>
        <v>30000</v>
      </c>
      <c r="H6" s="34">
        <v>12000</v>
      </c>
      <c r="I6" s="26">
        <v>354000</v>
      </c>
      <c r="J6" s="34">
        <f>I6*(1+Parámetros!$B$10)</f>
        <v>421260</v>
      </c>
      <c r="K6" s="34">
        <f>E6/Parámetros!$B$4*Parámetros!$B$5</f>
        <v>91520.000000000015</v>
      </c>
      <c r="L6" s="34">
        <f>Parámetros!$B$6</f>
        <v>50000</v>
      </c>
      <c r="M6" s="27">
        <v>20000</v>
      </c>
      <c r="N6" s="34">
        <f>J6*Parámetros!$B$9</f>
        <v>12637.8</v>
      </c>
      <c r="O6" s="34">
        <f>Parámetros!$B$8</f>
        <v>30000</v>
      </c>
      <c r="P6" s="28">
        <v>1</v>
      </c>
      <c r="Q6" s="34">
        <f>IF(P6="",0,P6*Parámetros!$B$11)</f>
        <v>33000</v>
      </c>
      <c r="R6" s="35">
        <f t="shared" ref="R5:R19" si="5">K6+L6+M6+N6+O6+Q6</f>
        <v>237157.8</v>
      </c>
      <c r="S6" s="34">
        <f t="shared" si="1"/>
        <v>1347.4875</v>
      </c>
      <c r="T6" s="34">
        <f t="shared" si="2"/>
        <v>2011.3636363636363</v>
      </c>
      <c r="U6" s="34">
        <f t="shared" ref="U5:U19" si="6">I6-R6</f>
        <v>116842.20000000001</v>
      </c>
      <c r="V6" s="36">
        <f t="shared" si="3"/>
        <v>0.45898305084745761</v>
      </c>
      <c r="W6" s="36">
        <f t="shared" si="4"/>
        <v>0.33006271186440683</v>
      </c>
    </row>
    <row r="7" spans="1:23" x14ac:dyDescent="0.35">
      <c r="A7" s="18" t="s">
        <v>84</v>
      </c>
      <c r="B7" s="22" t="s">
        <v>87</v>
      </c>
      <c r="C7" s="23">
        <v>93</v>
      </c>
      <c r="D7" s="23">
        <v>93</v>
      </c>
      <c r="E7" s="24">
        <f t="shared" si="0"/>
        <v>186</v>
      </c>
      <c r="F7" s="25">
        <v>300000</v>
      </c>
      <c r="G7" s="25">
        <f>F7*Parámetros!$B$12</f>
        <v>30000</v>
      </c>
      <c r="H7" s="25">
        <v>12000</v>
      </c>
      <c r="I7" s="26">
        <v>354000</v>
      </c>
      <c r="J7" s="25">
        <f>I7*(1+Parámetros!$B$10)</f>
        <v>421260</v>
      </c>
      <c r="K7" s="25">
        <f>E7/Parámetros!$B$4*Parámetros!$B$5</f>
        <v>96720.000000000015</v>
      </c>
      <c r="L7" s="25">
        <f>Parámetros!$B$6</f>
        <v>50000</v>
      </c>
      <c r="M7" s="27">
        <v>33200</v>
      </c>
      <c r="N7" s="25">
        <f>J7*Parámetros!$B$9</f>
        <v>12637.8</v>
      </c>
      <c r="O7" s="25">
        <f>Parámetros!$B$8</f>
        <v>30000</v>
      </c>
      <c r="P7" s="28">
        <v>1</v>
      </c>
      <c r="Q7" s="25">
        <f>IF(P7="",0,P7*Parámetros!$B$11)</f>
        <v>33000</v>
      </c>
      <c r="R7" s="29">
        <f t="shared" si="5"/>
        <v>255557.8</v>
      </c>
      <c r="S7" s="25">
        <f t="shared" si="1"/>
        <v>1373.9666666666667</v>
      </c>
      <c r="T7" s="25">
        <f t="shared" si="2"/>
        <v>1903.2258064516129</v>
      </c>
      <c r="U7" s="25">
        <f t="shared" si="6"/>
        <v>98442.200000000012</v>
      </c>
      <c r="V7" s="30">
        <f t="shared" si="3"/>
        <v>0.40700564971751413</v>
      </c>
      <c r="W7" s="30">
        <f t="shared" si="4"/>
        <v>0.2780853107344633</v>
      </c>
    </row>
    <row r="8" spans="1:23" x14ac:dyDescent="0.35">
      <c r="A8" s="15" t="s">
        <v>84</v>
      </c>
      <c r="B8" s="31" t="s">
        <v>88</v>
      </c>
      <c r="C8" s="32">
        <v>34</v>
      </c>
      <c r="D8" s="32">
        <v>34</v>
      </c>
      <c r="E8" s="33">
        <f t="shared" si="0"/>
        <v>68</v>
      </c>
      <c r="F8" s="34">
        <v>280000</v>
      </c>
      <c r="G8" s="34">
        <f>F8*Parámetros!$B$12</f>
        <v>28000</v>
      </c>
      <c r="H8" s="34">
        <v>12000</v>
      </c>
      <c r="I8" s="26">
        <v>330400</v>
      </c>
      <c r="J8" s="34">
        <f>I8*(1+Parámetros!$B$10)</f>
        <v>393176</v>
      </c>
      <c r="K8" s="34">
        <f>E8/Parámetros!$B$4*Parámetros!$B$5</f>
        <v>35360</v>
      </c>
      <c r="L8" s="34">
        <f>Parámetros!$B$6</f>
        <v>50000</v>
      </c>
      <c r="M8" s="27">
        <v>0</v>
      </c>
      <c r="N8" s="34">
        <f>J8*Parámetros!$B$9</f>
        <v>11795.279999999999</v>
      </c>
      <c r="O8" s="34">
        <f>Parámetros!$B$8</f>
        <v>30000</v>
      </c>
      <c r="P8" s="28">
        <v>1</v>
      </c>
      <c r="Q8" s="34">
        <f>IF(P8="",0,P8*Parámetros!$B$11)</f>
        <v>33000</v>
      </c>
      <c r="R8" s="35">
        <f t="shared" si="5"/>
        <v>160155.28</v>
      </c>
      <c r="S8" s="34">
        <f t="shared" si="1"/>
        <v>2355.2247058823527</v>
      </c>
      <c r="T8" s="34">
        <f t="shared" si="2"/>
        <v>4858.8235294117649</v>
      </c>
      <c r="U8" s="34">
        <f t="shared" si="6"/>
        <v>170244.72</v>
      </c>
      <c r="V8" s="36">
        <f t="shared" si="3"/>
        <v>0.6508474576271186</v>
      </c>
      <c r="W8" s="36">
        <f t="shared" si="4"/>
        <v>0.51526852300242132</v>
      </c>
    </row>
    <row r="9" spans="1:23" x14ac:dyDescent="0.35">
      <c r="A9" s="18" t="s">
        <v>84</v>
      </c>
      <c r="B9" s="22" t="s">
        <v>89</v>
      </c>
      <c r="C9" s="23">
        <v>75</v>
      </c>
      <c r="D9" s="23">
        <v>75</v>
      </c>
      <c r="E9" s="24">
        <f t="shared" si="0"/>
        <v>150</v>
      </c>
      <c r="F9" s="25">
        <v>300000</v>
      </c>
      <c r="G9" s="25">
        <f>F9*Parámetros!$B$12</f>
        <v>30000</v>
      </c>
      <c r="H9" s="25">
        <v>12000</v>
      </c>
      <c r="I9" s="26">
        <v>354000</v>
      </c>
      <c r="J9" s="25">
        <f>I9*(1+Parámetros!$B$10)</f>
        <v>421260</v>
      </c>
      <c r="K9" s="25">
        <f>E9/Parámetros!$B$4*Parámetros!$B$5</f>
        <v>78000</v>
      </c>
      <c r="L9" s="25">
        <f>Parámetros!$B$6</f>
        <v>50000</v>
      </c>
      <c r="M9" s="27">
        <v>33200</v>
      </c>
      <c r="N9" s="25">
        <f>J9*Parámetros!$B$9</f>
        <v>12637.8</v>
      </c>
      <c r="O9" s="25">
        <f>Parámetros!$B$8</f>
        <v>30000</v>
      </c>
      <c r="P9" s="28">
        <v>1</v>
      </c>
      <c r="Q9" s="25">
        <f>IF(P9="",0,P9*Parámetros!$B$11)</f>
        <v>33000</v>
      </c>
      <c r="R9" s="29">
        <f t="shared" si="5"/>
        <v>236837.8</v>
      </c>
      <c r="S9" s="25">
        <f t="shared" si="1"/>
        <v>1578.9186666666667</v>
      </c>
      <c r="T9" s="25">
        <f t="shared" si="2"/>
        <v>2360</v>
      </c>
      <c r="U9" s="25">
        <f t="shared" si="6"/>
        <v>117162.20000000001</v>
      </c>
      <c r="V9" s="30">
        <f t="shared" si="3"/>
        <v>0.45988700564971752</v>
      </c>
      <c r="W9" s="30">
        <f t="shared" si="4"/>
        <v>0.33096666666666669</v>
      </c>
    </row>
    <row r="10" spans="1:23" x14ac:dyDescent="0.35">
      <c r="A10" s="15" t="s">
        <v>84</v>
      </c>
      <c r="B10" s="31" t="s">
        <v>90</v>
      </c>
      <c r="C10" s="32">
        <v>75</v>
      </c>
      <c r="D10" s="32">
        <v>75</v>
      </c>
      <c r="E10" s="33">
        <f t="shared" si="0"/>
        <v>150</v>
      </c>
      <c r="F10" s="34">
        <v>300000</v>
      </c>
      <c r="G10" s="34">
        <f>F10*Parámetros!$B$12</f>
        <v>30000</v>
      </c>
      <c r="H10" s="34">
        <v>12000</v>
      </c>
      <c r="I10" s="26">
        <v>354000</v>
      </c>
      <c r="J10" s="34">
        <f>I10*(1+Parámetros!$B$10)</f>
        <v>421260</v>
      </c>
      <c r="K10" s="34">
        <f>E10/Parámetros!$B$4*Parámetros!$B$5</f>
        <v>78000</v>
      </c>
      <c r="L10" s="34">
        <f>Parámetros!$B$6</f>
        <v>50000</v>
      </c>
      <c r="M10" s="27">
        <v>33200</v>
      </c>
      <c r="N10" s="34">
        <f>J10*Parámetros!$B$9</f>
        <v>12637.8</v>
      </c>
      <c r="O10" s="34">
        <f>Parámetros!$B$8</f>
        <v>30000</v>
      </c>
      <c r="P10" s="28">
        <v>1</v>
      </c>
      <c r="Q10" s="34">
        <f>IF(P10="",0,P10*Parámetros!$B$11)</f>
        <v>33000</v>
      </c>
      <c r="R10" s="35">
        <f t="shared" si="5"/>
        <v>236837.8</v>
      </c>
      <c r="S10" s="34">
        <f t="shared" si="1"/>
        <v>1578.9186666666667</v>
      </c>
      <c r="T10" s="34">
        <f t="shared" si="2"/>
        <v>2360</v>
      </c>
      <c r="U10" s="34">
        <f t="shared" si="6"/>
        <v>117162.20000000001</v>
      </c>
      <c r="V10" s="36">
        <f t="shared" si="3"/>
        <v>0.45988700564971752</v>
      </c>
      <c r="W10" s="36">
        <f t="shared" si="4"/>
        <v>0.33096666666666669</v>
      </c>
    </row>
    <row r="11" spans="1:23" x14ac:dyDescent="0.35">
      <c r="A11" s="18" t="s">
        <v>84</v>
      </c>
      <c r="B11" s="22" t="s">
        <v>91</v>
      </c>
      <c r="C11" s="23">
        <v>93</v>
      </c>
      <c r="D11" s="23">
        <v>93</v>
      </c>
      <c r="E11" s="24">
        <f t="shared" si="0"/>
        <v>186</v>
      </c>
      <c r="F11" s="25">
        <v>280000</v>
      </c>
      <c r="G11" s="25">
        <f>F11*Parámetros!$B$12</f>
        <v>28000</v>
      </c>
      <c r="H11" s="25">
        <v>12000</v>
      </c>
      <c r="I11" s="26">
        <v>330400</v>
      </c>
      <c r="J11" s="25">
        <f>I11*(1+Parámetros!$B$10)</f>
        <v>393176</v>
      </c>
      <c r="K11" s="25">
        <f>E11/Parámetros!$B$4*Parámetros!$B$5</f>
        <v>96720.000000000015</v>
      </c>
      <c r="L11" s="25">
        <f>Parámetros!$B$6</f>
        <v>50000</v>
      </c>
      <c r="M11" s="27">
        <v>33200</v>
      </c>
      <c r="N11" s="25">
        <f>J11*Parámetros!$B$9</f>
        <v>11795.279999999999</v>
      </c>
      <c r="O11" s="25">
        <f>Parámetros!$B$8</f>
        <v>30000</v>
      </c>
      <c r="P11" s="28">
        <v>1</v>
      </c>
      <c r="Q11" s="25">
        <f>IF(P11="",0,P11*Parámetros!$B$11)</f>
        <v>33000</v>
      </c>
      <c r="R11" s="29">
        <f t="shared" si="5"/>
        <v>254715.28</v>
      </c>
      <c r="S11" s="25">
        <f t="shared" si="1"/>
        <v>1369.4369892473119</v>
      </c>
      <c r="T11" s="25">
        <f t="shared" si="2"/>
        <v>1776.3440860215053</v>
      </c>
      <c r="U11" s="25">
        <f t="shared" si="6"/>
        <v>75684.72</v>
      </c>
      <c r="V11" s="30">
        <f t="shared" si="3"/>
        <v>0.36464891041162228</v>
      </c>
      <c r="W11" s="30">
        <f t="shared" si="4"/>
        <v>0.22906997578692495</v>
      </c>
    </row>
    <row r="12" spans="1:23" x14ac:dyDescent="0.35">
      <c r="A12" s="15" t="s">
        <v>84</v>
      </c>
      <c r="B12" s="31" t="s">
        <v>92</v>
      </c>
      <c r="C12" s="32">
        <v>56</v>
      </c>
      <c r="D12" s="32">
        <v>56</v>
      </c>
      <c r="E12" s="33">
        <f t="shared" si="0"/>
        <v>112</v>
      </c>
      <c r="F12" s="34">
        <v>280000</v>
      </c>
      <c r="G12" s="34">
        <f>F12*Parámetros!$B$12</f>
        <v>28000</v>
      </c>
      <c r="H12" s="34">
        <v>12000</v>
      </c>
      <c r="I12" s="26">
        <v>330400</v>
      </c>
      <c r="J12" s="34">
        <f>I12*(1+Parámetros!$B$10)</f>
        <v>393176</v>
      </c>
      <c r="K12" s="34">
        <f>E12/Parámetros!$B$4*Parámetros!$B$5</f>
        <v>58239.999999999993</v>
      </c>
      <c r="L12" s="34">
        <f>Parámetros!$B$6</f>
        <v>50000</v>
      </c>
      <c r="M12" s="27">
        <v>0</v>
      </c>
      <c r="N12" s="34">
        <f>J12*Parámetros!$B$9</f>
        <v>11795.279999999999</v>
      </c>
      <c r="O12" s="34">
        <f>Parámetros!$B$8</f>
        <v>30000</v>
      </c>
      <c r="P12" s="28">
        <v>1</v>
      </c>
      <c r="Q12" s="34">
        <f>IF(P12="",0,P12*Parámetros!$B$11)</f>
        <v>33000</v>
      </c>
      <c r="R12" s="35">
        <f t="shared" si="5"/>
        <v>183035.28</v>
      </c>
      <c r="S12" s="34">
        <f t="shared" si="1"/>
        <v>1634.2435714285714</v>
      </c>
      <c r="T12" s="34">
        <f t="shared" si="2"/>
        <v>2950</v>
      </c>
      <c r="U12" s="34">
        <f t="shared" si="6"/>
        <v>147364.72</v>
      </c>
      <c r="V12" s="36">
        <f t="shared" si="3"/>
        <v>0.58159806295399519</v>
      </c>
      <c r="W12" s="36">
        <f t="shared" si="4"/>
        <v>0.4460191283292978</v>
      </c>
    </row>
    <row r="13" spans="1:23" x14ac:dyDescent="0.35">
      <c r="A13" s="18" t="s">
        <v>84</v>
      </c>
      <c r="B13" s="22" t="s">
        <v>93</v>
      </c>
      <c r="C13" s="23">
        <v>88</v>
      </c>
      <c r="D13" s="23">
        <v>88</v>
      </c>
      <c r="E13" s="24">
        <f t="shared" si="0"/>
        <v>176</v>
      </c>
      <c r="F13" s="25">
        <v>300000</v>
      </c>
      <c r="G13" s="25">
        <f>F13*Parámetros!$B$12</f>
        <v>30000</v>
      </c>
      <c r="H13" s="25">
        <v>12000</v>
      </c>
      <c r="I13" s="26">
        <v>354000</v>
      </c>
      <c r="J13" s="25">
        <f>I13*(1+Parámetros!$B$10)</f>
        <v>421260</v>
      </c>
      <c r="K13" s="25">
        <f>E13/Parámetros!$B$4*Parámetros!$B$5</f>
        <v>91520.000000000015</v>
      </c>
      <c r="L13" s="25">
        <f>Parámetros!$B$6</f>
        <v>50000</v>
      </c>
      <c r="M13" s="27">
        <v>39800</v>
      </c>
      <c r="N13" s="25">
        <f>J13*Parámetros!$B$9</f>
        <v>12637.8</v>
      </c>
      <c r="O13" s="25">
        <f>Parámetros!$B$8</f>
        <v>30000</v>
      </c>
      <c r="P13" s="28">
        <v>1</v>
      </c>
      <c r="Q13" s="25">
        <f>IF(P13="",0,P13*Parámetros!$B$11)</f>
        <v>33000</v>
      </c>
      <c r="R13" s="29">
        <f t="shared" si="5"/>
        <v>256957.8</v>
      </c>
      <c r="S13" s="25">
        <f t="shared" si="1"/>
        <v>1459.9875</v>
      </c>
      <c r="T13" s="25">
        <f t="shared" si="2"/>
        <v>2011.3636363636363</v>
      </c>
      <c r="U13" s="25">
        <f t="shared" si="6"/>
        <v>97042.200000000012</v>
      </c>
      <c r="V13" s="30">
        <f t="shared" si="3"/>
        <v>0.40305084745762709</v>
      </c>
      <c r="W13" s="30">
        <f t="shared" si="4"/>
        <v>0.27413050847457632</v>
      </c>
    </row>
    <row r="14" spans="1:23" x14ac:dyDescent="0.35">
      <c r="A14" s="15" t="s">
        <v>84</v>
      </c>
      <c r="B14" s="31" t="s">
        <v>94</v>
      </c>
      <c r="C14" s="32">
        <v>75</v>
      </c>
      <c r="D14" s="32">
        <v>75</v>
      </c>
      <c r="E14" s="33">
        <f t="shared" si="0"/>
        <v>150</v>
      </c>
      <c r="F14" s="34">
        <v>300000</v>
      </c>
      <c r="G14" s="34">
        <f>F14*Parámetros!$B$12</f>
        <v>30000</v>
      </c>
      <c r="H14" s="34">
        <v>12000</v>
      </c>
      <c r="I14" s="26">
        <v>354000</v>
      </c>
      <c r="J14" s="34">
        <f>I14*(1+Parámetros!$B$10)</f>
        <v>421260</v>
      </c>
      <c r="K14" s="34">
        <f>E14/Parámetros!$B$4*Parámetros!$B$5</f>
        <v>78000</v>
      </c>
      <c r="L14" s="34">
        <f>Parámetros!$B$6</f>
        <v>50000</v>
      </c>
      <c r="M14" s="27">
        <v>33200</v>
      </c>
      <c r="N14" s="34">
        <f>J14*Parámetros!$B$9</f>
        <v>12637.8</v>
      </c>
      <c r="O14" s="34">
        <f>Parámetros!$B$8</f>
        <v>30000</v>
      </c>
      <c r="P14" s="28">
        <v>1</v>
      </c>
      <c r="Q14" s="34">
        <f>IF(P14="",0,P14*Parámetros!$B$11)</f>
        <v>33000</v>
      </c>
      <c r="R14" s="35">
        <f t="shared" si="5"/>
        <v>236837.8</v>
      </c>
      <c r="S14" s="34">
        <f t="shared" si="1"/>
        <v>1578.9186666666667</v>
      </c>
      <c r="T14" s="34">
        <f t="shared" si="2"/>
        <v>2360</v>
      </c>
      <c r="U14" s="34">
        <f t="shared" si="6"/>
        <v>117162.20000000001</v>
      </c>
      <c r="V14" s="36">
        <f t="shared" si="3"/>
        <v>0.45988700564971752</v>
      </c>
      <c r="W14" s="36">
        <f t="shared" si="4"/>
        <v>0.33096666666666669</v>
      </c>
    </row>
    <row r="15" spans="1:23" x14ac:dyDescent="0.35">
      <c r="A15" s="18" t="s">
        <v>84</v>
      </c>
      <c r="B15" s="22" t="s">
        <v>95</v>
      </c>
      <c r="C15" s="23">
        <v>87</v>
      </c>
      <c r="D15" s="23">
        <v>87</v>
      </c>
      <c r="E15" s="24">
        <f t="shared" si="0"/>
        <v>174</v>
      </c>
      <c r="F15" s="25">
        <v>280000</v>
      </c>
      <c r="G15" s="25">
        <f>F15*Parámetros!$B$12</f>
        <v>28000</v>
      </c>
      <c r="H15" s="25">
        <v>12000</v>
      </c>
      <c r="I15" s="26">
        <v>330400</v>
      </c>
      <c r="J15" s="25">
        <f>I15*(1+Parámetros!$B$10)</f>
        <v>393176</v>
      </c>
      <c r="K15" s="25">
        <f>E15/Parámetros!$B$4*Parámetros!$B$5</f>
        <v>90479.999999999985</v>
      </c>
      <c r="L15" s="25">
        <f>Parámetros!$B$6</f>
        <v>50000</v>
      </c>
      <c r="M15" s="27">
        <v>0</v>
      </c>
      <c r="N15" s="25">
        <f>J15*Parámetros!$B$9</f>
        <v>11795.279999999999</v>
      </c>
      <c r="O15" s="25">
        <f>Parámetros!$B$8</f>
        <v>30000</v>
      </c>
      <c r="P15" s="28">
        <v>1</v>
      </c>
      <c r="Q15" s="25">
        <f>IF(P15="",0,P15*Parámetros!$B$11)</f>
        <v>33000</v>
      </c>
      <c r="R15" s="29">
        <f t="shared" si="5"/>
        <v>215275.28</v>
      </c>
      <c r="S15" s="25">
        <f t="shared" si="1"/>
        <v>1237.2142528735633</v>
      </c>
      <c r="T15" s="25">
        <f t="shared" si="2"/>
        <v>1898.8505747126437</v>
      </c>
      <c r="U15" s="25">
        <f t="shared" si="6"/>
        <v>115124.72</v>
      </c>
      <c r="V15" s="30">
        <f t="shared" si="3"/>
        <v>0.48401937046004845</v>
      </c>
      <c r="W15" s="30">
        <f t="shared" si="4"/>
        <v>0.34844043583535111</v>
      </c>
    </row>
    <row r="16" spans="1:23" x14ac:dyDescent="0.35">
      <c r="A16" s="15" t="s">
        <v>84</v>
      </c>
      <c r="B16" s="31" t="s">
        <v>96</v>
      </c>
      <c r="C16" s="32">
        <v>88</v>
      </c>
      <c r="D16" s="32">
        <v>88</v>
      </c>
      <c r="E16" s="33">
        <f t="shared" si="0"/>
        <v>176</v>
      </c>
      <c r="F16" s="34">
        <v>300000</v>
      </c>
      <c r="G16" s="34">
        <f>F16*Parámetros!$B$12</f>
        <v>30000</v>
      </c>
      <c r="H16" s="34">
        <v>12000</v>
      </c>
      <c r="I16" s="26">
        <v>354000</v>
      </c>
      <c r="J16" s="34">
        <f>I16*(1+Parámetros!$B$10)</f>
        <v>421260</v>
      </c>
      <c r="K16" s="34">
        <f>E16/Parámetros!$B$4*Parámetros!$B$5</f>
        <v>91520.000000000015</v>
      </c>
      <c r="L16" s="34">
        <f>Parámetros!$B$6</f>
        <v>50000</v>
      </c>
      <c r="M16" s="27">
        <v>39800</v>
      </c>
      <c r="N16" s="34">
        <f>J16*Parámetros!$B$9</f>
        <v>12637.8</v>
      </c>
      <c r="O16" s="34">
        <f>Parámetros!$B$8</f>
        <v>30000</v>
      </c>
      <c r="P16" s="28">
        <v>1</v>
      </c>
      <c r="Q16" s="34">
        <f>IF(P16="",0,P16*Parámetros!$B$11)</f>
        <v>33000</v>
      </c>
      <c r="R16" s="35">
        <f t="shared" si="5"/>
        <v>256957.8</v>
      </c>
      <c r="S16" s="34">
        <f t="shared" si="1"/>
        <v>1459.9875</v>
      </c>
      <c r="T16" s="34">
        <f t="shared" si="2"/>
        <v>2011.3636363636363</v>
      </c>
      <c r="U16" s="34">
        <f t="shared" si="6"/>
        <v>97042.200000000012</v>
      </c>
      <c r="V16" s="36">
        <f t="shared" si="3"/>
        <v>0.40305084745762709</v>
      </c>
      <c r="W16" s="36">
        <f t="shared" si="4"/>
        <v>0.27413050847457632</v>
      </c>
    </row>
    <row r="17" spans="1:23" x14ac:dyDescent="0.35">
      <c r="A17" s="18" t="s">
        <v>84</v>
      </c>
      <c r="B17" s="22" t="s">
        <v>97</v>
      </c>
      <c r="C17" s="23">
        <v>75</v>
      </c>
      <c r="D17" s="23">
        <v>75</v>
      </c>
      <c r="E17" s="24">
        <f t="shared" si="0"/>
        <v>150</v>
      </c>
      <c r="F17" s="25">
        <v>300000</v>
      </c>
      <c r="G17" s="25">
        <f>F17*Parámetros!$B$12</f>
        <v>30000</v>
      </c>
      <c r="H17" s="25">
        <v>12000</v>
      </c>
      <c r="I17" s="26">
        <v>354000</v>
      </c>
      <c r="J17" s="25">
        <f>I17*(1+Parámetros!$B$10)</f>
        <v>421260</v>
      </c>
      <c r="K17" s="25">
        <f>E17/Parámetros!$B$4*Parámetros!$B$5</f>
        <v>78000</v>
      </c>
      <c r="L17" s="25">
        <f>Parámetros!$B$6</f>
        <v>50000</v>
      </c>
      <c r="M17" s="27">
        <v>33200</v>
      </c>
      <c r="N17" s="25">
        <f>J17*Parámetros!$B$9</f>
        <v>12637.8</v>
      </c>
      <c r="O17" s="25">
        <f>Parámetros!$B$8</f>
        <v>30000</v>
      </c>
      <c r="P17" s="28">
        <v>1</v>
      </c>
      <c r="Q17" s="25">
        <f>IF(P17="",0,P17*Parámetros!$B$11)</f>
        <v>33000</v>
      </c>
      <c r="R17" s="29">
        <f t="shared" si="5"/>
        <v>236837.8</v>
      </c>
      <c r="S17" s="25">
        <f t="shared" si="1"/>
        <v>1578.9186666666667</v>
      </c>
      <c r="T17" s="25">
        <f t="shared" si="2"/>
        <v>2360</v>
      </c>
      <c r="U17" s="25">
        <f t="shared" si="6"/>
        <v>117162.20000000001</v>
      </c>
      <c r="V17" s="30">
        <f t="shared" si="3"/>
        <v>0.45988700564971752</v>
      </c>
      <c r="W17" s="30">
        <f t="shared" si="4"/>
        <v>0.33096666666666669</v>
      </c>
    </row>
    <row r="18" spans="1:23" x14ac:dyDescent="0.35">
      <c r="A18" s="15" t="s">
        <v>84</v>
      </c>
      <c r="B18" s="31" t="s">
        <v>98</v>
      </c>
      <c r="C18" s="32">
        <v>93</v>
      </c>
      <c r="D18" s="32">
        <v>93</v>
      </c>
      <c r="E18" s="33">
        <f t="shared" si="0"/>
        <v>186</v>
      </c>
      <c r="F18" s="34">
        <v>300000</v>
      </c>
      <c r="G18" s="34">
        <f>F18*Parámetros!$B$12</f>
        <v>30000</v>
      </c>
      <c r="H18" s="34">
        <v>12000</v>
      </c>
      <c r="I18" s="26">
        <v>354000</v>
      </c>
      <c r="J18" s="34">
        <f>I18*(1+Parámetros!$B$10)</f>
        <v>421260</v>
      </c>
      <c r="K18" s="34">
        <f>E18/Parámetros!$B$4*Parámetros!$B$5</f>
        <v>96720.000000000015</v>
      </c>
      <c r="L18" s="34">
        <f>Parámetros!$B$6</f>
        <v>50000</v>
      </c>
      <c r="M18" s="27">
        <v>33200</v>
      </c>
      <c r="N18" s="34">
        <f>J18*Parámetros!$B$9</f>
        <v>12637.8</v>
      </c>
      <c r="O18" s="34">
        <f>Parámetros!$B$8</f>
        <v>30000</v>
      </c>
      <c r="P18" s="28">
        <v>1</v>
      </c>
      <c r="Q18" s="34">
        <f>IF(P18="",0,P18*Parámetros!$B$11)</f>
        <v>33000</v>
      </c>
      <c r="R18" s="35">
        <f t="shared" si="5"/>
        <v>255557.8</v>
      </c>
      <c r="S18" s="34">
        <f t="shared" si="1"/>
        <v>1373.9666666666667</v>
      </c>
      <c r="T18" s="34">
        <f t="shared" si="2"/>
        <v>1903.2258064516129</v>
      </c>
      <c r="U18" s="34">
        <f t="shared" si="6"/>
        <v>98442.200000000012</v>
      </c>
      <c r="V18" s="36">
        <f t="shared" si="3"/>
        <v>0.40700564971751413</v>
      </c>
      <c r="W18" s="36">
        <f t="shared" si="4"/>
        <v>0.2780853107344633</v>
      </c>
    </row>
    <row r="19" spans="1:23" x14ac:dyDescent="0.35">
      <c r="A19" s="18" t="s">
        <v>84</v>
      </c>
      <c r="B19" s="22" t="s">
        <v>99</v>
      </c>
      <c r="C19" s="23">
        <v>89</v>
      </c>
      <c r="D19" s="23">
        <v>89</v>
      </c>
      <c r="E19" s="24">
        <f t="shared" si="0"/>
        <v>178</v>
      </c>
      <c r="F19" s="25">
        <v>280000</v>
      </c>
      <c r="G19" s="25">
        <f>F19*Parámetros!$B$12</f>
        <v>28000</v>
      </c>
      <c r="H19" s="25">
        <v>12000</v>
      </c>
      <c r="I19" s="26">
        <v>330400</v>
      </c>
      <c r="J19" s="25">
        <f>I19*(1+Parámetros!$B$10)</f>
        <v>393176</v>
      </c>
      <c r="K19" s="25">
        <f>E19/Parámetros!$B$4*Parámetros!$B$5</f>
        <v>92560</v>
      </c>
      <c r="L19" s="25">
        <f>Parámetros!$B$6</f>
        <v>50000</v>
      </c>
      <c r="M19" s="27">
        <v>33200</v>
      </c>
      <c r="N19" s="25">
        <f>J19*Parámetros!$B$9</f>
        <v>11795.279999999999</v>
      </c>
      <c r="O19" s="25">
        <f>Parámetros!$B$8</f>
        <v>30000</v>
      </c>
      <c r="P19" s="28">
        <v>1</v>
      </c>
      <c r="Q19" s="25">
        <f>IF(P19="",0,P19*Parámetros!$B$11)</f>
        <v>33000</v>
      </c>
      <c r="R19" s="29">
        <f t="shared" si="5"/>
        <v>250555.28</v>
      </c>
      <c r="S19" s="25">
        <f t="shared" si="1"/>
        <v>1407.6139325842696</v>
      </c>
      <c r="T19" s="25">
        <f t="shared" si="2"/>
        <v>1856.1797752808989</v>
      </c>
      <c r="U19" s="25">
        <f t="shared" si="6"/>
        <v>79844.72</v>
      </c>
      <c r="V19" s="30">
        <f t="shared" si="3"/>
        <v>0.37723970944309926</v>
      </c>
      <c r="W19" s="30">
        <f t="shared" si="4"/>
        <v>0.24166077481840195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zoomScaleNormal="100" workbookViewId="0">
      <pane xSplit="2" ySplit="4" topLeftCell="L5" activePane="bottomRight" state="frozen"/>
      <selection pane="topRight" activeCell="C1" sqref="C1"/>
      <selection pane="bottomLeft" activeCell="A5" sqref="A5"/>
      <selection pane="bottomRight" sqref="A1:W1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101</v>
      </c>
      <c r="B5" s="22" t="s">
        <v>102</v>
      </c>
      <c r="C5" s="23">
        <v>110</v>
      </c>
      <c r="D5" s="23">
        <v>110</v>
      </c>
      <c r="E5" s="24">
        <f t="shared" ref="E5:E21" si="0">C5+D5</f>
        <v>220</v>
      </c>
      <c r="F5" s="25">
        <v>380000</v>
      </c>
      <c r="G5" s="25">
        <f>F5*Parámetros!$B$12</f>
        <v>38000</v>
      </c>
      <c r="H5" s="25">
        <v>12000</v>
      </c>
      <c r="I5" s="26">
        <v>448400</v>
      </c>
      <c r="J5" s="25">
        <f>I5*(1+Parámetros!$B$10)</f>
        <v>533596</v>
      </c>
      <c r="K5" s="25">
        <f>E5/Parámetros!$B$4*Parámetros!$B$5</f>
        <v>114400</v>
      </c>
      <c r="L5" s="25">
        <f>Parámetros!$B$6</f>
        <v>50000</v>
      </c>
      <c r="M5" s="27">
        <v>39800</v>
      </c>
      <c r="N5" s="25">
        <f>J5*Parámetros!$B$9</f>
        <v>16007.88</v>
      </c>
      <c r="O5" s="25">
        <f>Parámetros!$B$8</f>
        <v>30000</v>
      </c>
      <c r="P5" s="28">
        <v>1</v>
      </c>
      <c r="Q5" s="25">
        <f>IF(P5="",0,P5*Parámetros!$B$11)</f>
        <v>33000</v>
      </c>
      <c r="R5" s="29">
        <f t="shared" ref="R5:R21" si="1">K5+L5+M5+N5+O5+Q5</f>
        <v>283207.88</v>
      </c>
      <c r="S5" s="25">
        <f t="shared" ref="S5:S21" si="2">IF(E5=0,"",R5/E5)</f>
        <v>1287.3085454545455</v>
      </c>
      <c r="T5" s="25">
        <f t="shared" ref="T5:T21" si="3">IF(E5=0,"",I5/E5)</f>
        <v>2038.1818181818182</v>
      </c>
      <c r="U5" s="25">
        <f t="shared" ref="U5:U21" si="4">I5-R5</f>
        <v>165192.12</v>
      </c>
      <c r="V5" s="30">
        <f t="shared" ref="V5:V21" si="5">IF(I5=0,"",(I5-K5-L5-M5-O5)/I5)</f>
        <v>0.47769848349687777</v>
      </c>
      <c r="W5" s="30">
        <f t="shared" ref="W5:W21" si="6">IF(I5=0,"",U5/I5)</f>
        <v>0.3684034790365745</v>
      </c>
    </row>
    <row r="6" spans="1:23" x14ac:dyDescent="0.35">
      <c r="A6" s="15" t="s">
        <v>101</v>
      </c>
      <c r="B6" s="31" t="s">
        <v>103</v>
      </c>
      <c r="C6" s="32">
        <v>87</v>
      </c>
      <c r="D6" s="32">
        <v>87</v>
      </c>
      <c r="E6" s="33">
        <f t="shared" si="0"/>
        <v>174</v>
      </c>
      <c r="F6" s="34">
        <v>380000</v>
      </c>
      <c r="G6" s="34">
        <f>F6*Parámetros!$B$12</f>
        <v>38000</v>
      </c>
      <c r="H6" s="34">
        <v>12000</v>
      </c>
      <c r="I6" s="26">
        <v>448400</v>
      </c>
      <c r="J6" s="34">
        <f>I6*(1+Parámetros!$B$10)</f>
        <v>533596</v>
      </c>
      <c r="K6" s="34">
        <f>E6/Parámetros!$B$4*Parámetros!$B$5</f>
        <v>90479.999999999985</v>
      </c>
      <c r="L6" s="34">
        <f>Parámetros!$B$6</f>
        <v>50000</v>
      </c>
      <c r="M6" s="27">
        <v>33200</v>
      </c>
      <c r="N6" s="34">
        <f>J6*Parámetros!$B$9</f>
        <v>16007.88</v>
      </c>
      <c r="O6" s="34">
        <f>Parámetros!$B$8</f>
        <v>30000</v>
      </c>
      <c r="P6" s="28">
        <v>1</v>
      </c>
      <c r="Q6" s="34">
        <f>IF(P6="",0,P6*Parámetros!$B$11)</f>
        <v>33000</v>
      </c>
      <c r="R6" s="35">
        <f t="shared" si="1"/>
        <v>252687.88</v>
      </c>
      <c r="S6" s="34">
        <f t="shared" si="2"/>
        <v>1452.229195402299</v>
      </c>
      <c r="T6" s="34">
        <f t="shared" si="3"/>
        <v>2577.0114942528735</v>
      </c>
      <c r="U6" s="34">
        <f t="shared" si="4"/>
        <v>195712.12</v>
      </c>
      <c r="V6" s="36">
        <f t="shared" si="5"/>
        <v>0.54576271186440672</v>
      </c>
      <c r="W6" s="36">
        <f t="shared" si="6"/>
        <v>0.43646770740410346</v>
      </c>
    </row>
    <row r="7" spans="1:23" x14ac:dyDescent="0.35">
      <c r="A7" s="18" t="s">
        <v>101</v>
      </c>
      <c r="B7" s="22" t="s">
        <v>104</v>
      </c>
      <c r="C7" s="23">
        <v>0</v>
      </c>
      <c r="D7" s="23">
        <v>0</v>
      </c>
      <c r="E7" s="24">
        <f t="shared" si="0"/>
        <v>0</v>
      </c>
      <c r="F7" s="25">
        <v>280000</v>
      </c>
      <c r="G7" s="25">
        <f>F7*Parámetros!$B$12</f>
        <v>28000</v>
      </c>
      <c r="H7" s="25">
        <v>12000</v>
      </c>
      <c r="I7" s="26">
        <v>330400</v>
      </c>
      <c r="J7" s="25">
        <f>I7*(1+Parámetros!$B$10)</f>
        <v>393176</v>
      </c>
      <c r="K7" s="25">
        <f>E7/Parámetros!$B$4*Parámetros!$B$5</f>
        <v>0</v>
      </c>
      <c r="L7" s="25">
        <f>Parámetros!$B$6</f>
        <v>50000</v>
      </c>
      <c r="M7" s="27">
        <v>0</v>
      </c>
      <c r="N7" s="25">
        <f>J7*Parámetros!$B$9</f>
        <v>11795.279999999999</v>
      </c>
      <c r="O7" s="25">
        <f>Parámetros!$B$8</f>
        <v>30000</v>
      </c>
      <c r="P7" s="28">
        <v>1</v>
      </c>
      <c r="Q7" s="25">
        <f>IF(P7="",0,P7*Parámetros!$B$11)</f>
        <v>33000</v>
      </c>
      <c r="R7" s="29">
        <f t="shared" si="1"/>
        <v>124795.28</v>
      </c>
      <c r="S7" s="25" t="str">
        <f t="shared" si="2"/>
        <v/>
      </c>
      <c r="T7" s="25" t="str">
        <f t="shared" si="3"/>
        <v/>
      </c>
      <c r="U7" s="25">
        <f t="shared" si="4"/>
        <v>205604.72</v>
      </c>
      <c r="V7" s="30">
        <f t="shared" si="5"/>
        <v>0.75786924939467315</v>
      </c>
      <c r="W7" s="30">
        <f t="shared" si="6"/>
        <v>0.62229031476997576</v>
      </c>
    </row>
    <row r="8" spans="1:23" x14ac:dyDescent="0.35">
      <c r="A8" s="15" t="s">
        <v>101</v>
      </c>
      <c r="B8" s="31" t="s">
        <v>105</v>
      </c>
      <c r="C8" s="32">
        <v>75</v>
      </c>
      <c r="D8" s="32">
        <v>75</v>
      </c>
      <c r="E8" s="33">
        <f t="shared" si="0"/>
        <v>150</v>
      </c>
      <c r="F8" s="34">
        <v>380000</v>
      </c>
      <c r="G8" s="34">
        <f>F8*Parámetros!$B$12</f>
        <v>38000</v>
      </c>
      <c r="H8" s="34">
        <v>12000</v>
      </c>
      <c r="I8" s="26">
        <v>448400</v>
      </c>
      <c r="J8" s="34">
        <f>I8*(1+Parámetros!$B$10)</f>
        <v>533596</v>
      </c>
      <c r="K8" s="34">
        <f>E8/Parámetros!$B$4*Parámetros!$B$5</f>
        <v>78000</v>
      </c>
      <c r="L8" s="34">
        <f>Parámetros!$B$6</f>
        <v>50000</v>
      </c>
      <c r="M8" s="27">
        <v>33200</v>
      </c>
      <c r="N8" s="34">
        <f>J8*Parámetros!$B$9</f>
        <v>16007.88</v>
      </c>
      <c r="O8" s="34">
        <f>Parámetros!$B$8</f>
        <v>30000</v>
      </c>
      <c r="P8" s="28">
        <v>1</v>
      </c>
      <c r="Q8" s="34">
        <f>IF(P8="",0,P8*Parámetros!$B$11)</f>
        <v>33000</v>
      </c>
      <c r="R8" s="35">
        <f t="shared" si="1"/>
        <v>240207.88</v>
      </c>
      <c r="S8" s="34">
        <f t="shared" si="2"/>
        <v>1601.3858666666667</v>
      </c>
      <c r="T8" s="34">
        <f t="shared" si="3"/>
        <v>2989.3333333333335</v>
      </c>
      <c r="U8" s="34">
        <f t="shared" si="4"/>
        <v>208192.12</v>
      </c>
      <c r="V8" s="36">
        <f t="shared" si="5"/>
        <v>0.57359500446030331</v>
      </c>
      <c r="W8" s="36">
        <f t="shared" si="6"/>
        <v>0.46429999999999999</v>
      </c>
    </row>
    <row r="9" spans="1:23" x14ac:dyDescent="0.35">
      <c r="A9" s="18" t="s">
        <v>101</v>
      </c>
      <c r="B9" s="22" t="s">
        <v>106</v>
      </c>
      <c r="C9" s="23">
        <v>120</v>
      </c>
      <c r="D9" s="23">
        <v>120</v>
      </c>
      <c r="E9" s="24">
        <f t="shared" si="0"/>
        <v>240</v>
      </c>
      <c r="F9" s="25">
        <v>380000</v>
      </c>
      <c r="G9" s="25">
        <f>F9*Parámetros!$B$12</f>
        <v>38000</v>
      </c>
      <c r="H9" s="25">
        <v>12000</v>
      </c>
      <c r="I9" s="26">
        <v>448400</v>
      </c>
      <c r="J9" s="25">
        <f>I9*(1+Parámetros!$B$10)</f>
        <v>533596</v>
      </c>
      <c r="K9" s="25">
        <f>E9/Parámetros!$B$4*Parámetros!$B$5</f>
        <v>124800</v>
      </c>
      <c r="L9" s="25">
        <f>Parámetros!$B$6</f>
        <v>50000</v>
      </c>
      <c r="M9" s="27">
        <v>39800</v>
      </c>
      <c r="N9" s="25">
        <f>J9*Parámetros!$B$9</f>
        <v>16007.88</v>
      </c>
      <c r="O9" s="25">
        <f>Parámetros!$B$8</f>
        <v>30000</v>
      </c>
      <c r="P9" s="28">
        <v>1</v>
      </c>
      <c r="Q9" s="25">
        <f>IF(P9="",0,P9*Parámetros!$B$11)</f>
        <v>33000</v>
      </c>
      <c r="R9" s="29">
        <f t="shared" si="1"/>
        <v>293607.88</v>
      </c>
      <c r="S9" s="25">
        <f t="shared" si="2"/>
        <v>1223.3661666666667</v>
      </c>
      <c r="T9" s="25">
        <f t="shared" si="3"/>
        <v>1868.3333333333333</v>
      </c>
      <c r="U9" s="25">
        <f t="shared" si="4"/>
        <v>154792.12</v>
      </c>
      <c r="V9" s="30">
        <f t="shared" si="5"/>
        <v>0.45450490633363066</v>
      </c>
      <c r="W9" s="30">
        <f t="shared" si="6"/>
        <v>0.3452099018733274</v>
      </c>
    </row>
    <row r="10" spans="1:23" x14ac:dyDescent="0.35">
      <c r="A10" s="15" t="s">
        <v>101</v>
      </c>
      <c r="B10" s="31" t="s">
        <v>107</v>
      </c>
      <c r="C10" s="32">
        <v>85</v>
      </c>
      <c r="D10" s="32">
        <v>85</v>
      </c>
      <c r="E10" s="33">
        <f t="shared" si="0"/>
        <v>170</v>
      </c>
      <c r="F10" s="34">
        <v>380000</v>
      </c>
      <c r="G10" s="34">
        <f>F10*Parámetros!$B$12</f>
        <v>38000</v>
      </c>
      <c r="H10" s="34">
        <v>12000</v>
      </c>
      <c r="I10" s="26">
        <v>448400</v>
      </c>
      <c r="J10" s="34">
        <f>I10*(1+Parámetros!$B$10)</f>
        <v>533596</v>
      </c>
      <c r="K10" s="34">
        <f>E10/Parámetros!$B$4*Parámetros!$B$5</f>
        <v>88400</v>
      </c>
      <c r="L10" s="34">
        <f>Parámetros!$B$6</f>
        <v>50000</v>
      </c>
      <c r="M10" s="27">
        <v>33200</v>
      </c>
      <c r="N10" s="34">
        <f>J10*Parámetros!$B$9</f>
        <v>16007.88</v>
      </c>
      <c r="O10" s="34">
        <f>Parámetros!$B$8</f>
        <v>30000</v>
      </c>
      <c r="P10" s="28">
        <v>1</v>
      </c>
      <c r="Q10" s="34">
        <f>IF(P10="",0,P10*Parámetros!$B$11)</f>
        <v>33000</v>
      </c>
      <c r="R10" s="35">
        <f t="shared" si="1"/>
        <v>250607.88</v>
      </c>
      <c r="S10" s="34">
        <f t="shared" si="2"/>
        <v>1474.164</v>
      </c>
      <c r="T10" s="34">
        <f t="shared" si="3"/>
        <v>2637.6470588235293</v>
      </c>
      <c r="U10" s="34">
        <f t="shared" si="4"/>
        <v>197792.12</v>
      </c>
      <c r="V10" s="36">
        <f t="shared" si="5"/>
        <v>0.55040142729705621</v>
      </c>
      <c r="W10" s="36">
        <f t="shared" si="6"/>
        <v>0.44110642283675289</v>
      </c>
    </row>
    <row r="11" spans="1:23" x14ac:dyDescent="0.35">
      <c r="A11" s="18" t="s">
        <v>101</v>
      </c>
      <c r="B11" s="22" t="s">
        <v>108</v>
      </c>
      <c r="C11" s="23">
        <v>87</v>
      </c>
      <c r="D11" s="23">
        <v>87</v>
      </c>
      <c r="E11" s="24">
        <f t="shared" si="0"/>
        <v>174</v>
      </c>
      <c r="F11" s="25">
        <v>380000</v>
      </c>
      <c r="G11" s="25">
        <f>F11*Parámetros!$B$12</f>
        <v>38000</v>
      </c>
      <c r="H11" s="25">
        <v>12000</v>
      </c>
      <c r="I11" s="26">
        <v>448400</v>
      </c>
      <c r="J11" s="25">
        <f>I11*(1+Parámetros!$B$10)</f>
        <v>533596</v>
      </c>
      <c r="K11" s="25">
        <f>E11/Parámetros!$B$4*Parámetros!$B$5</f>
        <v>90479.999999999985</v>
      </c>
      <c r="L11" s="25">
        <f>Parámetros!$B$6</f>
        <v>50000</v>
      </c>
      <c r="M11" s="27">
        <v>33200</v>
      </c>
      <c r="N11" s="25">
        <f>J11*Parámetros!$B$9</f>
        <v>16007.88</v>
      </c>
      <c r="O11" s="25">
        <f>Parámetros!$B$8</f>
        <v>30000</v>
      </c>
      <c r="P11" s="28">
        <v>1</v>
      </c>
      <c r="Q11" s="25">
        <f>IF(P11="",0,P11*Parámetros!$B$11)</f>
        <v>33000</v>
      </c>
      <c r="R11" s="29">
        <f t="shared" si="1"/>
        <v>252687.88</v>
      </c>
      <c r="S11" s="25">
        <f t="shared" si="2"/>
        <v>1452.229195402299</v>
      </c>
      <c r="T11" s="25">
        <f t="shared" si="3"/>
        <v>2577.0114942528735</v>
      </c>
      <c r="U11" s="25">
        <f t="shared" si="4"/>
        <v>195712.12</v>
      </c>
      <c r="V11" s="30">
        <f t="shared" si="5"/>
        <v>0.54576271186440672</v>
      </c>
      <c r="W11" s="30">
        <f t="shared" si="6"/>
        <v>0.43646770740410346</v>
      </c>
    </row>
    <row r="12" spans="1:23" x14ac:dyDescent="0.35">
      <c r="A12" s="15" t="s">
        <v>101</v>
      </c>
      <c r="B12" s="31" t="s">
        <v>109</v>
      </c>
      <c r="C12" s="32">
        <v>75</v>
      </c>
      <c r="D12" s="32">
        <v>75</v>
      </c>
      <c r="E12" s="33">
        <f t="shared" si="0"/>
        <v>150</v>
      </c>
      <c r="F12" s="34">
        <v>380000</v>
      </c>
      <c r="G12" s="34">
        <f>F12*Parámetros!$B$12</f>
        <v>38000</v>
      </c>
      <c r="H12" s="34">
        <v>12000</v>
      </c>
      <c r="I12" s="26">
        <v>448400</v>
      </c>
      <c r="J12" s="34">
        <f>I12*(1+Parámetros!$B$10)</f>
        <v>533596</v>
      </c>
      <c r="K12" s="34">
        <f>E12/Parámetros!$B$4*Parámetros!$B$5</f>
        <v>78000</v>
      </c>
      <c r="L12" s="34">
        <f>Parámetros!$B$6</f>
        <v>50000</v>
      </c>
      <c r="M12" s="27">
        <v>33200</v>
      </c>
      <c r="N12" s="34">
        <f>J12*Parámetros!$B$9</f>
        <v>16007.88</v>
      </c>
      <c r="O12" s="34">
        <f>Parámetros!$B$8</f>
        <v>30000</v>
      </c>
      <c r="P12" s="28">
        <v>1</v>
      </c>
      <c r="Q12" s="34">
        <f>IF(P12="",0,P12*Parámetros!$B$11)</f>
        <v>33000</v>
      </c>
      <c r="R12" s="35">
        <f t="shared" si="1"/>
        <v>240207.88</v>
      </c>
      <c r="S12" s="34">
        <f t="shared" si="2"/>
        <v>1601.3858666666667</v>
      </c>
      <c r="T12" s="34">
        <f t="shared" si="3"/>
        <v>2989.3333333333335</v>
      </c>
      <c r="U12" s="34">
        <f t="shared" si="4"/>
        <v>208192.12</v>
      </c>
      <c r="V12" s="36">
        <f t="shared" si="5"/>
        <v>0.57359500446030331</v>
      </c>
      <c r="W12" s="36">
        <f t="shared" si="6"/>
        <v>0.46429999999999999</v>
      </c>
    </row>
    <row r="13" spans="1:23" x14ac:dyDescent="0.35">
      <c r="A13" s="18" t="s">
        <v>101</v>
      </c>
      <c r="B13" s="22" t="s">
        <v>110</v>
      </c>
      <c r="C13" s="23">
        <v>130</v>
      </c>
      <c r="D13" s="23">
        <v>130</v>
      </c>
      <c r="E13" s="24">
        <f t="shared" si="0"/>
        <v>260</v>
      </c>
      <c r="F13" s="25">
        <v>400000</v>
      </c>
      <c r="G13" s="25">
        <f>F13*Parámetros!$B$12</f>
        <v>40000</v>
      </c>
      <c r="H13" s="25">
        <v>12000</v>
      </c>
      <c r="I13" s="26">
        <v>472000</v>
      </c>
      <c r="J13" s="25">
        <f>I13*(1+Parámetros!$B$10)</f>
        <v>561680</v>
      </c>
      <c r="K13" s="25">
        <f>E13/Parámetros!$B$4*Parámetros!$B$5</f>
        <v>135200</v>
      </c>
      <c r="L13" s="25">
        <f>Parámetros!$B$6</f>
        <v>50000</v>
      </c>
      <c r="M13" s="27">
        <v>46400</v>
      </c>
      <c r="N13" s="25">
        <f>J13*Parámetros!$B$9</f>
        <v>16850.399999999998</v>
      </c>
      <c r="O13" s="25">
        <f>Parámetros!$B$8</f>
        <v>30000</v>
      </c>
      <c r="P13" s="28">
        <v>1</v>
      </c>
      <c r="Q13" s="25">
        <f>IF(P13="",0,P13*Parámetros!$B$11)</f>
        <v>33000</v>
      </c>
      <c r="R13" s="29">
        <f t="shared" si="1"/>
        <v>311450.40000000002</v>
      </c>
      <c r="S13" s="25">
        <f t="shared" si="2"/>
        <v>1197.886153846154</v>
      </c>
      <c r="T13" s="25">
        <f t="shared" si="3"/>
        <v>1815.3846153846155</v>
      </c>
      <c r="U13" s="25">
        <f t="shared" si="4"/>
        <v>160549.59999999998</v>
      </c>
      <c r="V13" s="30">
        <f t="shared" si="5"/>
        <v>0.4457627118644068</v>
      </c>
      <c r="W13" s="30">
        <f t="shared" si="6"/>
        <v>0.34014745762711862</v>
      </c>
    </row>
    <row r="14" spans="1:23" x14ac:dyDescent="0.35">
      <c r="A14" s="15" t="s">
        <v>101</v>
      </c>
      <c r="B14" s="31" t="s">
        <v>111</v>
      </c>
      <c r="C14" s="32">
        <v>90</v>
      </c>
      <c r="D14" s="32">
        <v>90</v>
      </c>
      <c r="E14" s="33">
        <f t="shared" si="0"/>
        <v>180</v>
      </c>
      <c r="F14" s="34">
        <v>380000</v>
      </c>
      <c r="G14" s="34">
        <f>F14*Parámetros!$B$12</f>
        <v>38000</v>
      </c>
      <c r="H14" s="34">
        <v>12000</v>
      </c>
      <c r="I14" s="26">
        <v>448400</v>
      </c>
      <c r="J14" s="34">
        <f>I14*(1+Parámetros!$B$10)</f>
        <v>533596</v>
      </c>
      <c r="K14" s="34">
        <f>E14/Parámetros!$B$4*Parámetros!$B$5</f>
        <v>93600</v>
      </c>
      <c r="L14" s="34">
        <f>Parámetros!$B$6</f>
        <v>50000</v>
      </c>
      <c r="M14" s="27">
        <v>39800</v>
      </c>
      <c r="N14" s="34">
        <f>J14*Parámetros!$B$9</f>
        <v>16007.88</v>
      </c>
      <c r="O14" s="34">
        <f>Parámetros!$B$8</f>
        <v>30000</v>
      </c>
      <c r="P14" s="28">
        <v>1</v>
      </c>
      <c r="Q14" s="34">
        <f>IF(P14="",0,P14*Parámetros!$B$11)</f>
        <v>33000</v>
      </c>
      <c r="R14" s="35">
        <f t="shared" si="1"/>
        <v>262407.88</v>
      </c>
      <c r="S14" s="34">
        <f t="shared" si="2"/>
        <v>1457.8215555555555</v>
      </c>
      <c r="T14" s="34">
        <f t="shared" si="3"/>
        <v>2491.1111111111113</v>
      </c>
      <c r="U14" s="34">
        <f t="shared" si="4"/>
        <v>185992.12</v>
      </c>
      <c r="V14" s="36">
        <f t="shared" si="5"/>
        <v>0.52408563782337203</v>
      </c>
      <c r="W14" s="36">
        <f t="shared" si="6"/>
        <v>0.41479063336306871</v>
      </c>
    </row>
    <row r="15" spans="1:23" x14ac:dyDescent="0.35">
      <c r="A15" s="18" t="s">
        <v>101</v>
      </c>
      <c r="B15" s="22" t="s">
        <v>112</v>
      </c>
      <c r="C15" s="23">
        <v>65</v>
      </c>
      <c r="D15" s="23">
        <v>65</v>
      </c>
      <c r="E15" s="24">
        <f t="shared" si="0"/>
        <v>130</v>
      </c>
      <c r="F15" s="25">
        <v>380000</v>
      </c>
      <c r="G15" s="25">
        <f>F15*Parámetros!$B$12</f>
        <v>38000</v>
      </c>
      <c r="H15" s="25">
        <v>12000</v>
      </c>
      <c r="I15" s="26">
        <v>448400</v>
      </c>
      <c r="J15" s="25">
        <f>I15*(1+Parámetros!$B$10)</f>
        <v>533596</v>
      </c>
      <c r="K15" s="25">
        <f>E15/Parámetros!$B$4*Parámetros!$B$5</f>
        <v>67600</v>
      </c>
      <c r="L15" s="25">
        <f>Parámetros!$B$6</f>
        <v>50000</v>
      </c>
      <c r="M15" s="27">
        <v>16600</v>
      </c>
      <c r="N15" s="25">
        <f>J15*Parámetros!$B$9</f>
        <v>16007.88</v>
      </c>
      <c r="O15" s="25">
        <f>Parámetros!$B$8</f>
        <v>30000</v>
      </c>
      <c r="P15" s="28">
        <v>1</v>
      </c>
      <c r="Q15" s="25">
        <f>IF(P15="",0,P15*Parámetros!$B$11)</f>
        <v>33000</v>
      </c>
      <c r="R15" s="29">
        <f t="shared" si="1"/>
        <v>213207.88</v>
      </c>
      <c r="S15" s="25">
        <f t="shared" si="2"/>
        <v>1640.0606153846154</v>
      </c>
      <c r="T15" s="25">
        <f t="shared" si="3"/>
        <v>3449.2307692307691</v>
      </c>
      <c r="U15" s="25">
        <f t="shared" si="4"/>
        <v>235192.12</v>
      </c>
      <c r="V15" s="30">
        <f t="shared" si="5"/>
        <v>0.63380909901873328</v>
      </c>
      <c r="W15" s="30">
        <f t="shared" si="6"/>
        <v>0.52451409455843001</v>
      </c>
    </row>
    <row r="16" spans="1:23" x14ac:dyDescent="0.35">
      <c r="A16" s="15" t="s">
        <v>101</v>
      </c>
      <c r="B16" s="31" t="s">
        <v>113</v>
      </c>
      <c r="C16" s="32">
        <v>80</v>
      </c>
      <c r="D16" s="32">
        <v>80</v>
      </c>
      <c r="E16" s="33">
        <f t="shared" si="0"/>
        <v>160</v>
      </c>
      <c r="F16" s="34">
        <v>380000</v>
      </c>
      <c r="G16" s="34">
        <f>F16*Parámetros!$B$12</f>
        <v>38000</v>
      </c>
      <c r="H16" s="34">
        <v>12000</v>
      </c>
      <c r="I16" s="26">
        <v>448400</v>
      </c>
      <c r="J16" s="34">
        <f>I16*(1+Parámetros!$B$10)</f>
        <v>533596</v>
      </c>
      <c r="K16" s="34">
        <f>E16/Parámetros!$B$4*Parámetros!$B$5</f>
        <v>83200</v>
      </c>
      <c r="L16" s="34">
        <f>Parámetros!$B$6</f>
        <v>50000</v>
      </c>
      <c r="M16" s="27">
        <v>33200</v>
      </c>
      <c r="N16" s="34">
        <f>J16*Parámetros!$B$9</f>
        <v>16007.88</v>
      </c>
      <c r="O16" s="34">
        <f>Parámetros!$B$8</f>
        <v>30000</v>
      </c>
      <c r="P16" s="28">
        <v>1</v>
      </c>
      <c r="Q16" s="34">
        <f>IF(P16="",0,P16*Parámetros!$B$11)</f>
        <v>33000</v>
      </c>
      <c r="R16" s="35">
        <f t="shared" si="1"/>
        <v>245407.88</v>
      </c>
      <c r="S16" s="34">
        <f t="shared" si="2"/>
        <v>1533.79925</v>
      </c>
      <c r="T16" s="34">
        <f t="shared" si="3"/>
        <v>2802.5</v>
      </c>
      <c r="U16" s="34">
        <f t="shared" si="4"/>
        <v>202992.12</v>
      </c>
      <c r="V16" s="36">
        <f t="shared" si="5"/>
        <v>0.56199821587867971</v>
      </c>
      <c r="W16" s="36">
        <f t="shared" si="6"/>
        <v>0.45270321141837644</v>
      </c>
    </row>
    <row r="17" spans="1:23" x14ac:dyDescent="0.35">
      <c r="A17" s="18" t="s">
        <v>101</v>
      </c>
      <c r="B17" s="22" t="s">
        <v>114</v>
      </c>
      <c r="C17" s="23">
        <v>80</v>
      </c>
      <c r="D17" s="23">
        <v>80</v>
      </c>
      <c r="E17" s="24">
        <f t="shared" si="0"/>
        <v>160</v>
      </c>
      <c r="F17" s="25">
        <v>280000</v>
      </c>
      <c r="G17" s="25">
        <f>F17*Parámetros!$B$12</f>
        <v>28000</v>
      </c>
      <c r="H17" s="25">
        <v>12000</v>
      </c>
      <c r="I17" s="26">
        <v>330400</v>
      </c>
      <c r="J17" s="25">
        <f>I17*(1+Parámetros!$B$10)</f>
        <v>393176</v>
      </c>
      <c r="K17" s="25">
        <f>E17/Parámetros!$B$4*Parámetros!$B$5</f>
        <v>83200</v>
      </c>
      <c r="L17" s="25">
        <f>Parámetros!$B$6</f>
        <v>50000</v>
      </c>
      <c r="M17" s="27">
        <v>6800</v>
      </c>
      <c r="N17" s="25">
        <f>J17*Parámetros!$B$9</f>
        <v>11795.279999999999</v>
      </c>
      <c r="O17" s="25">
        <f>Parámetros!$B$8</f>
        <v>30000</v>
      </c>
      <c r="P17" s="28">
        <v>1</v>
      </c>
      <c r="Q17" s="25">
        <f>IF(P17="",0,P17*Parámetros!$B$11)</f>
        <v>33000</v>
      </c>
      <c r="R17" s="29">
        <f t="shared" si="1"/>
        <v>214795.28</v>
      </c>
      <c r="S17" s="25">
        <f t="shared" si="2"/>
        <v>1342.4704999999999</v>
      </c>
      <c r="T17" s="25">
        <f t="shared" si="3"/>
        <v>2065</v>
      </c>
      <c r="U17" s="25">
        <f t="shared" si="4"/>
        <v>115604.72</v>
      </c>
      <c r="V17" s="30">
        <f t="shared" si="5"/>
        <v>0.4854721549636804</v>
      </c>
      <c r="W17" s="30">
        <f t="shared" si="6"/>
        <v>0.34989322033898307</v>
      </c>
    </row>
    <row r="18" spans="1:23" x14ac:dyDescent="0.35">
      <c r="A18" s="15" t="s">
        <v>101</v>
      </c>
      <c r="B18" s="31" t="s">
        <v>115</v>
      </c>
      <c r="C18" s="32">
        <v>87</v>
      </c>
      <c r="D18" s="32">
        <v>87</v>
      </c>
      <c r="E18" s="33">
        <f t="shared" si="0"/>
        <v>174</v>
      </c>
      <c r="F18" s="34">
        <v>380000</v>
      </c>
      <c r="G18" s="34">
        <f>F18*Parámetros!$B$12</f>
        <v>38000</v>
      </c>
      <c r="H18" s="34">
        <v>12000</v>
      </c>
      <c r="I18" s="26">
        <v>448400</v>
      </c>
      <c r="J18" s="34">
        <f>I18*(1+Parámetros!$B$10)</f>
        <v>533596</v>
      </c>
      <c r="K18" s="34">
        <f>E18/Parámetros!$B$4*Parámetros!$B$5</f>
        <v>90479.999999999985</v>
      </c>
      <c r="L18" s="34">
        <f>Parámetros!$B$6</f>
        <v>50000</v>
      </c>
      <c r="M18" s="27">
        <v>33200</v>
      </c>
      <c r="N18" s="34">
        <f>J18*Parámetros!$B$9</f>
        <v>16007.88</v>
      </c>
      <c r="O18" s="34">
        <f>Parámetros!$B$8</f>
        <v>30000</v>
      </c>
      <c r="P18" s="28">
        <v>1</v>
      </c>
      <c r="Q18" s="34">
        <f>IF(P18="",0,P18*Parámetros!$B$11)</f>
        <v>33000</v>
      </c>
      <c r="R18" s="35">
        <f t="shared" si="1"/>
        <v>252687.88</v>
      </c>
      <c r="S18" s="34">
        <f t="shared" si="2"/>
        <v>1452.229195402299</v>
      </c>
      <c r="T18" s="34">
        <f t="shared" si="3"/>
        <v>2577.0114942528735</v>
      </c>
      <c r="U18" s="34">
        <f t="shared" si="4"/>
        <v>195712.12</v>
      </c>
      <c r="V18" s="36">
        <f t="shared" si="5"/>
        <v>0.54576271186440672</v>
      </c>
      <c r="W18" s="36">
        <f t="shared" si="6"/>
        <v>0.43646770740410346</v>
      </c>
    </row>
    <row r="19" spans="1:23" x14ac:dyDescent="0.35">
      <c r="A19" s="18" t="s">
        <v>101</v>
      </c>
      <c r="B19" s="22" t="s">
        <v>116</v>
      </c>
      <c r="C19" s="23">
        <v>87</v>
      </c>
      <c r="D19" s="23">
        <v>87</v>
      </c>
      <c r="E19" s="24">
        <f t="shared" si="0"/>
        <v>174</v>
      </c>
      <c r="F19" s="25">
        <v>380000</v>
      </c>
      <c r="G19" s="25">
        <f>F19*Parámetros!$B$12</f>
        <v>38000</v>
      </c>
      <c r="H19" s="25">
        <v>12000</v>
      </c>
      <c r="I19" s="26">
        <v>448400</v>
      </c>
      <c r="J19" s="25">
        <f>I19*(1+Parámetros!$B$10)</f>
        <v>533596</v>
      </c>
      <c r="K19" s="25">
        <f>E19/Parámetros!$B$4*Parámetros!$B$5</f>
        <v>90479.999999999985</v>
      </c>
      <c r="L19" s="25">
        <f>Parámetros!$B$6</f>
        <v>50000</v>
      </c>
      <c r="M19" s="27">
        <v>33200</v>
      </c>
      <c r="N19" s="25">
        <f>J19*Parámetros!$B$9</f>
        <v>16007.88</v>
      </c>
      <c r="O19" s="25">
        <f>Parámetros!$B$8</f>
        <v>30000</v>
      </c>
      <c r="P19" s="28">
        <v>1</v>
      </c>
      <c r="Q19" s="25">
        <f>IF(P19="",0,P19*Parámetros!$B$11)</f>
        <v>33000</v>
      </c>
      <c r="R19" s="29">
        <f t="shared" si="1"/>
        <v>252687.88</v>
      </c>
      <c r="S19" s="25">
        <f t="shared" si="2"/>
        <v>1452.229195402299</v>
      </c>
      <c r="T19" s="25">
        <f t="shared" si="3"/>
        <v>2577.0114942528735</v>
      </c>
      <c r="U19" s="25">
        <f t="shared" si="4"/>
        <v>195712.12</v>
      </c>
      <c r="V19" s="30">
        <f t="shared" si="5"/>
        <v>0.54576271186440672</v>
      </c>
      <c r="W19" s="30">
        <f t="shared" si="6"/>
        <v>0.43646770740410346</v>
      </c>
    </row>
    <row r="20" spans="1:23" x14ac:dyDescent="0.35">
      <c r="A20" s="15" t="s">
        <v>101</v>
      </c>
      <c r="B20" s="31" t="s">
        <v>117</v>
      </c>
      <c r="C20" s="32">
        <v>80</v>
      </c>
      <c r="D20" s="32">
        <v>80</v>
      </c>
      <c r="E20" s="33">
        <f t="shared" si="0"/>
        <v>160</v>
      </c>
      <c r="F20" s="34">
        <v>380000</v>
      </c>
      <c r="G20" s="34">
        <f>F20*Parámetros!$B$12</f>
        <v>38000</v>
      </c>
      <c r="H20" s="34">
        <v>12000</v>
      </c>
      <c r="I20" s="26">
        <v>448400</v>
      </c>
      <c r="J20" s="34">
        <f>I20*(1+Parámetros!$B$10)</f>
        <v>533596</v>
      </c>
      <c r="K20" s="34">
        <f>E20/Parámetros!$B$4*Parámetros!$B$5</f>
        <v>83200</v>
      </c>
      <c r="L20" s="34">
        <f>Parámetros!$B$6</f>
        <v>50000</v>
      </c>
      <c r="M20" s="27">
        <v>33200</v>
      </c>
      <c r="N20" s="34">
        <f>J20*Parámetros!$B$9</f>
        <v>16007.88</v>
      </c>
      <c r="O20" s="34">
        <f>Parámetros!$B$8</f>
        <v>30000</v>
      </c>
      <c r="P20" s="28">
        <v>1</v>
      </c>
      <c r="Q20" s="34">
        <f>IF(P20="",0,P20*Parámetros!$B$11)</f>
        <v>33000</v>
      </c>
      <c r="R20" s="35">
        <f t="shared" si="1"/>
        <v>245407.88</v>
      </c>
      <c r="S20" s="34">
        <f t="shared" si="2"/>
        <v>1533.79925</v>
      </c>
      <c r="T20" s="34">
        <f t="shared" si="3"/>
        <v>2802.5</v>
      </c>
      <c r="U20" s="34">
        <f t="shared" si="4"/>
        <v>202992.12</v>
      </c>
      <c r="V20" s="36">
        <f t="shared" si="5"/>
        <v>0.56199821587867971</v>
      </c>
      <c r="W20" s="36">
        <f t="shared" si="6"/>
        <v>0.45270321141837644</v>
      </c>
    </row>
    <row r="21" spans="1:23" x14ac:dyDescent="0.35">
      <c r="A21" s="18" t="s">
        <v>101</v>
      </c>
      <c r="B21" s="22" t="s">
        <v>118</v>
      </c>
      <c r="C21" s="23">
        <v>55</v>
      </c>
      <c r="D21" s="23">
        <v>55</v>
      </c>
      <c r="E21" s="24">
        <f t="shared" si="0"/>
        <v>110</v>
      </c>
      <c r="F21" s="25">
        <v>280000</v>
      </c>
      <c r="G21" s="25">
        <f>F21*Parámetros!$B$12</f>
        <v>28000</v>
      </c>
      <c r="H21" s="25">
        <v>12000</v>
      </c>
      <c r="I21" s="26">
        <v>330400</v>
      </c>
      <c r="J21" s="25">
        <f>I21*(1+Parámetros!$B$10)</f>
        <v>393176</v>
      </c>
      <c r="K21" s="25">
        <f>E21/Parámetros!$B$4*Parámetros!$B$5</f>
        <v>57200</v>
      </c>
      <c r="L21" s="25">
        <f>Parámetros!$B$6</f>
        <v>50000</v>
      </c>
      <c r="M21" s="27">
        <v>16600</v>
      </c>
      <c r="N21" s="25">
        <f>J21*Parámetros!$B$9</f>
        <v>11795.279999999999</v>
      </c>
      <c r="O21" s="25">
        <f>Parámetros!$B$8</f>
        <v>30000</v>
      </c>
      <c r="P21" s="28">
        <v>1</v>
      </c>
      <c r="Q21" s="25">
        <f>IF(P21="",0,P21*Parámetros!$B$11)</f>
        <v>33000</v>
      </c>
      <c r="R21" s="29">
        <f t="shared" si="1"/>
        <v>198595.28</v>
      </c>
      <c r="S21" s="25">
        <f t="shared" si="2"/>
        <v>1805.4116363636363</v>
      </c>
      <c r="T21" s="25">
        <f t="shared" si="3"/>
        <v>3003.6363636363635</v>
      </c>
      <c r="U21" s="25">
        <f t="shared" si="4"/>
        <v>131804.72</v>
      </c>
      <c r="V21" s="30">
        <f t="shared" si="5"/>
        <v>0.53450363196125905</v>
      </c>
      <c r="W21" s="30">
        <f t="shared" si="6"/>
        <v>0.39892469733656177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120</v>
      </c>
      <c r="B5" s="22" t="s">
        <v>121</v>
      </c>
      <c r="C5" s="23">
        <v>295</v>
      </c>
      <c r="D5" s="23">
        <v>130</v>
      </c>
      <c r="E5" s="24">
        <f t="shared" ref="E5:E23" si="0">C5+D5</f>
        <v>425</v>
      </c>
      <c r="F5" s="25">
        <v>370000</v>
      </c>
      <c r="G5" s="25">
        <f>F5*Parámetros!$B$12</f>
        <v>37000</v>
      </c>
      <c r="H5" s="25">
        <v>12000</v>
      </c>
      <c r="I5" s="26">
        <v>473600</v>
      </c>
      <c r="J5" s="25">
        <f>I5*(1+Parámetros!$B$10)</f>
        <v>563584</v>
      </c>
      <c r="K5" s="25">
        <f>E5/Parámetros!$B$4*Parámetros!$B$5</f>
        <v>221000</v>
      </c>
      <c r="L5" s="25">
        <f>Parámetros!$B$6</f>
        <v>50000</v>
      </c>
      <c r="M5" s="27">
        <v>50000</v>
      </c>
      <c r="N5" s="25">
        <f>J5*Parámetros!$B$9</f>
        <v>16907.52</v>
      </c>
      <c r="O5" s="25">
        <f>Parámetros!$B$8</f>
        <v>30000</v>
      </c>
      <c r="P5" s="28">
        <v>1</v>
      </c>
      <c r="Q5" s="25">
        <f>IF(P5="",0,P5*Parámetros!$B$11)</f>
        <v>33000</v>
      </c>
      <c r="R5" s="29">
        <f t="shared" ref="R5:R23" si="1">K5+L5+M5+N5+O5+Q5</f>
        <v>400907.52000000002</v>
      </c>
      <c r="S5" s="25">
        <f t="shared" ref="S5:S23" si="2">IF(E5=0,"",R5/E5)</f>
        <v>943.31181176470591</v>
      </c>
      <c r="T5" s="25">
        <f t="shared" ref="T5:T23" si="3">IF(E5=0,"",I5/E5)</f>
        <v>1114.3529411764705</v>
      </c>
      <c r="U5" s="25">
        <f t="shared" ref="U5:U23" si="4">I5-R5</f>
        <v>72692.479999999981</v>
      </c>
      <c r="V5" s="30">
        <f t="shared" ref="V5:V23" si="5">IF(I5=0,"",(I5-K5-L5-M5-O5)/I5)</f>
        <v>0.25886824324324326</v>
      </c>
      <c r="W5" s="30">
        <f t="shared" ref="W5:W23" si="6">IF(I5=0,"",U5/I5)</f>
        <v>0.15348918918918916</v>
      </c>
    </row>
    <row r="6" spans="1:23" x14ac:dyDescent="0.35">
      <c r="A6" s="15" t="s">
        <v>120</v>
      </c>
      <c r="B6" s="31" t="s">
        <v>122</v>
      </c>
      <c r="C6" s="32">
        <v>244</v>
      </c>
      <c r="D6" s="32">
        <v>178</v>
      </c>
      <c r="E6" s="33">
        <f t="shared" si="0"/>
        <v>422</v>
      </c>
      <c r="F6" s="34">
        <v>370000</v>
      </c>
      <c r="G6" s="34">
        <f>F6*Parámetros!$B$12</f>
        <v>37000</v>
      </c>
      <c r="H6" s="34">
        <v>12000</v>
      </c>
      <c r="I6" s="26">
        <v>473600</v>
      </c>
      <c r="J6" s="34">
        <f>I6*(1+Parámetros!$B$10)</f>
        <v>563584</v>
      </c>
      <c r="K6" s="34">
        <f>E6/Parámetros!$B$4*Parámetros!$B$5</f>
        <v>219440.00000000003</v>
      </c>
      <c r="L6" s="34">
        <f>Parámetros!$B$6</f>
        <v>50000</v>
      </c>
      <c r="M6" s="27">
        <v>50000</v>
      </c>
      <c r="N6" s="34">
        <f>J6*Parámetros!$B$9</f>
        <v>16907.52</v>
      </c>
      <c r="O6" s="34">
        <f>Parámetros!$B$8</f>
        <v>30000</v>
      </c>
      <c r="P6" s="28">
        <v>1</v>
      </c>
      <c r="Q6" s="34">
        <f>IF(P6="",0,P6*Parámetros!$B$11)</f>
        <v>33000</v>
      </c>
      <c r="R6" s="35">
        <f t="shared" si="1"/>
        <v>399347.52</v>
      </c>
      <c r="S6" s="34">
        <f t="shared" si="2"/>
        <v>946.32113744075832</v>
      </c>
      <c r="T6" s="34">
        <f t="shared" si="3"/>
        <v>1122.2748815165876</v>
      </c>
      <c r="U6" s="34">
        <f t="shared" si="4"/>
        <v>74252.479999999981</v>
      </c>
      <c r="V6" s="36">
        <f t="shared" si="5"/>
        <v>0.26216216216216209</v>
      </c>
      <c r="W6" s="36">
        <f t="shared" si="6"/>
        <v>0.15678310810810808</v>
      </c>
    </row>
    <row r="7" spans="1:23" x14ac:dyDescent="0.35">
      <c r="A7" s="18" t="s">
        <v>120</v>
      </c>
      <c r="B7" s="22" t="s">
        <v>123</v>
      </c>
      <c r="C7" s="23">
        <v>235</v>
      </c>
      <c r="D7" s="23">
        <v>144</v>
      </c>
      <c r="E7" s="24">
        <f t="shared" si="0"/>
        <v>379</v>
      </c>
      <c r="F7" s="25">
        <v>370000</v>
      </c>
      <c r="G7" s="25">
        <f>F7*Parámetros!$B$12</f>
        <v>37000</v>
      </c>
      <c r="H7" s="25">
        <v>12000</v>
      </c>
      <c r="I7" s="26">
        <v>473600</v>
      </c>
      <c r="J7" s="25">
        <f>I7*(1+Parámetros!$B$10)</f>
        <v>563584</v>
      </c>
      <c r="K7" s="25">
        <f>E7/Parámetros!$B$4*Parámetros!$B$5</f>
        <v>197080</v>
      </c>
      <c r="L7" s="25">
        <f>Parámetros!$B$6</f>
        <v>50000</v>
      </c>
      <c r="M7" s="27">
        <v>50000</v>
      </c>
      <c r="N7" s="25">
        <f>J7*Parámetros!$B$9</f>
        <v>16907.52</v>
      </c>
      <c r="O7" s="25">
        <f>Parámetros!$B$8</f>
        <v>30000</v>
      </c>
      <c r="P7" s="28">
        <v>1</v>
      </c>
      <c r="Q7" s="25">
        <f>IF(P7="",0,P7*Parámetros!$B$11)</f>
        <v>33000</v>
      </c>
      <c r="R7" s="29">
        <f t="shared" si="1"/>
        <v>376987.52</v>
      </c>
      <c r="S7" s="25">
        <f t="shared" si="2"/>
        <v>994.69002638522431</v>
      </c>
      <c r="T7" s="25">
        <f t="shared" si="3"/>
        <v>1249.604221635884</v>
      </c>
      <c r="U7" s="25">
        <f t="shared" si="4"/>
        <v>96612.479999999981</v>
      </c>
      <c r="V7" s="30">
        <f t="shared" si="5"/>
        <v>0.30937500000000001</v>
      </c>
      <c r="W7" s="30">
        <f t="shared" si="6"/>
        <v>0.20399594594594592</v>
      </c>
    </row>
    <row r="8" spans="1:23" x14ac:dyDescent="0.35">
      <c r="A8" s="15" t="s">
        <v>120</v>
      </c>
      <c r="B8" s="31" t="s">
        <v>124</v>
      </c>
      <c r="C8" s="32">
        <v>227</v>
      </c>
      <c r="D8" s="32">
        <v>154</v>
      </c>
      <c r="E8" s="33">
        <f t="shared" si="0"/>
        <v>381</v>
      </c>
      <c r="F8" s="34">
        <v>400000</v>
      </c>
      <c r="G8" s="34">
        <f>F8*Parámetros!$B$12</f>
        <v>40000</v>
      </c>
      <c r="H8" s="34">
        <v>12000</v>
      </c>
      <c r="I8" s="26">
        <v>512000</v>
      </c>
      <c r="J8" s="34">
        <f>I8*(1+Parámetros!$B$10)</f>
        <v>609280</v>
      </c>
      <c r="K8" s="34">
        <f>E8/Parámetros!$B$4*Parámetros!$B$5</f>
        <v>198120</v>
      </c>
      <c r="L8" s="34">
        <f>Parámetros!$B$6</f>
        <v>50000</v>
      </c>
      <c r="M8" s="27">
        <v>50000</v>
      </c>
      <c r="N8" s="34">
        <f>J8*Parámetros!$B$9</f>
        <v>18278.399999999998</v>
      </c>
      <c r="O8" s="34">
        <f>Parámetros!$B$8</f>
        <v>30000</v>
      </c>
      <c r="P8" s="28">
        <v>1</v>
      </c>
      <c r="Q8" s="34">
        <f>IF(P8="",0,P8*Parámetros!$B$11)</f>
        <v>33000</v>
      </c>
      <c r="R8" s="35">
        <f t="shared" si="1"/>
        <v>379398.40000000002</v>
      </c>
      <c r="S8" s="34">
        <f t="shared" si="2"/>
        <v>995.7963254593177</v>
      </c>
      <c r="T8" s="34">
        <f t="shared" si="3"/>
        <v>1343.8320209973754</v>
      </c>
      <c r="U8" s="34">
        <f t="shared" si="4"/>
        <v>132601.59999999998</v>
      </c>
      <c r="V8" s="36">
        <f t="shared" si="5"/>
        <v>0.35914062499999999</v>
      </c>
      <c r="W8" s="36">
        <f t="shared" si="6"/>
        <v>0.25898749999999998</v>
      </c>
    </row>
    <row r="9" spans="1:23" x14ac:dyDescent="0.35">
      <c r="A9" s="18" t="s">
        <v>120</v>
      </c>
      <c r="B9" s="22" t="s">
        <v>125</v>
      </c>
      <c r="C9" s="23">
        <v>227</v>
      </c>
      <c r="D9" s="23">
        <v>140</v>
      </c>
      <c r="E9" s="24">
        <f t="shared" si="0"/>
        <v>367</v>
      </c>
      <c r="F9" s="25">
        <v>370000</v>
      </c>
      <c r="G9" s="25">
        <f>F9*Parámetros!$B$12</f>
        <v>37000</v>
      </c>
      <c r="H9" s="25">
        <v>12000</v>
      </c>
      <c r="I9" s="26">
        <v>473600</v>
      </c>
      <c r="J9" s="25">
        <f>I9*(1+Parámetros!$B$10)</f>
        <v>563584</v>
      </c>
      <c r="K9" s="25">
        <f>E9/Parámetros!$B$4*Parámetros!$B$5</f>
        <v>190840.00000000003</v>
      </c>
      <c r="L9" s="25">
        <f>Parámetros!$B$6</f>
        <v>50000</v>
      </c>
      <c r="M9" s="27">
        <v>50000</v>
      </c>
      <c r="N9" s="25">
        <f>J9*Parámetros!$B$9</f>
        <v>16907.52</v>
      </c>
      <c r="O9" s="25">
        <f>Parámetros!$B$8</f>
        <v>30000</v>
      </c>
      <c r="P9" s="28">
        <v>1</v>
      </c>
      <c r="Q9" s="25">
        <f>IF(P9="",0,P9*Parámetros!$B$11)</f>
        <v>33000</v>
      </c>
      <c r="R9" s="29">
        <f t="shared" si="1"/>
        <v>370747.52</v>
      </c>
      <c r="S9" s="25">
        <f t="shared" si="2"/>
        <v>1010.2112261580382</v>
      </c>
      <c r="T9" s="25">
        <f t="shared" si="3"/>
        <v>1290.4632152588556</v>
      </c>
      <c r="U9" s="25">
        <f t="shared" si="4"/>
        <v>102852.47999999998</v>
      </c>
      <c r="V9" s="30">
        <f t="shared" si="5"/>
        <v>0.32255067567567569</v>
      </c>
      <c r="W9" s="30">
        <f t="shared" si="6"/>
        <v>0.21717162162162157</v>
      </c>
    </row>
    <row r="10" spans="1:23" x14ac:dyDescent="0.35">
      <c r="A10" s="15" t="s">
        <v>120</v>
      </c>
      <c r="B10" s="31" t="s">
        <v>126</v>
      </c>
      <c r="C10" s="32">
        <v>225</v>
      </c>
      <c r="D10" s="32">
        <v>150</v>
      </c>
      <c r="E10" s="33">
        <f t="shared" si="0"/>
        <v>375</v>
      </c>
      <c r="F10" s="34">
        <v>400000</v>
      </c>
      <c r="G10" s="34">
        <f>F10*Parámetros!$B$12</f>
        <v>40000</v>
      </c>
      <c r="H10" s="34">
        <v>12000</v>
      </c>
      <c r="I10" s="26">
        <v>512000</v>
      </c>
      <c r="J10" s="34">
        <f>I10*(1+Parámetros!$B$10)</f>
        <v>609280</v>
      </c>
      <c r="K10" s="34">
        <f>E10/Parámetros!$B$4*Parámetros!$B$5</f>
        <v>195000</v>
      </c>
      <c r="L10" s="34">
        <f>Parámetros!$B$6</f>
        <v>50000</v>
      </c>
      <c r="M10" s="27">
        <v>50000</v>
      </c>
      <c r="N10" s="34">
        <f>J10*Parámetros!$B$9</f>
        <v>18278.399999999998</v>
      </c>
      <c r="O10" s="34">
        <f>Parámetros!$B$8</f>
        <v>30000</v>
      </c>
      <c r="P10" s="28">
        <v>1</v>
      </c>
      <c r="Q10" s="34">
        <f>IF(P10="",0,P10*Parámetros!$B$11)</f>
        <v>33000</v>
      </c>
      <c r="R10" s="35">
        <f t="shared" si="1"/>
        <v>376278.4</v>
      </c>
      <c r="S10" s="34">
        <f t="shared" si="2"/>
        <v>1003.4090666666667</v>
      </c>
      <c r="T10" s="34">
        <f t="shared" si="3"/>
        <v>1365.3333333333333</v>
      </c>
      <c r="U10" s="34">
        <f t="shared" si="4"/>
        <v>135721.59999999998</v>
      </c>
      <c r="V10" s="36">
        <f t="shared" si="5"/>
        <v>0.365234375</v>
      </c>
      <c r="W10" s="36">
        <f t="shared" si="6"/>
        <v>0.26508124999999993</v>
      </c>
    </row>
    <row r="11" spans="1:23" x14ac:dyDescent="0.35">
      <c r="A11" s="18" t="s">
        <v>120</v>
      </c>
      <c r="B11" s="22" t="s">
        <v>127</v>
      </c>
      <c r="C11" s="23">
        <v>210</v>
      </c>
      <c r="D11" s="23">
        <v>158</v>
      </c>
      <c r="E11" s="24">
        <f t="shared" si="0"/>
        <v>368</v>
      </c>
      <c r="F11" s="25">
        <v>400000</v>
      </c>
      <c r="G11" s="25">
        <f>F11*Parámetros!$B$12</f>
        <v>40000</v>
      </c>
      <c r="H11" s="25">
        <v>12000</v>
      </c>
      <c r="I11" s="26">
        <v>512000</v>
      </c>
      <c r="J11" s="25">
        <f>I11*(1+Parámetros!$B$10)</f>
        <v>609280</v>
      </c>
      <c r="K11" s="25">
        <f>E11/Parámetros!$B$4*Parámetros!$B$5</f>
        <v>191359.99999999997</v>
      </c>
      <c r="L11" s="25">
        <f>Parámetros!$B$6</f>
        <v>50000</v>
      </c>
      <c r="M11" s="27">
        <v>50000</v>
      </c>
      <c r="N11" s="25">
        <f>J11*Parámetros!$B$9</f>
        <v>18278.399999999998</v>
      </c>
      <c r="O11" s="25">
        <f>Parámetros!$B$8</f>
        <v>30000</v>
      </c>
      <c r="P11" s="28">
        <v>1</v>
      </c>
      <c r="Q11" s="25">
        <f>IF(P11="",0,P11*Parámetros!$B$11)</f>
        <v>33000</v>
      </c>
      <c r="R11" s="29">
        <f t="shared" si="1"/>
        <v>372638.4</v>
      </c>
      <c r="S11" s="25">
        <f t="shared" si="2"/>
        <v>1012.6043478260871</v>
      </c>
      <c r="T11" s="25">
        <f t="shared" si="3"/>
        <v>1391.304347826087</v>
      </c>
      <c r="U11" s="25">
        <f t="shared" si="4"/>
        <v>139361.59999999998</v>
      </c>
      <c r="V11" s="30">
        <f t="shared" si="5"/>
        <v>0.37234374999999997</v>
      </c>
      <c r="W11" s="30">
        <f t="shared" si="6"/>
        <v>0.27219062499999996</v>
      </c>
    </row>
    <row r="12" spans="1:23" x14ac:dyDescent="0.35">
      <c r="A12" s="15" t="s">
        <v>120</v>
      </c>
      <c r="B12" s="31" t="s">
        <v>128</v>
      </c>
      <c r="C12" s="32">
        <v>225</v>
      </c>
      <c r="D12" s="32">
        <v>171</v>
      </c>
      <c r="E12" s="33">
        <f t="shared" si="0"/>
        <v>396</v>
      </c>
      <c r="F12" s="34">
        <v>400000</v>
      </c>
      <c r="G12" s="34">
        <f>F12*Parámetros!$B$12</f>
        <v>40000</v>
      </c>
      <c r="H12" s="34">
        <v>12000</v>
      </c>
      <c r="I12" s="26">
        <v>512000</v>
      </c>
      <c r="J12" s="34">
        <f>I12*(1+Parámetros!$B$10)</f>
        <v>609280</v>
      </c>
      <c r="K12" s="34">
        <f>E12/Parámetros!$B$4*Parámetros!$B$5</f>
        <v>205920</v>
      </c>
      <c r="L12" s="34">
        <f>Parámetros!$B$6</f>
        <v>50000</v>
      </c>
      <c r="M12" s="27">
        <v>50000</v>
      </c>
      <c r="N12" s="34">
        <f>J12*Parámetros!$B$9</f>
        <v>18278.399999999998</v>
      </c>
      <c r="O12" s="34">
        <f>Parámetros!$B$8</f>
        <v>30000</v>
      </c>
      <c r="P12" s="28">
        <v>1</v>
      </c>
      <c r="Q12" s="34">
        <f>IF(P12="",0,P12*Parámetros!$B$11)</f>
        <v>33000</v>
      </c>
      <c r="R12" s="35">
        <f t="shared" si="1"/>
        <v>387198.4</v>
      </c>
      <c r="S12" s="34">
        <f t="shared" si="2"/>
        <v>977.77373737373739</v>
      </c>
      <c r="T12" s="34">
        <f t="shared" si="3"/>
        <v>1292.9292929292928</v>
      </c>
      <c r="U12" s="34">
        <f t="shared" si="4"/>
        <v>124801.59999999998</v>
      </c>
      <c r="V12" s="36">
        <f t="shared" si="5"/>
        <v>0.34390625000000002</v>
      </c>
      <c r="W12" s="36">
        <f t="shared" si="6"/>
        <v>0.24375312499999996</v>
      </c>
    </row>
    <row r="13" spans="1:23" x14ac:dyDescent="0.35">
      <c r="A13" s="18" t="s">
        <v>120</v>
      </c>
      <c r="B13" s="22" t="s">
        <v>129</v>
      </c>
      <c r="C13" s="23">
        <v>265</v>
      </c>
      <c r="D13" s="23">
        <v>168</v>
      </c>
      <c r="E13" s="24">
        <f t="shared" si="0"/>
        <v>433</v>
      </c>
      <c r="F13" s="25">
        <v>400000</v>
      </c>
      <c r="G13" s="25">
        <f>F13*Parámetros!$B$12</f>
        <v>40000</v>
      </c>
      <c r="H13" s="25">
        <v>12000</v>
      </c>
      <c r="I13" s="26">
        <v>512000</v>
      </c>
      <c r="J13" s="25">
        <f>I13*(1+Parámetros!$B$10)</f>
        <v>609280</v>
      </c>
      <c r="K13" s="25">
        <f>E13/Parámetros!$B$4*Parámetros!$B$5</f>
        <v>225159.99999999997</v>
      </c>
      <c r="L13" s="25">
        <f>Parámetros!$B$6</f>
        <v>50000</v>
      </c>
      <c r="M13" s="27">
        <v>50000</v>
      </c>
      <c r="N13" s="25">
        <f>J13*Parámetros!$B$9</f>
        <v>18278.399999999998</v>
      </c>
      <c r="O13" s="25">
        <f>Parámetros!$B$8</f>
        <v>30000</v>
      </c>
      <c r="P13" s="28">
        <v>1</v>
      </c>
      <c r="Q13" s="25">
        <f>IF(P13="",0,P13*Parámetros!$B$11)</f>
        <v>33000</v>
      </c>
      <c r="R13" s="29">
        <f t="shared" si="1"/>
        <v>406438.40000000002</v>
      </c>
      <c r="S13" s="25">
        <f t="shared" si="2"/>
        <v>938.65681293302544</v>
      </c>
      <c r="T13" s="25">
        <f t="shared" si="3"/>
        <v>1182.4480369515011</v>
      </c>
      <c r="U13" s="25">
        <f t="shared" si="4"/>
        <v>105561.59999999998</v>
      </c>
      <c r="V13" s="30">
        <f t="shared" si="5"/>
        <v>0.30632812500000001</v>
      </c>
      <c r="W13" s="30">
        <f t="shared" si="6"/>
        <v>0.20617499999999994</v>
      </c>
    </row>
    <row r="14" spans="1:23" x14ac:dyDescent="0.35">
      <c r="A14" s="15" t="s">
        <v>120</v>
      </c>
      <c r="B14" s="31" t="s">
        <v>130</v>
      </c>
      <c r="C14" s="32">
        <v>265</v>
      </c>
      <c r="D14" s="32">
        <v>168</v>
      </c>
      <c r="E14" s="33">
        <f t="shared" si="0"/>
        <v>433</v>
      </c>
      <c r="F14" s="34">
        <v>400000</v>
      </c>
      <c r="G14" s="34">
        <f>F14*Parámetros!$B$12</f>
        <v>40000</v>
      </c>
      <c r="H14" s="34">
        <v>12000</v>
      </c>
      <c r="I14" s="26">
        <v>512000</v>
      </c>
      <c r="J14" s="34">
        <f>I14*(1+Parámetros!$B$10)</f>
        <v>609280</v>
      </c>
      <c r="K14" s="34">
        <f>E14/Parámetros!$B$4*Parámetros!$B$5</f>
        <v>225159.99999999997</v>
      </c>
      <c r="L14" s="34">
        <f>Parámetros!$B$6</f>
        <v>50000</v>
      </c>
      <c r="M14" s="27">
        <v>50000</v>
      </c>
      <c r="N14" s="34">
        <f>J14*Parámetros!$B$9</f>
        <v>18278.399999999998</v>
      </c>
      <c r="O14" s="34">
        <f>Parámetros!$B$8</f>
        <v>30000</v>
      </c>
      <c r="P14" s="28">
        <v>1</v>
      </c>
      <c r="Q14" s="34">
        <f>IF(P14="",0,P14*Parámetros!$B$11)</f>
        <v>33000</v>
      </c>
      <c r="R14" s="35">
        <f t="shared" si="1"/>
        <v>406438.40000000002</v>
      </c>
      <c r="S14" s="34">
        <f t="shared" si="2"/>
        <v>938.65681293302544</v>
      </c>
      <c r="T14" s="34">
        <f t="shared" si="3"/>
        <v>1182.4480369515011</v>
      </c>
      <c r="U14" s="34">
        <f t="shared" si="4"/>
        <v>105561.59999999998</v>
      </c>
      <c r="V14" s="36">
        <f t="shared" si="5"/>
        <v>0.30632812500000001</v>
      </c>
      <c r="W14" s="36">
        <f t="shared" si="6"/>
        <v>0.20617499999999994</v>
      </c>
    </row>
    <row r="15" spans="1:23" x14ac:dyDescent="0.35">
      <c r="A15" s="18" t="s">
        <v>120</v>
      </c>
      <c r="B15" s="22" t="s">
        <v>131</v>
      </c>
      <c r="C15" s="23">
        <v>240</v>
      </c>
      <c r="D15" s="23">
        <v>185</v>
      </c>
      <c r="E15" s="24">
        <f t="shared" si="0"/>
        <v>425</v>
      </c>
      <c r="F15" s="25">
        <v>410000</v>
      </c>
      <c r="G15" s="25">
        <f>F15*Parámetros!$B$12</f>
        <v>41000</v>
      </c>
      <c r="H15" s="25">
        <v>12000</v>
      </c>
      <c r="I15" s="26">
        <v>524800</v>
      </c>
      <c r="J15" s="25">
        <f>I15*(1+Parámetros!$B$10)</f>
        <v>624512</v>
      </c>
      <c r="K15" s="25">
        <f>E15/Parámetros!$B$4*Parámetros!$B$5</f>
        <v>221000</v>
      </c>
      <c r="L15" s="25">
        <f>Parámetros!$B$6</f>
        <v>50000</v>
      </c>
      <c r="M15" s="27">
        <v>50000</v>
      </c>
      <c r="N15" s="25">
        <f>J15*Parámetros!$B$9</f>
        <v>18735.36</v>
      </c>
      <c r="O15" s="25">
        <f>Parámetros!$B$8</f>
        <v>30000</v>
      </c>
      <c r="P15" s="28">
        <v>1</v>
      </c>
      <c r="Q15" s="25">
        <f>IF(P15="",0,P15*Parámetros!$B$11)</f>
        <v>33000</v>
      </c>
      <c r="R15" s="29">
        <f t="shared" si="1"/>
        <v>402735.35999999999</v>
      </c>
      <c r="S15" s="25">
        <f t="shared" si="2"/>
        <v>947.61261176470589</v>
      </c>
      <c r="T15" s="25">
        <f t="shared" si="3"/>
        <v>1234.8235294117646</v>
      </c>
      <c r="U15" s="25">
        <f t="shared" si="4"/>
        <v>122064.64000000001</v>
      </c>
      <c r="V15" s="30">
        <f t="shared" si="5"/>
        <v>0.33117378048780488</v>
      </c>
      <c r="W15" s="30">
        <f t="shared" si="6"/>
        <v>0.2325926829268293</v>
      </c>
    </row>
    <row r="16" spans="1:23" x14ac:dyDescent="0.35">
      <c r="A16" s="15" t="s">
        <v>120</v>
      </c>
      <c r="B16" s="31" t="s">
        <v>132</v>
      </c>
      <c r="C16" s="32">
        <v>263</v>
      </c>
      <c r="D16" s="32">
        <v>182</v>
      </c>
      <c r="E16" s="33">
        <f t="shared" si="0"/>
        <v>445</v>
      </c>
      <c r="F16" s="34">
        <v>410000</v>
      </c>
      <c r="G16" s="34">
        <f>F16*Parámetros!$B$12</f>
        <v>41000</v>
      </c>
      <c r="H16" s="34">
        <v>12000</v>
      </c>
      <c r="I16" s="26">
        <v>524800</v>
      </c>
      <c r="J16" s="34">
        <f>I16*(1+Parámetros!$B$10)</f>
        <v>624512</v>
      </c>
      <c r="K16" s="34">
        <f>E16/Parámetros!$B$4*Parámetros!$B$5</f>
        <v>231400</v>
      </c>
      <c r="L16" s="34">
        <f>Parámetros!$B$6</f>
        <v>50000</v>
      </c>
      <c r="M16" s="27">
        <v>50000</v>
      </c>
      <c r="N16" s="34">
        <f>J16*Parámetros!$B$9</f>
        <v>18735.36</v>
      </c>
      <c r="O16" s="34">
        <f>Parámetros!$B$8</f>
        <v>30000</v>
      </c>
      <c r="P16" s="28">
        <v>1</v>
      </c>
      <c r="Q16" s="34">
        <f>IF(P16="",0,P16*Parámetros!$B$11)</f>
        <v>33000</v>
      </c>
      <c r="R16" s="35">
        <f t="shared" si="1"/>
        <v>413135.35999999999</v>
      </c>
      <c r="S16" s="34">
        <f t="shared" si="2"/>
        <v>928.39406741573032</v>
      </c>
      <c r="T16" s="34">
        <f t="shared" si="3"/>
        <v>1179.3258426966293</v>
      </c>
      <c r="U16" s="34">
        <f t="shared" si="4"/>
        <v>111664.64000000001</v>
      </c>
      <c r="V16" s="36">
        <f t="shared" si="5"/>
        <v>0.31135670731707316</v>
      </c>
      <c r="W16" s="36">
        <f t="shared" si="6"/>
        <v>0.21277560975609758</v>
      </c>
    </row>
    <row r="17" spans="1:23" x14ac:dyDescent="0.35">
      <c r="A17" s="18" t="s">
        <v>120</v>
      </c>
      <c r="B17" s="22" t="s">
        <v>133</v>
      </c>
      <c r="C17" s="23">
        <v>227</v>
      </c>
      <c r="D17" s="23">
        <v>193</v>
      </c>
      <c r="E17" s="24">
        <f t="shared" si="0"/>
        <v>420</v>
      </c>
      <c r="F17" s="25">
        <v>420000</v>
      </c>
      <c r="G17" s="25">
        <f>F17*Parámetros!$B$12</f>
        <v>42000</v>
      </c>
      <c r="H17" s="25">
        <v>12000</v>
      </c>
      <c r="I17" s="26">
        <v>537600</v>
      </c>
      <c r="J17" s="25">
        <f>I17*(1+Parámetros!$B$10)</f>
        <v>639744</v>
      </c>
      <c r="K17" s="25">
        <f>E17/Parámetros!$B$4*Parámetros!$B$5</f>
        <v>218400</v>
      </c>
      <c r="L17" s="25">
        <f>Parámetros!$B$6</f>
        <v>50000</v>
      </c>
      <c r="M17" s="27">
        <v>50000</v>
      </c>
      <c r="N17" s="25">
        <f>J17*Parámetros!$B$9</f>
        <v>19192.32</v>
      </c>
      <c r="O17" s="25">
        <f>Parámetros!$B$8</f>
        <v>30000</v>
      </c>
      <c r="P17" s="28">
        <v>1</v>
      </c>
      <c r="Q17" s="25">
        <f>IF(P17="",0,P17*Parámetros!$B$11)</f>
        <v>33000</v>
      </c>
      <c r="R17" s="29">
        <f t="shared" si="1"/>
        <v>400592.32</v>
      </c>
      <c r="S17" s="25">
        <f t="shared" si="2"/>
        <v>953.7912380952381</v>
      </c>
      <c r="T17" s="25">
        <f t="shared" si="3"/>
        <v>1280</v>
      </c>
      <c r="U17" s="25">
        <f t="shared" si="4"/>
        <v>137007.67999999999</v>
      </c>
      <c r="V17" s="30">
        <f t="shared" si="5"/>
        <v>0.35193452380952384</v>
      </c>
      <c r="W17" s="30">
        <f t="shared" si="6"/>
        <v>0.25485059523809522</v>
      </c>
    </row>
    <row r="18" spans="1:23" x14ac:dyDescent="0.35">
      <c r="A18" s="15" t="s">
        <v>120</v>
      </c>
      <c r="B18" s="31" t="s">
        <v>134</v>
      </c>
      <c r="C18" s="32">
        <v>246</v>
      </c>
      <c r="D18" s="32">
        <v>208</v>
      </c>
      <c r="E18" s="33">
        <f t="shared" si="0"/>
        <v>454</v>
      </c>
      <c r="F18" s="34">
        <v>400000</v>
      </c>
      <c r="G18" s="34">
        <f>F18*Parámetros!$B$12</f>
        <v>40000</v>
      </c>
      <c r="H18" s="34">
        <v>12000</v>
      </c>
      <c r="I18" s="26">
        <v>512000</v>
      </c>
      <c r="J18" s="34">
        <f>I18*(1+Parámetros!$B$10)</f>
        <v>609280</v>
      </c>
      <c r="K18" s="34">
        <f>E18/Parámetros!$B$4*Parámetros!$B$5</f>
        <v>236080</v>
      </c>
      <c r="L18" s="34">
        <f>Parámetros!$B$6</f>
        <v>50000</v>
      </c>
      <c r="M18" s="27">
        <v>50000</v>
      </c>
      <c r="N18" s="34">
        <f>J18*Parámetros!$B$9</f>
        <v>18278.399999999998</v>
      </c>
      <c r="O18" s="34">
        <f>Parámetros!$B$8</f>
        <v>30000</v>
      </c>
      <c r="P18" s="28">
        <v>1</v>
      </c>
      <c r="Q18" s="34">
        <f>IF(P18="",0,P18*Parámetros!$B$11)</f>
        <v>33000</v>
      </c>
      <c r="R18" s="35">
        <f t="shared" si="1"/>
        <v>417358.4</v>
      </c>
      <c r="S18" s="34">
        <f t="shared" si="2"/>
        <v>919.2916299559472</v>
      </c>
      <c r="T18" s="34">
        <f t="shared" si="3"/>
        <v>1127.7533039647576</v>
      </c>
      <c r="U18" s="34">
        <f t="shared" si="4"/>
        <v>94641.599999999977</v>
      </c>
      <c r="V18" s="36">
        <f t="shared" si="5"/>
        <v>0.28499999999999998</v>
      </c>
      <c r="W18" s="36">
        <f t="shared" si="6"/>
        <v>0.18484687499999997</v>
      </c>
    </row>
    <row r="19" spans="1:23" x14ac:dyDescent="0.35">
      <c r="A19" s="18" t="s">
        <v>120</v>
      </c>
      <c r="B19" s="22" t="s">
        <v>135</v>
      </c>
      <c r="C19" s="23">
        <v>213</v>
      </c>
      <c r="D19" s="23">
        <v>210</v>
      </c>
      <c r="E19" s="24">
        <f t="shared" si="0"/>
        <v>423</v>
      </c>
      <c r="F19" s="25">
        <v>450000</v>
      </c>
      <c r="G19" s="25">
        <f>F19*Parámetros!$B$12</f>
        <v>45000</v>
      </c>
      <c r="H19" s="25">
        <v>12000</v>
      </c>
      <c r="I19" s="26">
        <v>576000</v>
      </c>
      <c r="J19" s="25">
        <f>I19*(1+Parámetros!$B$10)</f>
        <v>685440</v>
      </c>
      <c r="K19" s="25">
        <f>E19/Parámetros!$B$4*Parámetros!$B$5</f>
        <v>219959.99999999997</v>
      </c>
      <c r="L19" s="25">
        <f>Parámetros!$B$6</f>
        <v>50000</v>
      </c>
      <c r="M19" s="27">
        <v>50000</v>
      </c>
      <c r="N19" s="25">
        <f>J19*Parámetros!$B$9</f>
        <v>20563.2</v>
      </c>
      <c r="O19" s="25">
        <f>Parámetros!$B$8</f>
        <v>30000</v>
      </c>
      <c r="P19" s="28">
        <v>1</v>
      </c>
      <c r="Q19" s="25">
        <f>IF(P19="",0,P19*Parámetros!$B$11)</f>
        <v>33000</v>
      </c>
      <c r="R19" s="29">
        <f t="shared" si="1"/>
        <v>403523.2</v>
      </c>
      <c r="S19" s="25">
        <f t="shared" si="2"/>
        <v>953.95555555555563</v>
      </c>
      <c r="T19" s="25">
        <f t="shared" si="3"/>
        <v>1361.7021276595744</v>
      </c>
      <c r="U19" s="25">
        <f t="shared" si="4"/>
        <v>172476.79999999999</v>
      </c>
      <c r="V19" s="30">
        <f t="shared" si="5"/>
        <v>0.39243055555555556</v>
      </c>
      <c r="W19" s="30">
        <f t="shared" si="6"/>
        <v>0.29943888888888887</v>
      </c>
    </row>
    <row r="20" spans="1:23" x14ac:dyDescent="0.35">
      <c r="A20" s="15" t="s">
        <v>120</v>
      </c>
      <c r="B20" s="31" t="s">
        <v>136</v>
      </c>
      <c r="C20" s="32">
        <v>294</v>
      </c>
      <c r="D20" s="32">
        <v>213</v>
      </c>
      <c r="E20" s="33">
        <f t="shared" si="0"/>
        <v>507</v>
      </c>
      <c r="F20" s="34">
        <v>490000</v>
      </c>
      <c r="G20" s="34">
        <f>F20*Parámetros!$B$12</f>
        <v>49000</v>
      </c>
      <c r="H20" s="34">
        <v>12000</v>
      </c>
      <c r="I20" s="26">
        <v>627200</v>
      </c>
      <c r="J20" s="34">
        <f>I20*(1+Parámetros!$B$10)</f>
        <v>746368</v>
      </c>
      <c r="K20" s="34">
        <f>E20/Parámetros!$B$4*Parámetros!$B$5</f>
        <v>263640</v>
      </c>
      <c r="L20" s="34">
        <f>Parámetros!$B$6</f>
        <v>50000</v>
      </c>
      <c r="M20" s="27">
        <v>50000</v>
      </c>
      <c r="N20" s="34">
        <f>J20*Parámetros!$B$9</f>
        <v>22391.040000000001</v>
      </c>
      <c r="O20" s="34">
        <f>Parámetros!$B$8</f>
        <v>30000</v>
      </c>
      <c r="P20" s="28">
        <v>1</v>
      </c>
      <c r="Q20" s="34">
        <f>IF(P20="",0,P20*Parámetros!$B$11)</f>
        <v>33000</v>
      </c>
      <c r="R20" s="35">
        <f t="shared" si="1"/>
        <v>449031.04</v>
      </c>
      <c r="S20" s="34">
        <f t="shared" si="2"/>
        <v>885.66280078895454</v>
      </c>
      <c r="T20" s="34">
        <f t="shared" si="3"/>
        <v>1237.0808678500987</v>
      </c>
      <c r="U20" s="34">
        <f t="shared" si="4"/>
        <v>178168.96000000002</v>
      </c>
      <c r="V20" s="36">
        <f t="shared" si="5"/>
        <v>0.37238520408163267</v>
      </c>
      <c r="W20" s="36">
        <f t="shared" si="6"/>
        <v>0.28407040816326534</v>
      </c>
    </row>
    <row r="21" spans="1:23" x14ac:dyDescent="0.35">
      <c r="A21" s="18" t="s">
        <v>120</v>
      </c>
      <c r="B21" s="22" t="s">
        <v>137</v>
      </c>
      <c r="C21" s="23">
        <v>262</v>
      </c>
      <c r="D21" s="23">
        <v>224</v>
      </c>
      <c r="E21" s="24">
        <f t="shared" si="0"/>
        <v>486</v>
      </c>
      <c r="F21" s="25">
        <v>490000</v>
      </c>
      <c r="G21" s="25">
        <f>F21*Parámetros!$B$12</f>
        <v>49000</v>
      </c>
      <c r="H21" s="25">
        <v>12000</v>
      </c>
      <c r="I21" s="26">
        <v>627200</v>
      </c>
      <c r="J21" s="25">
        <f>I21*(1+Parámetros!$B$10)</f>
        <v>746368</v>
      </c>
      <c r="K21" s="25">
        <f>E21/Parámetros!$B$4*Parámetros!$B$5</f>
        <v>252720</v>
      </c>
      <c r="L21" s="25">
        <f>Parámetros!$B$6</f>
        <v>50000</v>
      </c>
      <c r="M21" s="27">
        <v>50000</v>
      </c>
      <c r="N21" s="25">
        <f>J21*Parámetros!$B$9</f>
        <v>22391.040000000001</v>
      </c>
      <c r="O21" s="25">
        <f>Parámetros!$B$8</f>
        <v>30000</v>
      </c>
      <c r="P21" s="28">
        <v>1</v>
      </c>
      <c r="Q21" s="25">
        <f>IF(P21="",0,P21*Parámetros!$B$11)</f>
        <v>33000</v>
      </c>
      <c r="R21" s="29">
        <f t="shared" si="1"/>
        <v>438111.04</v>
      </c>
      <c r="S21" s="25">
        <f t="shared" si="2"/>
        <v>901.46304526748963</v>
      </c>
      <c r="T21" s="25">
        <f t="shared" si="3"/>
        <v>1290.5349794238682</v>
      </c>
      <c r="U21" s="25">
        <f t="shared" si="4"/>
        <v>189088.96000000002</v>
      </c>
      <c r="V21" s="30">
        <f t="shared" si="5"/>
        <v>0.38979591836734695</v>
      </c>
      <c r="W21" s="30">
        <f t="shared" si="6"/>
        <v>0.30148112244897962</v>
      </c>
    </row>
    <row r="22" spans="1:23" x14ac:dyDescent="0.35">
      <c r="A22" s="15" t="s">
        <v>120</v>
      </c>
      <c r="B22" s="31" t="s">
        <v>138</v>
      </c>
      <c r="C22" s="32">
        <v>263</v>
      </c>
      <c r="D22" s="32">
        <v>224</v>
      </c>
      <c r="E22" s="33">
        <f t="shared" si="0"/>
        <v>487</v>
      </c>
      <c r="F22" s="34">
        <v>490000</v>
      </c>
      <c r="G22" s="34">
        <f>F22*Parámetros!$B$12</f>
        <v>49000</v>
      </c>
      <c r="H22" s="34">
        <v>12000</v>
      </c>
      <c r="I22" s="26">
        <v>627200</v>
      </c>
      <c r="J22" s="34">
        <f>I22*(1+Parámetros!$B$10)</f>
        <v>746368</v>
      </c>
      <c r="K22" s="34">
        <f>E22/Parámetros!$B$4*Parámetros!$B$5</f>
        <v>253240.00000000003</v>
      </c>
      <c r="L22" s="34">
        <f>Parámetros!$B$6</f>
        <v>50000</v>
      </c>
      <c r="M22" s="27">
        <v>50000</v>
      </c>
      <c r="N22" s="34">
        <f>J22*Parámetros!$B$9</f>
        <v>22391.040000000001</v>
      </c>
      <c r="O22" s="34">
        <f>Parámetros!$B$8</f>
        <v>30000</v>
      </c>
      <c r="P22" s="28">
        <v>1</v>
      </c>
      <c r="Q22" s="34">
        <f>IF(P22="",0,P22*Parámetros!$B$11)</f>
        <v>33000</v>
      </c>
      <c r="R22" s="35">
        <f t="shared" si="1"/>
        <v>438631.04</v>
      </c>
      <c r="S22" s="34">
        <f t="shared" si="2"/>
        <v>900.67975359342915</v>
      </c>
      <c r="T22" s="34">
        <f t="shared" si="3"/>
        <v>1287.8850102669405</v>
      </c>
      <c r="U22" s="34">
        <f t="shared" si="4"/>
        <v>188568.96000000002</v>
      </c>
      <c r="V22" s="36">
        <f t="shared" si="5"/>
        <v>0.3889668367346939</v>
      </c>
      <c r="W22" s="36">
        <f t="shared" si="6"/>
        <v>0.30065204081632657</v>
      </c>
    </row>
    <row r="23" spans="1:23" x14ac:dyDescent="0.35">
      <c r="A23" s="18" t="s">
        <v>120</v>
      </c>
      <c r="B23" s="22" t="s">
        <v>139</v>
      </c>
      <c r="C23" s="23">
        <v>263</v>
      </c>
      <c r="D23" s="23">
        <v>224</v>
      </c>
      <c r="E23" s="24">
        <f t="shared" si="0"/>
        <v>487</v>
      </c>
      <c r="F23" s="25">
        <v>490000</v>
      </c>
      <c r="G23" s="25">
        <f>F23*Parámetros!$B$12</f>
        <v>49000</v>
      </c>
      <c r="H23" s="25">
        <v>12000</v>
      </c>
      <c r="I23" s="26">
        <v>627200</v>
      </c>
      <c r="J23" s="25">
        <f>I23*(1+Parámetros!$B$10)</f>
        <v>746368</v>
      </c>
      <c r="K23" s="25">
        <f>E23/Parámetros!$B$4*Parámetros!$B$5</f>
        <v>253240.00000000003</v>
      </c>
      <c r="L23" s="25">
        <f>Parámetros!$B$6</f>
        <v>50000</v>
      </c>
      <c r="M23" s="27">
        <v>50000</v>
      </c>
      <c r="N23" s="25">
        <f>J23*Parámetros!$B$9</f>
        <v>22391.040000000001</v>
      </c>
      <c r="O23" s="25">
        <f>Parámetros!$B$8</f>
        <v>30000</v>
      </c>
      <c r="P23" s="28">
        <v>1</v>
      </c>
      <c r="Q23" s="25">
        <f>IF(P23="",0,P23*Parámetros!$B$11)</f>
        <v>33000</v>
      </c>
      <c r="R23" s="29">
        <f t="shared" si="1"/>
        <v>438631.04</v>
      </c>
      <c r="S23" s="25">
        <f t="shared" si="2"/>
        <v>900.67975359342915</v>
      </c>
      <c r="T23" s="25">
        <f t="shared" si="3"/>
        <v>1287.8850102669405</v>
      </c>
      <c r="U23" s="25">
        <f t="shared" si="4"/>
        <v>188568.96000000002</v>
      </c>
      <c r="V23" s="30">
        <f t="shared" si="5"/>
        <v>0.3889668367346939</v>
      </c>
      <c r="W23" s="30">
        <f t="shared" si="6"/>
        <v>0.30065204081632657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3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141</v>
      </c>
      <c r="B5" s="22" t="s">
        <v>142</v>
      </c>
      <c r="C5" s="23">
        <v>286</v>
      </c>
      <c r="D5" s="23">
        <v>248</v>
      </c>
      <c r="E5" s="24">
        <f t="shared" ref="E5:E24" si="0">C5+D5</f>
        <v>534</v>
      </c>
      <c r="F5" s="25">
        <v>480000</v>
      </c>
      <c r="G5" s="25">
        <f>F5*Parámetros!$B$12</f>
        <v>48000</v>
      </c>
      <c r="H5" s="25">
        <v>12000</v>
      </c>
      <c r="I5" s="26">
        <v>614400</v>
      </c>
      <c r="J5" s="25">
        <f>I5*(1+Parámetros!$B$10)</f>
        <v>731136</v>
      </c>
      <c r="K5" s="25">
        <f>E5/Parámetros!$B$4*Parámetros!$B$5</f>
        <v>277680</v>
      </c>
      <c r="L5" s="25">
        <f>Parámetros!$B$6</f>
        <v>50000</v>
      </c>
      <c r="M5" s="27"/>
      <c r="N5" s="25">
        <f>J5*Parámetros!$B$9</f>
        <v>21934.079999999998</v>
      </c>
      <c r="O5" s="25">
        <f>Parámetros!$B$8</f>
        <v>30000</v>
      </c>
      <c r="P5" s="28">
        <v>1</v>
      </c>
      <c r="Q5" s="25">
        <f>IF(P5="",0,P5*Parámetros!$B$11)</f>
        <v>33000</v>
      </c>
      <c r="R5" s="29">
        <f t="shared" ref="R5:R24" si="1">K5+L5+M5+N5+O5+Q5</f>
        <v>412614.08</v>
      </c>
      <c r="S5" s="25">
        <f>IF(E5=0,"",R5/E5)</f>
        <v>772.68554307116108</v>
      </c>
      <c r="T5" s="25">
        <f>IF(E5=0,"",I5/E5)</f>
        <v>1150.5617977528091</v>
      </c>
      <c r="U5" s="25">
        <f t="shared" ref="U5:U24" si="2">I5-R5</f>
        <v>201785.91999999998</v>
      </c>
      <c r="V5" s="30">
        <f t="shared" ref="V5:V24" si="3">IF(I5=0,"",(I5-K5-L5-M5-O5)/I5)</f>
        <v>0.41783854166666667</v>
      </c>
      <c r="W5" s="30">
        <f t="shared" ref="W5:W24" si="4">IF(I5=0,"",U5/I5)</f>
        <v>0.32842760416666666</v>
      </c>
    </row>
    <row r="6" spans="1:23" x14ac:dyDescent="0.35">
      <c r="A6" s="15" t="s">
        <v>141</v>
      </c>
      <c r="B6" s="31" t="s">
        <v>143</v>
      </c>
      <c r="C6" s="32">
        <v>300</v>
      </c>
      <c r="D6" s="32">
        <v>262</v>
      </c>
      <c r="E6" s="33">
        <f t="shared" si="0"/>
        <v>562</v>
      </c>
      <c r="F6" s="34">
        <v>480000</v>
      </c>
      <c r="G6" s="34">
        <f>F6*Parámetros!$B$12</f>
        <v>48000</v>
      </c>
      <c r="H6" s="34">
        <v>12000</v>
      </c>
      <c r="I6" s="26">
        <v>614400</v>
      </c>
      <c r="J6" s="34">
        <f>I6*(1+Parámetros!$B$10)</f>
        <v>731136</v>
      </c>
      <c r="K6" s="34">
        <f>E6/Parámetros!$B$4*Parámetros!$B$5</f>
        <v>292240</v>
      </c>
      <c r="L6" s="34">
        <f>Parámetros!$B$6</f>
        <v>50000</v>
      </c>
      <c r="M6" s="27"/>
      <c r="N6" s="34">
        <f>J6*Parámetros!$B$9</f>
        <v>21934.079999999998</v>
      </c>
      <c r="O6" s="34">
        <f>Parámetros!$B$8</f>
        <v>30000</v>
      </c>
      <c r="P6" s="28">
        <v>1</v>
      </c>
      <c r="Q6" s="34">
        <f>IF(P6="",0,P6*Parámetros!$B$11)</f>
        <v>33000</v>
      </c>
      <c r="R6" s="35">
        <f t="shared" si="1"/>
        <v>427174.08</v>
      </c>
      <c r="S6" s="34">
        <f>IF(E6=0,"",R6/E6)</f>
        <v>760.0962277580071</v>
      </c>
      <c r="T6" s="34">
        <f>IF(E6=0,"",I6/E6)</f>
        <v>1093.238434163701</v>
      </c>
      <c r="U6" s="34">
        <f t="shared" si="2"/>
        <v>187225.91999999998</v>
      </c>
      <c r="V6" s="36">
        <f t="shared" si="3"/>
        <v>0.39414062500000002</v>
      </c>
      <c r="W6" s="36">
        <f t="shared" si="4"/>
        <v>0.30472968749999996</v>
      </c>
    </row>
    <row r="7" spans="1:23" x14ac:dyDescent="0.35">
      <c r="A7" s="18" t="s">
        <v>141</v>
      </c>
      <c r="B7" s="22" t="s">
        <v>144</v>
      </c>
      <c r="C7" s="23">
        <v>297</v>
      </c>
      <c r="D7" s="23">
        <v>259</v>
      </c>
      <c r="E7" s="24">
        <f t="shared" si="0"/>
        <v>556</v>
      </c>
      <c r="F7" s="25">
        <v>480000</v>
      </c>
      <c r="G7" s="25">
        <f>F7*Parámetros!$B$12</f>
        <v>48000</v>
      </c>
      <c r="H7" s="25">
        <v>12000</v>
      </c>
      <c r="I7" s="26">
        <v>614400</v>
      </c>
      <c r="J7" s="25">
        <f>I7*(1+Parámetros!$B$10)</f>
        <v>731136</v>
      </c>
      <c r="K7" s="25">
        <f>E7/Parámetros!$B$4*Parámetros!$B$5</f>
        <v>289120</v>
      </c>
      <c r="L7" s="25">
        <f>Parámetros!$B$6</f>
        <v>50000</v>
      </c>
      <c r="M7" s="27"/>
      <c r="N7" s="25">
        <f>J7*Parámetros!$B$9</f>
        <v>21934.079999999998</v>
      </c>
      <c r="O7" s="25">
        <f>Parámetros!$B$8</f>
        <v>30000</v>
      </c>
      <c r="P7" s="28">
        <v>1</v>
      </c>
      <c r="Q7" s="25">
        <f>IF(P7="",0,P7*Parámetros!$B$11)</f>
        <v>33000</v>
      </c>
      <c r="R7" s="29">
        <f t="shared" si="1"/>
        <v>424054.08</v>
      </c>
      <c r="S7" s="25">
        <f>IF(E7=0,"",R7/E7)</f>
        <v>762.68719424460437</v>
      </c>
      <c r="T7" s="25">
        <f>IF(E7=0,"",I7/E7)</f>
        <v>1105.0359712230215</v>
      </c>
      <c r="U7" s="25">
        <f t="shared" si="2"/>
        <v>190345.91999999998</v>
      </c>
      <c r="V7" s="30">
        <f t="shared" si="3"/>
        <v>0.39921875000000001</v>
      </c>
      <c r="W7" s="30">
        <f t="shared" si="4"/>
        <v>0.30980781249999995</v>
      </c>
    </row>
    <row r="8" spans="1:23" x14ac:dyDescent="0.35">
      <c r="A8" s="15" t="s">
        <v>141</v>
      </c>
      <c r="B8" s="31" t="s">
        <v>145</v>
      </c>
      <c r="C8" s="32">
        <v>305</v>
      </c>
      <c r="D8" s="32">
        <v>267</v>
      </c>
      <c r="E8" s="33">
        <f t="shared" si="0"/>
        <v>572</v>
      </c>
      <c r="F8" s="34">
        <v>480000</v>
      </c>
      <c r="G8" s="34">
        <f>F8*Parámetros!$B$12</f>
        <v>48000</v>
      </c>
      <c r="H8" s="34">
        <v>12000</v>
      </c>
      <c r="I8" s="26">
        <v>614400</v>
      </c>
      <c r="J8" s="34">
        <f>I8*(1+Parámetros!$B$10)</f>
        <v>731136</v>
      </c>
      <c r="K8" s="34">
        <f>E8/Parámetros!$B$4*Parámetros!$B$5</f>
        <v>297440</v>
      </c>
      <c r="L8" s="34">
        <f>Parámetros!$B$6</f>
        <v>50000</v>
      </c>
      <c r="M8" s="27"/>
      <c r="N8" s="34">
        <f>J8*Parámetros!$B$9</f>
        <v>21934.079999999998</v>
      </c>
      <c r="O8" s="34">
        <f>Parámetros!$B$8</f>
        <v>30000</v>
      </c>
      <c r="P8" s="28">
        <v>1</v>
      </c>
      <c r="Q8" s="34">
        <f>IF(P8="",0,P8*Parámetros!$B$11)</f>
        <v>33000</v>
      </c>
      <c r="R8" s="35">
        <f t="shared" si="1"/>
        <v>432374.08</v>
      </c>
      <c r="S8" s="34">
        <f>IF(E8=0,"",R8/E8)</f>
        <v>755.89874125874132</v>
      </c>
      <c r="T8" s="34">
        <f>IF(E8=0,"",I8/E8)</f>
        <v>1074.1258741258741</v>
      </c>
      <c r="U8" s="34">
        <f t="shared" si="2"/>
        <v>182025.91999999998</v>
      </c>
      <c r="V8" s="36">
        <f t="shared" si="3"/>
        <v>0.38567708333333334</v>
      </c>
      <c r="W8" s="36">
        <f t="shared" si="4"/>
        <v>0.29626614583333333</v>
      </c>
    </row>
    <row r="9" spans="1:23" x14ac:dyDescent="0.35">
      <c r="A9" s="18" t="s">
        <v>141</v>
      </c>
      <c r="B9" s="22" t="s">
        <v>146</v>
      </c>
      <c r="C9" s="23">
        <v>317</v>
      </c>
      <c r="D9" s="23">
        <v>279</v>
      </c>
      <c r="E9" s="24">
        <f t="shared" si="0"/>
        <v>596</v>
      </c>
      <c r="F9" s="25">
        <v>480000</v>
      </c>
      <c r="G9" s="25">
        <f>F9*Parámetros!$B$12</f>
        <v>48000</v>
      </c>
      <c r="H9" s="25">
        <v>12000</v>
      </c>
      <c r="I9" s="26">
        <v>614400</v>
      </c>
      <c r="J9" s="25">
        <f>I9*(1+Parámetros!$B$10)</f>
        <v>731136</v>
      </c>
      <c r="K9" s="25">
        <f>E9/Parámetros!$B$4*Parámetros!$B$5</f>
        <v>309920</v>
      </c>
      <c r="L9" s="25">
        <f>Parámetros!$B$6</f>
        <v>50000</v>
      </c>
      <c r="M9" s="27"/>
      <c r="N9" s="25">
        <f>J9*Parámetros!$B$9</f>
        <v>21934.079999999998</v>
      </c>
      <c r="O9" s="25">
        <f>Parámetros!$B$8</f>
        <v>30000</v>
      </c>
      <c r="P9" s="28">
        <v>1</v>
      </c>
      <c r="Q9" s="25">
        <f>IF(P9="",0,P9*Parámetros!$B$11)</f>
        <v>33000</v>
      </c>
      <c r="R9" s="29">
        <f t="shared" si="1"/>
        <v>444854.08</v>
      </c>
      <c r="S9" s="25">
        <f>IF(E9=0,"",R9/E9)</f>
        <v>746.39946308724836</v>
      </c>
      <c r="T9" s="25">
        <f>IF(E9=0,"",I9/E9)</f>
        <v>1030.8724832214766</v>
      </c>
      <c r="U9" s="25">
        <f t="shared" si="2"/>
        <v>169545.91999999998</v>
      </c>
      <c r="V9" s="30">
        <f t="shared" si="3"/>
        <v>0.36536458333333333</v>
      </c>
      <c r="W9" s="30">
        <f t="shared" si="4"/>
        <v>0.27595364583333332</v>
      </c>
    </row>
    <row r="10" spans="1:23" x14ac:dyDescent="0.35">
      <c r="A10" s="15" t="s">
        <v>141</v>
      </c>
      <c r="B10" s="31" t="s">
        <v>147</v>
      </c>
      <c r="C10" s="32">
        <v>343</v>
      </c>
      <c r="D10" s="32">
        <v>305</v>
      </c>
      <c r="E10" s="33">
        <f t="shared" si="0"/>
        <v>648</v>
      </c>
      <c r="F10" s="34">
        <v>480000</v>
      </c>
      <c r="G10" s="34">
        <f>F10*Parámetros!$B$12</f>
        <v>48000</v>
      </c>
      <c r="H10" s="34">
        <v>12000</v>
      </c>
      <c r="I10" s="26">
        <v>614400</v>
      </c>
      <c r="J10" s="34">
        <f>I10*(1+Parámetros!$B$10)</f>
        <v>731136</v>
      </c>
      <c r="K10" s="34">
        <f>E10/Parámetros!$B$4*Parámetros!$B$5</f>
        <v>336960</v>
      </c>
      <c r="L10" s="34">
        <f>Parámetros!$B$6</f>
        <v>50000</v>
      </c>
      <c r="M10" s="27"/>
      <c r="N10" s="34">
        <f>J10*Parámetros!$B$9</f>
        <v>21934.079999999998</v>
      </c>
      <c r="O10" s="34">
        <f>Parámetros!$B$8</f>
        <v>30000</v>
      </c>
      <c r="P10" s="28">
        <v>1</v>
      </c>
      <c r="Q10" s="34">
        <f>IF(P10="",0,P10*Parámetros!$B$11)</f>
        <v>33000</v>
      </c>
      <c r="R10" s="35">
        <f t="shared" si="1"/>
        <v>471894.08</v>
      </c>
      <c r="S10" s="34">
        <f>IF(E10=0,"",R10/E10)</f>
        <v>728.23160493827163</v>
      </c>
      <c r="T10" s="34">
        <f>IF(E10=0,"",I10/E10)</f>
        <v>948.14814814814815</v>
      </c>
      <c r="U10" s="34">
        <f t="shared" si="2"/>
        <v>142505.91999999998</v>
      </c>
      <c r="V10" s="36">
        <f t="shared" si="3"/>
        <v>0.32135416666666666</v>
      </c>
      <c r="W10" s="36">
        <f t="shared" si="4"/>
        <v>0.23194322916666665</v>
      </c>
    </row>
    <row r="11" spans="1:23" x14ac:dyDescent="0.35">
      <c r="A11" s="18" t="s">
        <v>141</v>
      </c>
      <c r="B11" s="22" t="s">
        <v>148</v>
      </c>
      <c r="C11" s="23">
        <v>348</v>
      </c>
      <c r="D11" s="23">
        <v>310</v>
      </c>
      <c r="E11" s="24">
        <f t="shared" si="0"/>
        <v>658</v>
      </c>
      <c r="F11" s="25">
        <v>480000</v>
      </c>
      <c r="G11" s="25">
        <f>F11*Parámetros!$B$12</f>
        <v>48000</v>
      </c>
      <c r="H11" s="25">
        <v>12000</v>
      </c>
      <c r="I11" s="26">
        <v>614400</v>
      </c>
      <c r="J11" s="25">
        <f>I11*(1+Parámetros!$B$10)</f>
        <v>731136</v>
      </c>
      <c r="K11" s="25">
        <f>E11/Parámetros!$B$4*Parámetros!$B$5</f>
        <v>342160</v>
      </c>
      <c r="L11" s="25">
        <f>Parámetros!$B$6</f>
        <v>50000</v>
      </c>
      <c r="M11" s="27"/>
      <c r="N11" s="25">
        <f>J11*Parámetros!$B$9</f>
        <v>21934.079999999998</v>
      </c>
      <c r="O11" s="25">
        <f>Parámetros!$B$8</f>
        <v>30000</v>
      </c>
      <c r="P11" s="28">
        <v>1</v>
      </c>
      <c r="Q11" s="25">
        <f>IF(P11="",0,P11*Parámetros!$B$11)</f>
        <v>33000</v>
      </c>
      <c r="R11" s="29">
        <f t="shared" si="1"/>
        <v>477094.08</v>
      </c>
      <c r="S11" s="25">
        <f>IF(E11=0,"",R11/E11)</f>
        <v>725.06699088145899</v>
      </c>
      <c r="T11" s="25">
        <f>IF(E11=0,"",I11/E11)</f>
        <v>933.73860182370822</v>
      </c>
      <c r="U11" s="25">
        <f t="shared" si="2"/>
        <v>137305.91999999998</v>
      </c>
      <c r="V11" s="30">
        <f t="shared" si="3"/>
        <v>0.31289062499999998</v>
      </c>
      <c r="W11" s="30">
        <f t="shared" si="4"/>
        <v>0.22347968749999997</v>
      </c>
    </row>
    <row r="12" spans="1:23" x14ac:dyDescent="0.35">
      <c r="A12" s="15" t="s">
        <v>141</v>
      </c>
      <c r="B12" s="31" t="s">
        <v>149</v>
      </c>
      <c r="C12" s="32">
        <v>348</v>
      </c>
      <c r="D12" s="32">
        <v>309</v>
      </c>
      <c r="E12" s="33">
        <f t="shared" si="0"/>
        <v>657</v>
      </c>
      <c r="F12" s="34">
        <v>480000</v>
      </c>
      <c r="G12" s="34">
        <f>F12*Parámetros!$B$12</f>
        <v>48000</v>
      </c>
      <c r="H12" s="34">
        <v>12000</v>
      </c>
      <c r="I12" s="26">
        <v>614400</v>
      </c>
      <c r="J12" s="34">
        <f>I12*(1+Parámetros!$B$10)</f>
        <v>731136</v>
      </c>
      <c r="K12" s="34">
        <f>E12/Parámetros!$B$4*Parámetros!$B$5</f>
        <v>341640</v>
      </c>
      <c r="L12" s="34">
        <f>Parámetros!$B$6</f>
        <v>50000</v>
      </c>
      <c r="M12" s="27"/>
      <c r="N12" s="34">
        <f>J12*Parámetros!$B$9</f>
        <v>21934.079999999998</v>
      </c>
      <c r="O12" s="34">
        <f>Parámetros!$B$8</f>
        <v>30000</v>
      </c>
      <c r="P12" s="28">
        <v>1</v>
      </c>
      <c r="Q12" s="34">
        <f>IF(P12="",0,P12*Parámetros!$B$11)</f>
        <v>33000</v>
      </c>
      <c r="R12" s="35">
        <f t="shared" si="1"/>
        <v>476574.08</v>
      </c>
      <c r="S12" s="34">
        <f>IF(E12=0,"",R12/E12)</f>
        <v>725.3791171993912</v>
      </c>
      <c r="T12" s="34">
        <f>IF(E12=0,"",I12/E12)</f>
        <v>935.15981735159812</v>
      </c>
      <c r="U12" s="34">
        <f t="shared" si="2"/>
        <v>137825.91999999998</v>
      </c>
      <c r="V12" s="36">
        <f t="shared" si="3"/>
        <v>0.31373697916666665</v>
      </c>
      <c r="W12" s="36">
        <f t="shared" si="4"/>
        <v>0.22432604166666664</v>
      </c>
    </row>
    <row r="13" spans="1:23" x14ac:dyDescent="0.35">
      <c r="A13" s="18" t="s">
        <v>141</v>
      </c>
      <c r="B13" s="22" t="s">
        <v>150</v>
      </c>
      <c r="C13" s="23">
        <v>362</v>
      </c>
      <c r="D13" s="23">
        <v>324</v>
      </c>
      <c r="E13" s="24">
        <f t="shared" si="0"/>
        <v>686</v>
      </c>
      <c r="F13" s="25">
        <v>500000</v>
      </c>
      <c r="G13" s="25">
        <f>F13*Parámetros!$B$12</f>
        <v>50000</v>
      </c>
      <c r="H13" s="25">
        <v>12000</v>
      </c>
      <c r="I13" s="26">
        <v>640000</v>
      </c>
      <c r="J13" s="25">
        <f>I13*(1+Parámetros!$B$10)</f>
        <v>761600</v>
      </c>
      <c r="K13" s="25">
        <f>E13/Parámetros!$B$4*Parámetros!$B$5</f>
        <v>356719.99999999994</v>
      </c>
      <c r="L13" s="25">
        <f>Parámetros!$B$6</f>
        <v>50000</v>
      </c>
      <c r="M13" s="27"/>
      <c r="N13" s="25">
        <f>J13*Parámetros!$B$9</f>
        <v>22848</v>
      </c>
      <c r="O13" s="25">
        <f>Parámetros!$B$8</f>
        <v>30000</v>
      </c>
      <c r="P13" s="28">
        <v>1</v>
      </c>
      <c r="Q13" s="25">
        <f>IF(P13="",0,P13*Parámetros!$B$11)</f>
        <v>33000</v>
      </c>
      <c r="R13" s="29">
        <f t="shared" si="1"/>
        <v>492567.99999999994</v>
      </c>
      <c r="S13" s="25">
        <f>IF(E13=0,"",R13/E13)</f>
        <v>718.02915451895035</v>
      </c>
      <c r="T13" s="25">
        <f>IF(E13=0,"",I13/E13)</f>
        <v>932.94460641399417</v>
      </c>
      <c r="U13" s="25">
        <f t="shared" si="2"/>
        <v>147432.00000000006</v>
      </c>
      <c r="V13" s="30">
        <f t="shared" si="3"/>
        <v>0.3176250000000001</v>
      </c>
      <c r="W13" s="30">
        <f t="shared" si="4"/>
        <v>0.23036250000000008</v>
      </c>
    </row>
    <row r="14" spans="1:23" x14ac:dyDescent="0.35">
      <c r="A14" s="15" t="s">
        <v>141</v>
      </c>
      <c r="B14" s="31" t="s">
        <v>151</v>
      </c>
      <c r="C14" s="32">
        <v>377</v>
      </c>
      <c r="D14" s="32">
        <v>274</v>
      </c>
      <c r="E14" s="33">
        <f t="shared" si="0"/>
        <v>651</v>
      </c>
      <c r="F14" s="34">
        <v>500000</v>
      </c>
      <c r="G14" s="34">
        <f>F14*Parámetros!$B$12</f>
        <v>50000</v>
      </c>
      <c r="H14" s="34">
        <v>12000</v>
      </c>
      <c r="I14" s="26">
        <v>640000</v>
      </c>
      <c r="J14" s="34">
        <f>I14*(1+Parámetros!$B$10)</f>
        <v>761600</v>
      </c>
      <c r="K14" s="34">
        <f>E14/Parámetros!$B$4*Parámetros!$B$5</f>
        <v>338519.99999999994</v>
      </c>
      <c r="L14" s="34">
        <f>Parámetros!$B$6</f>
        <v>50000</v>
      </c>
      <c r="M14" s="27"/>
      <c r="N14" s="34">
        <f>J14*Parámetros!$B$9</f>
        <v>22848</v>
      </c>
      <c r="O14" s="34">
        <f>Parámetros!$B$8</f>
        <v>30000</v>
      </c>
      <c r="P14" s="28">
        <v>1</v>
      </c>
      <c r="Q14" s="34">
        <f>IF(P14="",0,P14*Parámetros!$B$11)</f>
        <v>33000</v>
      </c>
      <c r="R14" s="35">
        <f t="shared" si="1"/>
        <v>474367.99999999994</v>
      </c>
      <c r="S14" s="34">
        <f>IF(E14=0,"",R14/E14)</f>
        <v>728.67588325652832</v>
      </c>
      <c r="T14" s="34">
        <f>IF(E14=0,"",I14/E14)</f>
        <v>983.10291858678954</v>
      </c>
      <c r="U14" s="34">
        <f t="shared" si="2"/>
        <v>165632.00000000006</v>
      </c>
      <c r="V14" s="36">
        <f t="shared" si="3"/>
        <v>0.34606250000000011</v>
      </c>
      <c r="W14" s="36">
        <f t="shared" si="4"/>
        <v>0.25880000000000009</v>
      </c>
    </row>
    <row r="15" spans="1:23" x14ac:dyDescent="0.35">
      <c r="A15" s="18" t="s">
        <v>141</v>
      </c>
      <c r="B15" s="22" t="s">
        <v>152</v>
      </c>
      <c r="C15" s="23">
        <v>377</v>
      </c>
      <c r="D15" s="23">
        <v>339</v>
      </c>
      <c r="E15" s="24">
        <f t="shared" si="0"/>
        <v>716</v>
      </c>
      <c r="F15" s="25">
        <v>500000</v>
      </c>
      <c r="G15" s="25">
        <f>F15*Parámetros!$B$12</f>
        <v>50000</v>
      </c>
      <c r="H15" s="25">
        <v>12000</v>
      </c>
      <c r="I15" s="26">
        <v>640000</v>
      </c>
      <c r="J15" s="25">
        <f>I15*(1+Parámetros!$B$10)</f>
        <v>761600</v>
      </c>
      <c r="K15" s="25">
        <f>E15/Parámetros!$B$4*Parámetros!$B$5</f>
        <v>372319.99999999994</v>
      </c>
      <c r="L15" s="25">
        <f>Parámetros!$B$6</f>
        <v>50000</v>
      </c>
      <c r="M15" s="27"/>
      <c r="N15" s="25">
        <f>J15*Parámetros!$B$9</f>
        <v>22848</v>
      </c>
      <c r="O15" s="25">
        <f>Parámetros!$B$8</f>
        <v>30000</v>
      </c>
      <c r="P15" s="28">
        <v>1</v>
      </c>
      <c r="Q15" s="25">
        <f>IF(P15="",0,P15*Parámetros!$B$11)</f>
        <v>33000</v>
      </c>
      <c r="R15" s="29">
        <f t="shared" si="1"/>
        <v>508167.99999999994</v>
      </c>
      <c r="S15" s="25">
        <f>IF(E15=0,"",R15/E15)</f>
        <v>709.73184357541891</v>
      </c>
      <c r="T15" s="25">
        <f>IF(E15=0,"",I15/E15)</f>
        <v>893.85474860335194</v>
      </c>
      <c r="U15" s="25">
        <f t="shared" si="2"/>
        <v>131832.00000000006</v>
      </c>
      <c r="V15" s="30">
        <f t="shared" si="3"/>
        <v>0.29325000000000007</v>
      </c>
      <c r="W15" s="30">
        <f t="shared" si="4"/>
        <v>0.2059875000000001</v>
      </c>
    </row>
    <row r="16" spans="1:23" x14ac:dyDescent="0.35">
      <c r="A16" s="15" t="s">
        <v>141</v>
      </c>
      <c r="B16" s="31" t="s">
        <v>153</v>
      </c>
      <c r="C16" s="32">
        <v>380</v>
      </c>
      <c r="D16" s="32">
        <v>342</v>
      </c>
      <c r="E16" s="33">
        <f t="shared" si="0"/>
        <v>722</v>
      </c>
      <c r="F16" s="34">
        <v>500000</v>
      </c>
      <c r="G16" s="34">
        <f>F16*Parámetros!$B$12</f>
        <v>50000</v>
      </c>
      <c r="H16" s="34">
        <v>12000</v>
      </c>
      <c r="I16" s="26">
        <v>640000</v>
      </c>
      <c r="J16" s="34">
        <f>I16*(1+Parámetros!$B$10)</f>
        <v>761600</v>
      </c>
      <c r="K16" s="34">
        <f>E16/Parámetros!$B$4*Parámetros!$B$5</f>
        <v>375440</v>
      </c>
      <c r="L16" s="34">
        <f>Parámetros!$B$6</f>
        <v>50000</v>
      </c>
      <c r="M16" s="27"/>
      <c r="N16" s="34">
        <f>J16*Parámetros!$B$9</f>
        <v>22848</v>
      </c>
      <c r="O16" s="34">
        <f>Parámetros!$B$8</f>
        <v>30000</v>
      </c>
      <c r="P16" s="28">
        <v>1</v>
      </c>
      <c r="Q16" s="34">
        <f>IF(P16="",0,P16*Parámetros!$B$11)</f>
        <v>33000</v>
      </c>
      <c r="R16" s="35">
        <f t="shared" si="1"/>
        <v>511288</v>
      </c>
      <c r="S16" s="34">
        <f>IF(E16=0,"",R16/E16)</f>
        <v>708.15512465373956</v>
      </c>
      <c r="T16" s="34">
        <f>IF(E16=0,"",I16/E16)</f>
        <v>886.42659279778388</v>
      </c>
      <c r="U16" s="34">
        <f t="shared" si="2"/>
        <v>128712</v>
      </c>
      <c r="V16" s="36">
        <f t="shared" si="3"/>
        <v>0.28837499999999999</v>
      </c>
      <c r="W16" s="36">
        <f t="shared" si="4"/>
        <v>0.2011125</v>
      </c>
    </row>
    <row r="17" spans="1:23" x14ac:dyDescent="0.35">
      <c r="A17" s="18" t="s">
        <v>141</v>
      </c>
      <c r="B17" s="22" t="s">
        <v>154</v>
      </c>
      <c r="C17" s="23">
        <v>396</v>
      </c>
      <c r="D17" s="23">
        <v>356</v>
      </c>
      <c r="E17" s="24">
        <f t="shared" si="0"/>
        <v>752</v>
      </c>
      <c r="F17" s="25">
        <v>550000</v>
      </c>
      <c r="G17" s="25">
        <f>F17*Parámetros!$B$12</f>
        <v>55000</v>
      </c>
      <c r="H17" s="25">
        <v>12000</v>
      </c>
      <c r="I17" s="26">
        <v>704000</v>
      </c>
      <c r="J17" s="25">
        <f>I17*(1+Parámetros!$B$10)</f>
        <v>837760</v>
      </c>
      <c r="K17" s="25">
        <f>E17/Parámetros!$B$4*Parámetros!$B$5</f>
        <v>391040</v>
      </c>
      <c r="L17" s="25">
        <f>Parámetros!$B$6</f>
        <v>50000</v>
      </c>
      <c r="M17" s="27"/>
      <c r="N17" s="25">
        <f>J17*Parámetros!$B$9</f>
        <v>25132.799999999999</v>
      </c>
      <c r="O17" s="25">
        <f>Parámetros!$B$8</f>
        <v>30000</v>
      </c>
      <c r="P17" s="28">
        <v>1</v>
      </c>
      <c r="Q17" s="25">
        <f>IF(P17="",0,P17*Parámetros!$B$11)</f>
        <v>33000</v>
      </c>
      <c r="R17" s="29">
        <f t="shared" si="1"/>
        <v>529172.80000000005</v>
      </c>
      <c r="S17" s="25">
        <f>IF(E17=0,"",R17/E17)</f>
        <v>703.6872340425532</v>
      </c>
      <c r="T17" s="25">
        <f>IF(E17=0,"",I17/E17)</f>
        <v>936.17021276595744</v>
      </c>
      <c r="U17" s="25">
        <f t="shared" si="2"/>
        <v>174827.19999999995</v>
      </c>
      <c r="V17" s="30">
        <f t="shared" si="3"/>
        <v>0.33090909090909093</v>
      </c>
      <c r="W17" s="30">
        <f t="shared" si="4"/>
        <v>0.24833409090909084</v>
      </c>
    </row>
    <row r="18" spans="1:23" x14ac:dyDescent="0.35">
      <c r="A18" s="15" t="s">
        <v>141</v>
      </c>
      <c r="B18" s="31" t="s">
        <v>155</v>
      </c>
      <c r="C18" s="32">
        <v>408</v>
      </c>
      <c r="D18" s="32">
        <v>370</v>
      </c>
      <c r="E18" s="33">
        <f t="shared" si="0"/>
        <v>778</v>
      </c>
      <c r="F18" s="34">
        <v>550000</v>
      </c>
      <c r="G18" s="34">
        <f>F18*Parámetros!$B$12</f>
        <v>55000</v>
      </c>
      <c r="H18" s="34">
        <v>12000</v>
      </c>
      <c r="I18" s="26">
        <v>704000</v>
      </c>
      <c r="J18" s="34">
        <f>I18*(1+Parámetros!$B$10)</f>
        <v>837760</v>
      </c>
      <c r="K18" s="34">
        <f>E18/Parámetros!$B$4*Parámetros!$B$5</f>
        <v>404560</v>
      </c>
      <c r="L18" s="34">
        <f>Parámetros!$B$6</f>
        <v>50000</v>
      </c>
      <c r="M18" s="27"/>
      <c r="N18" s="34">
        <f>J18*Parámetros!$B$9</f>
        <v>25132.799999999999</v>
      </c>
      <c r="O18" s="34">
        <f>Parámetros!$B$8</f>
        <v>30000</v>
      </c>
      <c r="P18" s="28">
        <v>1</v>
      </c>
      <c r="Q18" s="34">
        <f>IF(P18="",0,P18*Parámetros!$B$11)</f>
        <v>33000</v>
      </c>
      <c r="R18" s="35">
        <f t="shared" si="1"/>
        <v>542692.80000000005</v>
      </c>
      <c r="S18" s="34">
        <f>IF(E18=0,"",R18/E18)</f>
        <v>697.54858611825193</v>
      </c>
      <c r="T18" s="34">
        <f>IF(E18=0,"",I18/E18)</f>
        <v>904.88431876606683</v>
      </c>
      <c r="U18" s="34">
        <f t="shared" si="2"/>
        <v>161307.19999999995</v>
      </c>
      <c r="V18" s="36">
        <f t="shared" si="3"/>
        <v>0.31170454545454546</v>
      </c>
      <c r="W18" s="36">
        <f t="shared" si="4"/>
        <v>0.22912954545454539</v>
      </c>
    </row>
    <row r="19" spans="1:23" x14ac:dyDescent="0.35">
      <c r="A19" s="18" t="s">
        <v>141</v>
      </c>
      <c r="B19" s="22" t="s">
        <v>156</v>
      </c>
      <c r="C19" s="23">
        <v>412</v>
      </c>
      <c r="D19" s="23">
        <v>374</v>
      </c>
      <c r="E19" s="24">
        <f t="shared" si="0"/>
        <v>786</v>
      </c>
      <c r="F19" s="25">
        <v>530000</v>
      </c>
      <c r="G19" s="25">
        <f>F19*Parámetros!$B$12</f>
        <v>53000</v>
      </c>
      <c r="H19" s="25">
        <v>12000</v>
      </c>
      <c r="I19" s="26">
        <v>678400</v>
      </c>
      <c r="J19" s="25">
        <f>I19*(1+Parámetros!$B$10)</f>
        <v>807296</v>
      </c>
      <c r="K19" s="25">
        <f>E19/Parámetros!$B$4*Parámetros!$B$5</f>
        <v>408719.99999999994</v>
      </c>
      <c r="L19" s="25">
        <f>Parámetros!$B$6</f>
        <v>50000</v>
      </c>
      <c r="M19" s="27"/>
      <c r="N19" s="25">
        <f>J19*Parámetros!$B$9</f>
        <v>24218.879999999997</v>
      </c>
      <c r="O19" s="25">
        <f>Parámetros!$B$8</f>
        <v>30000</v>
      </c>
      <c r="P19" s="28">
        <v>1</v>
      </c>
      <c r="Q19" s="25">
        <f>IF(P19="",0,P19*Parámetros!$B$11)</f>
        <v>33000</v>
      </c>
      <c r="R19" s="29">
        <f t="shared" si="1"/>
        <v>545938.87999999989</v>
      </c>
      <c r="S19" s="25">
        <f>IF(E19=0,"",R19/E19)</f>
        <v>694.57872773536883</v>
      </c>
      <c r="T19" s="25">
        <f>IF(E19=0,"",I19/E19)</f>
        <v>863.10432569974557</v>
      </c>
      <c r="U19" s="25">
        <f t="shared" si="2"/>
        <v>132461.12000000011</v>
      </c>
      <c r="V19" s="30">
        <f t="shared" si="3"/>
        <v>0.27959905660377365</v>
      </c>
      <c r="W19" s="30">
        <f t="shared" si="4"/>
        <v>0.19525518867924546</v>
      </c>
    </row>
    <row r="20" spans="1:23" x14ac:dyDescent="0.35">
      <c r="A20" s="15" t="s">
        <v>141</v>
      </c>
      <c r="B20" s="31" t="s">
        <v>157</v>
      </c>
      <c r="C20" s="32">
        <v>406</v>
      </c>
      <c r="D20" s="32">
        <v>367</v>
      </c>
      <c r="E20" s="33">
        <f t="shared" si="0"/>
        <v>773</v>
      </c>
      <c r="F20" s="34">
        <v>530000</v>
      </c>
      <c r="G20" s="34">
        <f>F20*Parámetros!$B$12</f>
        <v>53000</v>
      </c>
      <c r="H20" s="34">
        <v>12000</v>
      </c>
      <c r="I20" s="26">
        <v>678400</v>
      </c>
      <c r="J20" s="34">
        <f>I20*(1+Parámetros!$B$10)</f>
        <v>807296</v>
      </c>
      <c r="K20" s="34">
        <f>E20/Parámetros!$B$4*Parámetros!$B$5</f>
        <v>401960</v>
      </c>
      <c r="L20" s="34">
        <f>Parámetros!$B$6</f>
        <v>50000</v>
      </c>
      <c r="M20" s="27"/>
      <c r="N20" s="34">
        <f>J20*Parámetros!$B$9</f>
        <v>24218.879999999997</v>
      </c>
      <c r="O20" s="34">
        <f>Parámetros!$B$8</f>
        <v>30000</v>
      </c>
      <c r="P20" s="28">
        <v>1</v>
      </c>
      <c r="Q20" s="34">
        <f>IF(P20="",0,P20*Parámetros!$B$11)</f>
        <v>33000</v>
      </c>
      <c r="R20" s="35">
        <f t="shared" si="1"/>
        <v>539178.88</v>
      </c>
      <c r="S20" s="34">
        <f>IF(E20=0,"",R20/E20)</f>
        <v>697.51472186287197</v>
      </c>
      <c r="T20" s="34">
        <f>IF(E20=0,"",I20/E20)</f>
        <v>877.61966364812417</v>
      </c>
      <c r="U20" s="34">
        <f t="shared" si="2"/>
        <v>139221.12</v>
      </c>
      <c r="V20" s="36">
        <f t="shared" si="3"/>
        <v>0.28956367924528303</v>
      </c>
      <c r="W20" s="36">
        <f t="shared" si="4"/>
        <v>0.2052198113207547</v>
      </c>
    </row>
    <row r="21" spans="1:23" x14ac:dyDescent="0.35">
      <c r="A21" s="18" t="s">
        <v>141</v>
      </c>
      <c r="B21" s="22" t="s">
        <v>158</v>
      </c>
      <c r="C21" s="23">
        <v>424</v>
      </c>
      <c r="D21" s="23">
        <v>384</v>
      </c>
      <c r="E21" s="24">
        <f t="shared" si="0"/>
        <v>808</v>
      </c>
      <c r="F21" s="25">
        <v>550000</v>
      </c>
      <c r="G21" s="25">
        <f>F21*Parámetros!$B$12</f>
        <v>55000</v>
      </c>
      <c r="H21" s="25">
        <v>12000</v>
      </c>
      <c r="I21" s="26">
        <v>704000</v>
      </c>
      <c r="J21" s="25">
        <f>I21*(1+Parámetros!$B$10)</f>
        <v>837760</v>
      </c>
      <c r="K21" s="25">
        <f>E21/Parámetros!$B$4*Parámetros!$B$5</f>
        <v>420160</v>
      </c>
      <c r="L21" s="25">
        <f>Parámetros!$B$6</f>
        <v>50000</v>
      </c>
      <c r="M21" s="27"/>
      <c r="N21" s="25">
        <f>J21*Parámetros!$B$9</f>
        <v>25132.799999999999</v>
      </c>
      <c r="O21" s="25">
        <f>Parámetros!$B$8</f>
        <v>30000</v>
      </c>
      <c r="P21" s="28">
        <v>1</v>
      </c>
      <c r="Q21" s="25">
        <f>IF(P21="",0,P21*Parámetros!$B$11)</f>
        <v>33000</v>
      </c>
      <c r="R21" s="29">
        <f t="shared" si="1"/>
        <v>558292.80000000005</v>
      </c>
      <c r="S21" s="25">
        <f>IF(E21=0,"",R21/E21)</f>
        <v>690.95643564356442</v>
      </c>
      <c r="T21" s="25">
        <f>IF(E21=0,"",I21/E21)</f>
        <v>871.28712871287132</v>
      </c>
      <c r="U21" s="25">
        <f t="shared" si="2"/>
        <v>145707.19999999995</v>
      </c>
      <c r="V21" s="30">
        <f t="shared" si="3"/>
        <v>0.28954545454545455</v>
      </c>
      <c r="W21" s="30">
        <f t="shared" si="4"/>
        <v>0.20697045454545449</v>
      </c>
    </row>
    <row r="22" spans="1:23" x14ac:dyDescent="0.35">
      <c r="A22" s="15" t="s">
        <v>141</v>
      </c>
      <c r="B22" s="31" t="s">
        <v>159</v>
      </c>
      <c r="C22" s="32">
        <v>436</v>
      </c>
      <c r="D22" s="32">
        <v>396</v>
      </c>
      <c r="E22" s="33">
        <f t="shared" si="0"/>
        <v>832</v>
      </c>
      <c r="F22" s="34">
        <v>550000</v>
      </c>
      <c r="G22" s="34">
        <f>F22*Parámetros!$B$12</f>
        <v>55000</v>
      </c>
      <c r="H22" s="34">
        <v>12000</v>
      </c>
      <c r="I22" s="26">
        <v>704000</v>
      </c>
      <c r="J22" s="34">
        <f>I22*(1+Parámetros!$B$10)</f>
        <v>837760</v>
      </c>
      <c r="K22" s="34">
        <f>E22/Parámetros!$B$4*Parámetros!$B$5</f>
        <v>432640</v>
      </c>
      <c r="L22" s="34">
        <f>Parámetros!$B$6</f>
        <v>50000</v>
      </c>
      <c r="M22" s="27"/>
      <c r="N22" s="34">
        <f>J22*Parámetros!$B$9</f>
        <v>25132.799999999999</v>
      </c>
      <c r="O22" s="34">
        <f>Parámetros!$B$8</f>
        <v>30000</v>
      </c>
      <c r="P22" s="28">
        <v>1</v>
      </c>
      <c r="Q22" s="34">
        <f>IF(P22="",0,P22*Parámetros!$B$11)</f>
        <v>33000</v>
      </c>
      <c r="R22" s="35">
        <f t="shared" si="1"/>
        <v>570772.80000000005</v>
      </c>
      <c r="S22" s="34">
        <f>IF(E22=0,"",R22/E22)</f>
        <v>686.02500000000009</v>
      </c>
      <c r="T22" s="34">
        <f>IF(E22=0,"",I22/E22)</f>
        <v>846.15384615384619</v>
      </c>
      <c r="U22" s="34">
        <f t="shared" si="2"/>
        <v>133227.19999999995</v>
      </c>
      <c r="V22" s="36">
        <f t="shared" si="3"/>
        <v>0.27181818181818179</v>
      </c>
      <c r="W22" s="36">
        <f t="shared" si="4"/>
        <v>0.18924318181818175</v>
      </c>
    </row>
    <row r="23" spans="1:23" x14ac:dyDescent="0.35">
      <c r="A23" s="18" t="s">
        <v>141</v>
      </c>
      <c r="B23" s="22" t="s">
        <v>160</v>
      </c>
      <c r="C23" s="23">
        <v>449</v>
      </c>
      <c r="D23" s="23">
        <v>409</v>
      </c>
      <c r="E23" s="24">
        <f t="shared" si="0"/>
        <v>858</v>
      </c>
      <c r="F23" s="25">
        <v>550000</v>
      </c>
      <c r="G23" s="25">
        <f>F23*Parámetros!$B$12</f>
        <v>55000</v>
      </c>
      <c r="H23" s="25">
        <v>12000</v>
      </c>
      <c r="I23" s="26">
        <v>704000</v>
      </c>
      <c r="J23" s="25">
        <f>I23*(1+Parámetros!$B$10)</f>
        <v>837760</v>
      </c>
      <c r="K23" s="25">
        <f>E23/Parámetros!$B$4*Parámetros!$B$5</f>
        <v>446160</v>
      </c>
      <c r="L23" s="25">
        <f>Parámetros!$B$6</f>
        <v>50000</v>
      </c>
      <c r="M23" s="27"/>
      <c r="N23" s="25">
        <f>J23*Parámetros!$B$9</f>
        <v>25132.799999999999</v>
      </c>
      <c r="O23" s="25">
        <f>Parámetros!$B$8</f>
        <v>30000</v>
      </c>
      <c r="P23" s="28">
        <v>1</v>
      </c>
      <c r="Q23" s="25">
        <f>IF(P23="",0,P23*Parámetros!$B$11)</f>
        <v>33000</v>
      </c>
      <c r="R23" s="29">
        <f t="shared" si="1"/>
        <v>584292.80000000005</v>
      </c>
      <c r="S23" s="25">
        <f>IF(E23=0,"",R23/E23)</f>
        <v>680.9939393939394</v>
      </c>
      <c r="T23" s="25">
        <f>IF(E23=0,"",I23/E23)</f>
        <v>820.51282051282055</v>
      </c>
      <c r="U23" s="25">
        <f t="shared" si="2"/>
        <v>119707.19999999995</v>
      </c>
      <c r="V23" s="30">
        <f t="shared" si="3"/>
        <v>0.25261363636363637</v>
      </c>
      <c r="W23" s="30">
        <f t="shared" si="4"/>
        <v>0.17003863636363631</v>
      </c>
    </row>
    <row r="24" spans="1:23" x14ac:dyDescent="0.35">
      <c r="A24" s="15" t="s">
        <v>141</v>
      </c>
      <c r="B24" s="31" t="s">
        <v>161</v>
      </c>
      <c r="C24" s="32">
        <v>462</v>
      </c>
      <c r="D24" s="32">
        <v>423</v>
      </c>
      <c r="E24" s="33">
        <f t="shared" si="0"/>
        <v>885</v>
      </c>
      <c r="F24" s="34">
        <v>550000</v>
      </c>
      <c r="G24" s="34">
        <f>F24*Parámetros!$B$12</f>
        <v>55000</v>
      </c>
      <c r="H24" s="34">
        <v>12000</v>
      </c>
      <c r="I24" s="26">
        <v>704000</v>
      </c>
      <c r="J24" s="34">
        <f>I24*(1+Parámetros!$B$10)</f>
        <v>837760</v>
      </c>
      <c r="K24" s="34">
        <f>E24/Parámetros!$B$4*Parámetros!$B$5</f>
        <v>460200</v>
      </c>
      <c r="L24" s="34">
        <f>Parámetros!$B$6</f>
        <v>50000</v>
      </c>
      <c r="M24" s="27"/>
      <c r="N24" s="34">
        <f>J24*Parámetros!$B$9</f>
        <v>25132.799999999999</v>
      </c>
      <c r="O24" s="34">
        <f>Parámetros!$B$8</f>
        <v>30000</v>
      </c>
      <c r="P24" s="28">
        <v>1</v>
      </c>
      <c r="Q24" s="34">
        <f>IF(P24="",0,P24*Parámetros!$B$11)</f>
        <v>33000</v>
      </c>
      <c r="R24" s="35">
        <f t="shared" si="1"/>
        <v>598332.80000000005</v>
      </c>
      <c r="S24" s="34">
        <f>IF(E24=0,"",R24/E24)</f>
        <v>676.08225988700565</v>
      </c>
      <c r="T24" s="34">
        <f>IF(E24=0,"",I24/E24)</f>
        <v>795.48022598870057</v>
      </c>
      <c r="U24" s="34">
        <f t="shared" si="2"/>
        <v>105667.19999999995</v>
      </c>
      <c r="V24" s="36">
        <f t="shared" si="3"/>
        <v>0.23267045454545454</v>
      </c>
      <c r="W24" s="36">
        <f t="shared" si="4"/>
        <v>0.15009545454545448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162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163</v>
      </c>
      <c r="B5" s="22" t="s">
        <v>164</v>
      </c>
      <c r="C5" s="23">
        <v>486</v>
      </c>
      <c r="D5" s="23">
        <v>448</v>
      </c>
      <c r="E5" s="24">
        <f t="shared" ref="E5:E24" si="0">C5+D5</f>
        <v>934</v>
      </c>
      <c r="F5" s="25">
        <v>600000</v>
      </c>
      <c r="G5" s="25">
        <f>F5*Parámetros!$B$12</f>
        <v>60000</v>
      </c>
      <c r="H5" s="25">
        <v>12000</v>
      </c>
      <c r="I5" s="26">
        <v>750000</v>
      </c>
      <c r="J5" s="25">
        <f>I5*(1+Parámetros!$B$10)</f>
        <v>892500</v>
      </c>
      <c r="K5" s="25">
        <f>E5/Parámetros!$B$4*Parámetros!$B$5</f>
        <v>485680.00000000006</v>
      </c>
      <c r="L5" s="25">
        <f>Parámetros!$B$6</f>
        <v>50000</v>
      </c>
      <c r="M5" s="27"/>
      <c r="N5" s="25">
        <f>J5*Parámetros!$B$9</f>
        <v>26775</v>
      </c>
      <c r="O5" s="25">
        <f>Parámetros!$B$8</f>
        <v>30000</v>
      </c>
      <c r="P5" s="28">
        <v>2</v>
      </c>
      <c r="Q5" s="25">
        <f>IF(P5="",0,P5*Parámetros!$B$11)</f>
        <v>66000</v>
      </c>
      <c r="R5" s="29">
        <f t="shared" ref="R5:R24" si="1">K5+L5+M5+N5+O5+Q5</f>
        <v>658455</v>
      </c>
      <c r="S5" s="25">
        <f t="shared" ref="S5:S24" si="2">IF(E5=0,"",R5/E5)</f>
        <v>704.98394004282659</v>
      </c>
      <c r="T5" s="25">
        <f t="shared" ref="T5:T24" si="3">IF(E5=0,"",I5/E5)</f>
        <v>802.99785867237688</v>
      </c>
      <c r="U5" s="25">
        <f t="shared" ref="U5:U24" si="4">I5-R5</f>
        <v>91545</v>
      </c>
      <c r="V5" s="30">
        <f t="shared" ref="V5:V24" si="5">IF(I5=0,"",(I5-K5-L5-M5-O5)/I5)</f>
        <v>0.24575999999999992</v>
      </c>
      <c r="W5" s="30">
        <f t="shared" ref="W5:W24" si="6">IF(I5=0,"",U5/I5)</f>
        <v>0.12206</v>
      </c>
    </row>
    <row r="6" spans="1:23" x14ac:dyDescent="0.35">
      <c r="A6" s="15" t="s">
        <v>163</v>
      </c>
      <c r="B6" s="31" t="s">
        <v>165</v>
      </c>
      <c r="C6" s="32">
        <v>510</v>
      </c>
      <c r="D6" s="32">
        <v>472</v>
      </c>
      <c r="E6" s="33">
        <f t="shared" si="0"/>
        <v>982</v>
      </c>
      <c r="F6" s="34">
        <v>650000</v>
      </c>
      <c r="G6" s="34">
        <f>F6*Parámetros!$B$12</f>
        <v>65000</v>
      </c>
      <c r="H6" s="34">
        <v>12000</v>
      </c>
      <c r="I6" s="26">
        <v>812500</v>
      </c>
      <c r="J6" s="34">
        <f>I6*(1+Parámetros!$B$10)</f>
        <v>966875</v>
      </c>
      <c r="K6" s="34">
        <f>E6/Parámetros!$B$4*Parámetros!$B$5</f>
        <v>510640</v>
      </c>
      <c r="L6" s="34">
        <f>Parámetros!$B$6</f>
        <v>50000</v>
      </c>
      <c r="M6" s="27"/>
      <c r="N6" s="34">
        <f>J6*Parámetros!$B$9</f>
        <v>29006.25</v>
      </c>
      <c r="O6" s="34">
        <f>Parámetros!$B$8</f>
        <v>30000</v>
      </c>
      <c r="P6" s="28">
        <v>2</v>
      </c>
      <c r="Q6" s="34">
        <f>IF(P6="",0,P6*Parámetros!$B$11)</f>
        <v>66000</v>
      </c>
      <c r="R6" s="35">
        <f t="shared" si="1"/>
        <v>685646.25</v>
      </c>
      <c r="S6" s="34">
        <f t="shared" si="2"/>
        <v>698.21410386965374</v>
      </c>
      <c r="T6" s="34">
        <f t="shared" si="3"/>
        <v>827.39307535641547</v>
      </c>
      <c r="U6" s="34">
        <f t="shared" si="4"/>
        <v>126853.75</v>
      </c>
      <c r="V6" s="36">
        <f t="shared" si="5"/>
        <v>0.27305846153846153</v>
      </c>
      <c r="W6" s="36">
        <f t="shared" si="6"/>
        <v>0.1561276923076923</v>
      </c>
    </row>
    <row r="7" spans="1:23" x14ac:dyDescent="0.35">
      <c r="A7" s="18" t="s">
        <v>163</v>
      </c>
      <c r="B7" s="22" t="s">
        <v>166</v>
      </c>
      <c r="C7" s="23">
        <v>515</v>
      </c>
      <c r="D7" s="23">
        <v>477</v>
      </c>
      <c r="E7" s="24">
        <f t="shared" si="0"/>
        <v>992</v>
      </c>
      <c r="F7" s="25">
        <v>650000</v>
      </c>
      <c r="G7" s="25">
        <f>F7*Parámetros!$B$12</f>
        <v>65000</v>
      </c>
      <c r="H7" s="25">
        <v>12000</v>
      </c>
      <c r="I7" s="26">
        <v>812500</v>
      </c>
      <c r="J7" s="25">
        <f>I7*(1+Parámetros!$B$10)</f>
        <v>966875</v>
      </c>
      <c r="K7" s="25">
        <f>E7/Parámetros!$B$4*Parámetros!$B$5</f>
        <v>515840</v>
      </c>
      <c r="L7" s="25">
        <f>Parámetros!$B$6</f>
        <v>50000</v>
      </c>
      <c r="M7" s="27"/>
      <c r="N7" s="25">
        <f>J7*Parámetros!$B$9</f>
        <v>29006.25</v>
      </c>
      <c r="O7" s="25">
        <f>Parámetros!$B$8</f>
        <v>30000</v>
      </c>
      <c r="P7" s="28">
        <v>2</v>
      </c>
      <c r="Q7" s="25">
        <f>IF(P7="",0,P7*Parámetros!$B$11)</f>
        <v>66000</v>
      </c>
      <c r="R7" s="29">
        <f t="shared" si="1"/>
        <v>690846.25</v>
      </c>
      <c r="S7" s="25">
        <f t="shared" si="2"/>
        <v>696.41759072580646</v>
      </c>
      <c r="T7" s="25">
        <f t="shared" si="3"/>
        <v>819.05241935483866</v>
      </c>
      <c r="U7" s="25">
        <f t="shared" si="4"/>
        <v>121653.75</v>
      </c>
      <c r="V7" s="30">
        <f t="shared" si="5"/>
        <v>0.26665846153846151</v>
      </c>
      <c r="W7" s="30">
        <f t="shared" si="6"/>
        <v>0.14972769230769231</v>
      </c>
    </row>
    <row r="8" spans="1:23" x14ac:dyDescent="0.35">
      <c r="A8" s="15" t="s">
        <v>163</v>
      </c>
      <c r="B8" s="31" t="s">
        <v>167</v>
      </c>
      <c r="C8" s="32">
        <v>515</v>
      </c>
      <c r="D8" s="32">
        <v>477</v>
      </c>
      <c r="E8" s="33">
        <f t="shared" si="0"/>
        <v>992</v>
      </c>
      <c r="F8" s="34">
        <v>670000</v>
      </c>
      <c r="G8" s="34">
        <f>F8*Parámetros!$B$12</f>
        <v>67000</v>
      </c>
      <c r="H8" s="34">
        <v>12000</v>
      </c>
      <c r="I8" s="26">
        <v>837500</v>
      </c>
      <c r="J8" s="34">
        <f>I8*(1+Parámetros!$B$10)</f>
        <v>996625</v>
      </c>
      <c r="K8" s="34">
        <f>E8/Parámetros!$B$4*Parámetros!$B$5</f>
        <v>515840</v>
      </c>
      <c r="L8" s="34">
        <f>Parámetros!$B$6</f>
        <v>50000</v>
      </c>
      <c r="M8" s="27"/>
      <c r="N8" s="34">
        <f>J8*Parámetros!$B$9</f>
        <v>29898.75</v>
      </c>
      <c r="O8" s="34">
        <f>Parámetros!$B$8</f>
        <v>30000</v>
      </c>
      <c r="P8" s="28">
        <v>2</v>
      </c>
      <c r="Q8" s="34">
        <f>IF(P8="",0,P8*Parámetros!$B$11)</f>
        <v>66000</v>
      </c>
      <c r="R8" s="35">
        <f t="shared" si="1"/>
        <v>691738.75</v>
      </c>
      <c r="S8" s="34">
        <f t="shared" si="2"/>
        <v>697.31728830645159</v>
      </c>
      <c r="T8" s="34">
        <f t="shared" si="3"/>
        <v>844.25403225806451</v>
      </c>
      <c r="U8" s="34">
        <f t="shared" si="4"/>
        <v>145761.25</v>
      </c>
      <c r="V8" s="36">
        <f t="shared" si="5"/>
        <v>0.28854925373134327</v>
      </c>
      <c r="W8" s="36">
        <f t="shared" si="6"/>
        <v>0.17404328358208956</v>
      </c>
    </row>
    <row r="9" spans="1:23" x14ac:dyDescent="0.35">
      <c r="A9" s="18" t="s">
        <v>163</v>
      </c>
      <c r="B9" s="22" t="s">
        <v>168</v>
      </c>
      <c r="C9" s="23">
        <v>532</v>
      </c>
      <c r="D9" s="23">
        <v>494</v>
      </c>
      <c r="E9" s="24">
        <f t="shared" si="0"/>
        <v>1026</v>
      </c>
      <c r="F9" s="25">
        <v>670000</v>
      </c>
      <c r="G9" s="25">
        <f>F9*Parámetros!$B$12</f>
        <v>67000</v>
      </c>
      <c r="H9" s="25">
        <v>12000</v>
      </c>
      <c r="I9" s="26">
        <v>837500</v>
      </c>
      <c r="J9" s="25">
        <f>I9*(1+Parámetros!$B$10)</f>
        <v>996625</v>
      </c>
      <c r="K9" s="25">
        <f>E9/Parámetros!$B$4*Parámetros!$B$5</f>
        <v>533520</v>
      </c>
      <c r="L9" s="25">
        <f>Parámetros!$B$6</f>
        <v>50000</v>
      </c>
      <c r="M9" s="27"/>
      <c r="N9" s="25">
        <f>J9*Parámetros!$B$9</f>
        <v>29898.75</v>
      </c>
      <c r="O9" s="25">
        <f>Parámetros!$B$8</f>
        <v>30000</v>
      </c>
      <c r="P9" s="28">
        <v>2</v>
      </c>
      <c r="Q9" s="25">
        <f>IF(P9="",0,P9*Parámetros!$B$11)</f>
        <v>66000</v>
      </c>
      <c r="R9" s="29">
        <f t="shared" si="1"/>
        <v>709418.75</v>
      </c>
      <c r="S9" s="25">
        <f t="shared" si="2"/>
        <v>691.44127680311885</v>
      </c>
      <c r="T9" s="25">
        <f t="shared" si="3"/>
        <v>816.27680311890833</v>
      </c>
      <c r="U9" s="25">
        <f t="shared" si="4"/>
        <v>128081.25</v>
      </c>
      <c r="V9" s="30">
        <f t="shared" si="5"/>
        <v>0.26743880597014924</v>
      </c>
      <c r="W9" s="30">
        <f t="shared" si="6"/>
        <v>0.15293283582089554</v>
      </c>
    </row>
    <row r="10" spans="1:23" x14ac:dyDescent="0.35">
      <c r="A10" s="15" t="s">
        <v>163</v>
      </c>
      <c r="B10" s="31" t="s">
        <v>169</v>
      </c>
      <c r="C10" s="32">
        <v>534</v>
      </c>
      <c r="D10" s="32">
        <v>496</v>
      </c>
      <c r="E10" s="33">
        <f t="shared" si="0"/>
        <v>1030</v>
      </c>
      <c r="F10" s="34">
        <v>670000</v>
      </c>
      <c r="G10" s="34">
        <f>F10*Parámetros!$B$12</f>
        <v>67000</v>
      </c>
      <c r="H10" s="34">
        <v>12000</v>
      </c>
      <c r="I10" s="26">
        <v>837500</v>
      </c>
      <c r="J10" s="34">
        <f>I10*(1+Parámetros!$B$10)</f>
        <v>996625</v>
      </c>
      <c r="K10" s="34">
        <f>E10/Parámetros!$B$4*Parámetros!$B$5</f>
        <v>535600</v>
      </c>
      <c r="L10" s="34">
        <f>Parámetros!$B$6</f>
        <v>50000</v>
      </c>
      <c r="M10" s="27"/>
      <c r="N10" s="34">
        <f>J10*Parámetros!$B$9</f>
        <v>29898.75</v>
      </c>
      <c r="O10" s="34">
        <f>Parámetros!$B$8</f>
        <v>30000</v>
      </c>
      <c r="P10" s="28">
        <v>2</v>
      </c>
      <c r="Q10" s="34">
        <f>IF(P10="",0,P10*Parámetros!$B$11)</f>
        <v>66000</v>
      </c>
      <c r="R10" s="35">
        <f t="shared" si="1"/>
        <v>711498.75</v>
      </c>
      <c r="S10" s="34">
        <f t="shared" si="2"/>
        <v>690.77548543689318</v>
      </c>
      <c r="T10" s="34">
        <f t="shared" si="3"/>
        <v>813.10679611650482</v>
      </c>
      <c r="U10" s="34">
        <f t="shared" si="4"/>
        <v>126001.25</v>
      </c>
      <c r="V10" s="36">
        <f t="shared" si="5"/>
        <v>0.264955223880597</v>
      </c>
      <c r="W10" s="36">
        <f t="shared" si="6"/>
        <v>0.1504492537313433</v>
      </c>
    </row>
    <row r="11" spans="1:23" x14ac:dyDescent="0.35">
      <c r="A11" s="18" t="s">
        <v>163</v>
      </c>
      <c r="B11" s="22" t="s">
        <v>170</v>
      </c>
      <c r="C11" s="23">
        <v>556</v>
      </c>
      <c r="D11" s="23">
        <v>518</v>
      </c>
      <c r="E11" s="24">
        <f t="shared" si="0"/>
        <v>1074</v>
      </c>
      <c r="F11" s="25">
        <v>690000</v>
      </c>
      <c r="G11" s="25">
        <f>F11*Parámetros!$B$12</f>
        <v>69000</v>
      </c>
      <c r="H11" s="25">
        <v>12000</v>
      </c>
      <c r="I11" s="26">
        <v>862500</v>
      </c>
      <c r="J11" s="25">
        <f>I11*(1+Parámetros!$B$10)</f>
        <v>1026375</v>
      </c>
      <c r="K11" s="25">
        <f>E11/Parámetros!$B$4*Parámetros!$B$5</f>
        <v>558480</v>
      </c>
      <c r="L11" s="25">
        <f>Parámetros!$B$6</f>
        <v>50000</v>
      </c>
      <c r="M11" s="27"/>
      <c r="N11" s="25">
        <f>J11*Parámetros!$B$9</f>
        <v>30791.25</v>
      </c>
      <c r="O11" s="25">
        <f>Parámetros!$B$8</f>
        <v>30000</v>
      </c>
      <c r="P11" s="28">
        <v>2</v>
      </c>
      <c r="Q11" s="25">
        <f>IF(P11="",0,P11*Parámetros!$B$11)</f>
        <v>66000</v>
      </c>
      <c r="R11" s="29">
        <f t="shared" si="1"/>
        <v>735271.25</v>
      </c>
      <c r="S11" s="25">
        <f t="shared" si="2"/>
        <v>684.61010242085661</v>
      </c>
      <c r="T11" s="25">
        <f t="shared" si="3"/>
        <v>803.07262569832403</v>
      </c>
      <c r="U11" s="25">
        <f t="shared" si="4"/>
        <v>127228.75</v>
      </c>
      <c r="V11" s="30">
        <f t="shared" si="5"/>
        <v>0.25973333333333332</v>
      </c>
      <c r="W11" s="30">
        <f t="shared" si="6"/>
        <v>0.14751159420289855</v>
      </c>
    </row>
    <row r="12" spans="1:23" x14ac:dyDescent="0.35">
      <c r="A12" s="15" t="s">
        <v>163</v>
      </c>
      <c r="B12" s="31" t="s">
        <v>171</v>
      </c>
      <c r="C12" s="32">
        <v>580</v>
      </c>
      <c r="D12" s="32">
        <v>542</v>
      </c>
      <c r="E12" s="33">
        <f t="shared" si="0"/>
        <v>1122</v>
      </c>
      <c r="F12" s="34">
        <v>720000</v>
      </c>
      <c r="G12" s="34">
        <f>F12*Parámetros!$B$12</f>
        <v>72000</v>
      </c>
      <c r="H12" s="34">
        <v>12000</v>
      </c>
      <c r="I12" s="26">
        <v>900000</v>
      </c>
      <c r="J12" s="34">
        <f>I12*(1+Parámetros!$B$10)</f>
        <v>1071000</v>
      </c>
      <c r="K12" s="34">
        <f>E12/Parámetros!$B$4*Parámetros!$B$5</f>
        <v>583440</v>
      </c>
      <c r="L12" s="34">
        <f>Parámetros!$B$6</f>
        <v>50000</v>
      </c>
      <c r="M12" s="27"/>
      <c r="N12" s="34">
        <f>J12*Parámetros!$B$9</f>
        <v>32130</v>
      </c>
      <c r="O12" s="34">
        <f>Parámetros!$B$8</f>
        <v>30000</v>
      </c>
      <c r="P12" s="28">
        <v>2</v>
      </c>
      <c r="Q12" s="34">
        <f>IF(P12="",0,P12*Parámetros!$B$11)</f>
        <v>66000</v>
      </c>
      <c r="R12" s="35">
        <f t="shared" si="1"/>
        <v>761570</v>
      </c>
      <c r="S12" s="34">
        <f t="shared" si="2"/>
        <v>678.76114081996434</v>
      </c>
      <c r="T12" s="34">
        <f t="shared" si="3"/>
        <v>802.13903743315507</v>
      </c>
      <c r="U12" s="34">
        <f t="shared" si="4"/>
        <v>138430</v>
      </c>
      <c r="V12" s="36">
        <f t="shared" si="5"/>
        <v>0.26284444444444444</v>
      </c>
      <c r="W12" s="36">
        <f t="shared" si="6"/>
        <v>0.15381111111111112</v>
      </c>
    </row>
    <row r="13" spans="1:23" x14ac:dyDescent="0.35">
      <c r="A13" s="18" t="s">
        <v>163</v>
      </c>
      <c r="B13" s="22" t="s">
        <v>172</v>
      </c>
      <c r="C13" s="23">
        <v>607</v>
      </c>
      <c r="D13" s="23">
        <v>568</v>
      </c>
      <c r="E13" s="24">
        <f t="shared" si="0"/>
        <v>1175</v>
      </c>
      <c r="F13" s="25">
        <v>750000</v>
      </c>
      <c r="G13" s="25">
        <f>F13*Parámetros!$B$12</f>
        <v>75000</v>
      </c>
      <c r="H13" s="25">
        <v>12000</v>
      </c>
      <c r="I13" s="26">
        <v>937500</v>
      </c>
      <c r="J13" s="25">
        <f>I13*(1+Parámetros!$B$10)</f>
        <v>1115625</v>
      </c>
      <c r="K13" s="25">
        <f>E13/Parámetros!$B$4*Parámetros!$B$5</f>
        <v>611000</v>
      </c>
      <c r="L13" s="25">
        <f>Parámetros!$B$6</f>
        <v>50000</v>
      </c>
      <c r="M13" s="27"/>
      <c r="N13" s="25">
        <f>J13*Parámetros!$B$9</f>
        <v>33468.75</v>
      </c>
      <c r="O13" s="25">
        <f>Parámetros!$B$8</f>
        <v>30000</v>
      </c>
      <c r="P13" s="28">
        <v>2</v>
      </c>
      <c r="Q13" s="25">
        <f>IF(P13="",0,P13*Parámetros!$B$11)</f>
        <v>66000</v>
      </c>
      <c r="R13" s="29">
        <f t="shared" si="1"/>
        <v>790468.75</v>
      </c>
      <c r="S13" s="25">
        <f t="shared" si="2"/>
        <v>672.73936170212767</v>
      </c>
      <c r="T13" s="25">
        <f t="shared" si="3"/>
        <v>797.87234042553189</v>
      </c>
      <c r="U13" s="25">
        <f t="shared" si="4"/>
        <v>147031.25</v>
      </c>
      <c r="V13" s="30">
        <f t="shared" si="5"/>
        <v>0.26293333333333335</v>
      </c>
      <c r="W13" s="30">
        <f t="shared" si="6"/>
        <v>0.15683333333333332</v>
      </c>
    </row>
    <row r="14" spans="1:23" x14ac:dyDescent="0.35">
      <c r="A14" s="15" t="s">
        <v>163</v>
      </c>
      <c r="B14" s="31" t="s">
        <v>173</v>
      </c>
      <c r="C14" s="32">
        <v>592</v>
      </c>
      <c r="D14" s="32">
        <v>554</v>
      </c>
      <c r="E14" s="33">
        <f t="shared" si="0"/>
        <v>1146</v>
      </c>
      <c r="F14" s="34">
        <v>720000</v>
      </c>
      <c r="G14" s="34">
        <f>F14*Parámetros!$B$12</f>
        <v>72000</v>
      </c>
      <c r="H14" s="34">
        <v>12000</v>
      </c>
      <c r="I14" s="26">
        <v>900000</v>
      </c>
      <c r="J14" s="34">
        <f>I14*(1+Parámetros!$B$10)</f>
        <v>1071000</v>
      </c>
      <c r="K14" s="34">
        <f>E14/Parámetros!$B$4*Parámetros!$B$5</f>
        <v>595920</v>
      </c>
      <c r="L14" s="34">
        <f>Parámetros!$B$6</f>
        <v>50000</v>
      </c>
      <c r="M14" s="27"/>
      <c r="N14" s="34">
        <f>J14*Parámetros!$B$9</f>
        <v>32130</v>
      </c>
      <c r="O14" s="34">
        <f>Parámetros!$B$8</f>
        <v>30000</v>
      </c>
      <c r="P14" s="28">
        <v>2</v>
      </c>
      <c r="Q14" s="34">
        <f>IF(P14="",0,P14*Parámetros!$B$11)</f>
        <v>66000</v>
      </c>
      <c r="R14" s="35">
        <f t="shared" si="1"/>
        <v>774050</v>
      </c>
      <c r="S14" s="34">
        <f t="shared" si="2"/>
        <v>675.43630017452006</v>
      </c>
      <c r="T14" s="34">
        <f t="shared" si="3"/>
        <v>785.3403141361257</v>
      </c>
      <c r="U14" s="34">
        <f t="shared" si="4"/>
        <v>125950</v>
      </c>
      <c r="V14" s="36">
        <f t="shared" si="5"/>
        <v>0.24897777777777777</v>
      </c>
      <c r="W14" s="36">
        <f t="shared" si="6"/>
        <v>0.13994444444444445</v>
      </c>
    </row>
    <row r="15" spans="1:23" x14ac:dyDescent="0.35">
      <c r="A15" s="18" t="s">
        <v>163</v>
      </c>
      <c r="B15" s="22" t="s">
        <v>174</v>
      </c>
      <c r="C15" s="23">
        <v>599</v>
      </c>
      <c r="D15" s="23">
        <v>561</v>
      </c>
      <c r="E15" s="24">
        <f t="shared" si="0"/>
        <v>1160</v>
      </c>
      <c r="F15" s="25">
        <v>750000</v>
      </c>
      <c r="G15" s="25">
        <f>F15*Parámetros!$B$12</f>
        <v>75000</v>
      </c>
      <c r="H15" s="25">
        <v>12000</v>
      </c>
      <c r="I15" s="26">
        <v>937500</v>
      </c>
      <c r="J15" s="25">
        <f>I15*(1+Parámetros!$B$10)</f>
        <v>1115625</v>
      </c>
      <c r="K15" s="25">
        <f>E15/Parámetros!$B$4*Parámetros!$B$5</f>
        <v>603200</v>
      </c>
      <c r="L15" s="25">
        <f>Parámetros!$B$6</f>
        <v>50000</v>
      </c>
      <c r="M15" s="27"/>
      <c r="N15" s="25">
        <f>J15*Parámetros!$B$9</f>
        <v>33468.75</v>
      </c>
      <c r="O15" s="25">
        <f>Parámetros!$B$8</f>
        <v>30000</v>
      </c>
      <c r="P15" s="28">
        <v>2</v>
      </c>
      <c r="Q15" s="25">
        <f>IF(P15="",0,P15*Parámetros!$B$11)</f>
        <v>66000</v>
      </c>
      <c r="R15" s="29">
        <f t="shared" si="1"/>
        <v>782668.75</v>
      </c>
      <c r="S15" s="25">
        <f t="shared" si="2"/>
        <v>674.71443965517244</v>
      </c>
      <c r="T15" s="25">
        <f t="shared" si="3"/>
        <v>808.18965517241384</v>
      </c>
      <c r="U15" s="25">
        <f t="shared" si="4"/>
        <v>154831.25</v>
      </c>
      <c r="V15" s="30">
        <f t="shared" si="5"/>
        <v>0.27125333333333335</v>
      </c>
      <c r="W15" s="30">
        <f t="shared" si="6"/>
        <v>0.16515333333333335</v>
      </c>
    </row>
    <row r="16" spans="1:23" x14ac:dyDescent="0.35">
      <c r="A16" s="15" t="s">
        <v>163</v>
      </c>
      <c r="B16" s="31" t="s">
        <v>175</v>
      </c>
      <c r="C16" s="32">
        <v>606</v>
      </c>
      <c r="D16" s="32">
        <v>568</v>
      </c>
      <c r="E16" s="33">
        <f t="shared" si="0"/>
        <v>1174</v>
      </c>
      <c r="F16" s="34">
        <v>750000</v>
      </c>
      <c r="G16" s="34">
        <f>F16*Parámetros!$B$12</f>
        <v>75000</v>
      </c>
      <c r="H16" s="34">
        <v>12000</v>
      </c>
      <c r="I16" s="26">
        <v>937500</v>
      </c>
      <c r="J16" s="34">
        <f>I16*(1+Parámetros!$B$10)</f>
        <v>1115625</v>
      </c>
      <c r="K16" s="34">
        <f>E16/Parámetros!$B$4*Parámetros!$B$5</f>
        <v>610480</v>
      </c>
      <c r="L16" s="34">
        <f>Parámetros!$B$6</f>
        <v>50000</v>
      </c>
      <c r="M16" s="27"/>
      <c r="N16" s="34">
        <f>J16*Parámetros!$B$9</f>
        <v>33468.75</v>
      </c>
      <c r="O16" s="34">
        <f>Parámetros!$B$8</f>
        <v>30000</v>
      </c>
      <c r="P16" s="28">
        <v>2</v>
      </c>
      <c r="Q16" s="34">
        <f>IF(P16="",0,P16*Parámetros!$B$11)</f>
        <v>66000</v>
      </c>
      <c r="R16" s="35">
        <f t="shared" si="1"/>
        <v>789948.75</v>
      </c>
      <c r="S16" s="34">
        <f t="shared" si="2"/>
        <v>672.86946337308348</v>
      </c>
      <c r="T16" s="34">
        <f t="shared" si="3"/>
        <v>798.55195911413966</v>
      </c>
      <c r="U16" s="34">
        <f t="shared" si="4"/>
        <v>147551.25</v>
      </c>
      <c r="V16" s="36">
        <f t="shared" si="5"/>
        <v>0.263488</v>
      </c>
      <c r="W16" s="36">
        <f t="shared" si="6"/>
        <v>0.157388</v>
      </c>
    </row>
    <row r="17" spans="1:23" x14ac:dyDescent="0.35">
      <c r="A17" s="18" t="s">
        <v>163</v>
      </c>
      <c r="B17" s="22" t="s">
        <v>176</v>
      </c>
      <c r="C17" s="23">
        <v>610</v>
      </c>
      <c r="D17" s="23">
        <v>572</v>
      </c>
      <c r="E17" s="24">
        <f t="shared" si="0"/>
        <v>1182</v>
      </c>
      <c r="F17" s="25">
        <v>780000</v>
      </c>
      <c r="G17" s="25">
        <f>F17*Parámetros!$B$12</f>
        <v>78000</v>
      </c>
      <c r="H17" s="25">
        <v>12000</v>
      </c>
      <c r="I17" s="26">
        <v>975000</v>
      </c>
      <c r="J17" s="25">
        <f>I17*(1+Parámetros!$B$10)</f>
        <v>1160250</v>
      </c>
      <c r="K17" s="25">
        <f>E17/Parámetros!$B$4*Parámetros!$B$5</f>
        <v>614640</v>
      </c>
      <c r="L17" s="25">
        <f>Parámetros!$B$6</f>
        <v>50000</v>
      </c>
      <c r="M17" s="27"/>
      <c r="N17" s="25">
        <f>J17*Parámetros!$B$9</f>
        <v>34807.5</v>
      </c>
      <c r="O17" s="25">
        <f>Parámetros!$B$8</f>
        <v>30000</v>
      </c>
      <c r="P17" s="28">
        <v>2</v>
      </c>
      <c r="Q17" s="25">
        <f>IF(P17="",0,P17*Parámetros!$B$11)</f>
        <v>66000</v>
      </c>
      <c r="R17" s="29">
        <f t="shared" si="1"/>
        <v>795447.5</v>
      </c>
      <c r="S17" s="25">
        <f t="shared" si="2"/>
        <v>672.96742808798649</v>
      </c>
      <c r="T17" s="25">
        <f t="shared" si="3"/>
        <v>824.87309644670052</v>
      </c>
      <c r="U17" s="25">
        <f t="shared" si="4"/>
        <v>179552.5</v>
      </c>
      <c r="V17" s="30">
        <f t="shared" si="5"/>
        <v>0.28754871794871795</v>
      </c>
      <c r="W17" s="30">
        <f t="shared" si="6"/>
        <v>0.18415641025641025</v>
      </c>
    </row>
    <row r="18" spans="1:23" x14ac:dyDescent="0.35">
      <c r="A18" s="15" t="s">
        <v>163</v>
      </c>
      <c r="B18" s="31" t="s">
        <v>177</v>
      </c>
      <c r="C18" s="32">
        <v>612</v>
      </c>
      <c r="D18" s="32">
        <v>574</v>
      </c>
      <c r="E18" s="33">
        <f t="shared" si="0"/>
        <v>1186</v>
      </c>
      <c r="F18" s="34">
        <v>780000</v>
      </c>
      <c r="G18" s="34">
        <f>F18*Parámetros!$B$12</f>
        <v>78000</v>
      </c>
      <c r="H18" s="34">
        <v>12000</v>
      </c>
      <c r="I18" s="26">
        <v>975000</v>
      </c>
      <c r="J18" s="34">
        <f>I18*(1+Parámetros!$B$10)</f>
        <v>1160250</v>
      </c>
      <c r="K18" s="34">
        <f>E18/Parámetros!$B$4*Parámetros!$B$5</f>
        <v>616720</v>
      </c>
      <c r="L18" s="34">
        <f>Parámetros!$B$6</f>
        <v>50000</v>
      </c>
      <c r="M18" s="27"/>
      <c r="N18" s="34">
        <f>J18*Parámetros!$B$9</f>
        <v>34807.5</v>
      </c>
      <c r="O18" s="34">
        <f>Parámetros!$B$8</f>
        <v>30000</v>
      </c>
      <c r="P18" s="28">
        <v>2</v>
      </c>
      <c r="Q18" s="34">
        <f>IF(P18="",0,P18*Parámetros!$B$11)</f>
        <v>66000</v>
      </c>
      <c r="R18" s="35">
        <f t="shared" si="1"/>
        <v>797527.5</v>
      </c>
      <c r="S18" s="34">
        <f t="shared" si="2"/>
        <v>672.45151770657674</v>
      </c>
      <c r="T18" s="34">
        <f t="shared" si="3"/>
        <v>822.09106239460368</v>
      </c>
      <c r="U18" s="34">
        <f t="shared" si="4"/>
        <v>177472.5</v>
      </c>
      <c r="V18" s="36">
        <f t="shared" si="5"/>
        <v>0.28541538461538463</v>
      </c>
      <c r="W18" s="36">
        <f t="shared" si="6"/>
        <v>0.18202307692307693</v>
      </c>
    </row>
    <row r="19" spans="1:23" x14ac:dyDescent="0.35">
      <c r="A19" s="18" t="s">
        <v>163</v>
      </c>
      <c r="B19" s="22" t="s">
        <v>178</v>
      </c>
      <c r="C19" s="23">
        <v>620</v>
      </c>
      <c r="D19" s="23">
        <v>582</v>
      </c>
      <c r="E19" s="24">
        <f t="shared" si="0"/>
        <v>1202</v>
      </c>
      <c r="F19" s="25">
        <v>710000</v>
      </c>
      <c r="G19" s="25">
        <f>F19*Parámetros!$B$12</f>
        <v>71000</v>
      </c>
      <c r="H19" s="25">
        <v>12000</v>
      </c>
      <c r="I19" s="26">
        <v>887500</v>
      </c>
      <c r="J19" s="25">
        <f>I19*(1+Parámetros!$B$10)</f>
        <v>1056125</v>
      </c>
      <c r="K19" s="25">
        <f>E19/Parámetros!$B$4*Parámetros!$B$5</f>
        <v>625040</v>
      </c>
      <c r="L19" s="25">
        <f>Parámetros!$B$6</f>
        <v>50000</v>
      </c>
      <c r="M19" s="27"/>
      <c r="N19" s="25">
        <f>J19*Parámetros!$B$9</f>
        <v>31683.75</v>
      </c>
      <c r="O19" s="25">
        <f>Parámetros!$B$8</f>
        <v>30000</v>
      </c>
      <c r="P19" s="28">
        <v>2</v>
      </c>
      <c r="Q19" s="25">
        <f>IF(P19="",0,P19*Parámetros!$B$11)</f>
        <v>66000</v>
      </c>
      <c r="R19" s="29">
        <f t="shared" si="1"/>
        <v>802723.75</v>
      </c>
      <c r="S19" s="25">
        <f t="shared" si="2"/>
        <v>667.82341930116468</v>
      </c>
      <c r="T19" s="25">
        <f t="shared" si="3"/>
        <v>738.35274542429283</v>
      </c>
      <c r="U19" s="25">
        <f t="shared" si="4"/>
        <v>84776.25</v>
      </c>
      <c r="V19" s="30">
        <f t="shared" si="5"/>
        <v>0.2055887323943662</v>
      </c>
      <c r="W19" s="30">
        <f t="shared" si="6"/>
        <v>9.5522535211267606E-2</v>
      </c>
    </row>
    <row r="20" spans="1:23" x14ac:dyDescent="0.35">
      <c r="A20" s="15" t="s">
        <v>163</v>
      </c>
      <c r="B20" s="31" t="s">
        <v>179</v>
      </c>
      <c r="C20" s="32">
        <v>641</v>
      </c>
      <c r="D20" s="32">
        <v>598</v>
      </c>
      <c r="E20" s="33">
        <f t="shared" si="0"/>
        <v>1239</v>
      </c>
      <c r="F20" s="34">
        <v>810000</v>
      </c>
      <c r="G20" s="34">
        <f>F20*Parámetros!$B$12</f>
        <v>81000</v>
      </c>
      <c r="H20" s="34">
        <v>12000</v>
      </c>
      <c r="I20" s="26">
        <v>1012500</v>
      </c>
      <c r="J20" s="34">
        <f>I20*(1+Parámetros!$B$10)</f>
        <v>1204875</v>
      </c>
      <c r="K20" s="34">
        <f>E20/Parámetros!$B$4*Parámetros!$B$5</f>
        <v>644280</v>
      </c>
      <c r="L20" s="34">
        <f>Parámetros!$B$6</f>
        <v>50000</v>
      </c>
      <c r="M20" s="27"/>
      <c r="N20" s="34">
        <f>J20*Parámetros!$B$9</f>
        <v>36146.25</v>
      </c>
      <c r="O20" s="34">
        <f>Parámetros!$B$8</f>
        <v>30000</v>
      </c>
      <c r="P20" s="28">
        <v>2</v>
      </c>
      <c r="Q20" s="34">
        <f>IF(P20="",0,P20*Parámetros!$B$11)</f>
        <v>66000</v>
      </c>
      <c r="R20" s="35">
        <f t="shared" si="1"/>
        <v>826426.25</v>
      </c>
      <c r="S20" s="34">
        <f t="shared" si="2"/>
        <v>667.01069410815171</v>
      </c>
      <c r="T20" s="34">
        <f t="shared" si="3"/>
        <v>817.19128329297826</v>
      </c>
      <c r="U20" s="34">
        <f t="shared" si="4"/>
        <v>186073.75</v>
      </c>
      <c r="V20" s="36">
        <f t="shared" si="5"/>
        <v>0.28466172839506171</v>
      </c>
      <c r="W20" s="36">
        <f t="shared" si="6"/>
        <v>0.18377654320987655</v>
      </c>
    </row>
    <row r="21" spans="1:23" x14ac:dyDescent="0.35">
      <c r="A21" s="18" t="s">
        <v>163</v>
      </c>
      <c r="B21" s="22" t="s">
        <v>180</v>
      </c>
      <c r="C21" s="23">
        <v>651</v>
      </c>
      <c r="D21" s="23">
        <v>613</v>
      </c>
      <c r="E21" s="24">
        <f t="shared" si="0"/>
        <v>1264</v>
      </c>
      <c r="F21" s="25">
        <v>790000</v>
      </c>
      <c r="G21" s="25">
        <f>F21*Parámetros!$B$12</f>
        <v>79000</v>
      </c>
      <c r="H21" s="25">
        <v>12000</v>
      </c>
      <c r="I21" s="26">
        <v>987500</v>
      </c>
      <c r="J21" s="25">
        <f>I21*(1+Parámetros!$B$10)</f>
        <v>1175125</v>
      </c>
      <c r="K21" s="25">
        <f>E21/Parámetros!$B$4*Parámetros!$B$5</f>
        <v>657280</v>
      </c>
      <c r="L21" s="25">
        <f>Parámetros!$B$6</f>
        <v>50000</v>
      </c>
      <c r="M21" s="27"/>
      <c r="N21" s="25">
        <f>J21*Parámetros!$B$9</f>
        <v>35253.75</v>
      </c>
      <c r="O21" s="25">
        <f>Parámetros!$B$8</f>
        <v>30000</v>
      </c>
      <c r="P21" s="28">
        <v>2</v>
      </c>
      <c r="Q21" s="25">
        <f>IF(P21="",0,P21*Parámetros!$B$11)</f>
        <v>66000</v>
      </c>
      <c r="R21" s="29">
        <f t="shared" si="1"/>
        <v>838533.75</v>
      </c>
      <c r="S21" s="25">
        <f t="shared" si="2"/>
        <v>663.39695411392404</v>
      </c>
      <c r="T21" s="25">
        <f t="shared" si="3"/>
        <v>781.25</v>
      </c>
      <c r="U21" s="25">
        <f t="shared" si="4"/>
        <v>148966.25</v>
      </c>
      <c r="V21" s="30">
        <f t="shared" si="5"/>
        <v>0.25338734177215189</v>
      </c>
      <c r="W21" s="30">
        <f t="shared" si="6"/>
        <v>0.1508518987341772</v>
      </c>
    </row>
    <row r="22" spans="1:23" x14ac:dyDescent="0.35">
      <c r="A22" s="15" t="s">
        <v>163</v>
      </c>
      <c r="B22" s="31" t="s">
        <v>181</v>
      </c>
      <c r="C22" s="32">
        <v>653</v>
      </c>
      <c r="D22" s="32">
        <v>615</v>
      </c>
      <c r="E22" s="33">
        <f t="shared" si="0"/>
        <v>1268</v>
      </c>
      <c r="F22" s="34">
        <v>830000</v>
      </c>
      <c r="G22" s="34">
        <f>F22*Parámetros!$B$12</f>
        <v>83000</v>
      </c>
      <c r="H22" s="34">
        <v>12000</v>
      </c>
      <c r="I22" s="26">
        <v>1037500</v>
      </c>
      <c r="J22" s="34">
        <f>I22*(1+Parámetros!$B$10)</f>
        <v>1234625</v>
      </c>
      <c r="K22" s="34">
        <f>E22/Parámetros!$B$4*Parámetros!$B$5</f>
        <v>659360</v>
      </c>
      <c r="L22" s="34">
        <f>Parámetros!$B$6</f>
        <v>50000</v>
      </c>
      <c r="M22" s="27"/>
      <c r="N22" s="34">
        <f>J22*Parámetros!$B$9</f>
        <v>37038.75</v>
      </c>
      <c r="O22" s="34">
        <f>Parámetros!$B$8</f>
        <v>30000</v>
      </c>
      <c r="P22" s="28">
        <v>2</v>
      </c>
      <c r="Q22" s="34">
        <f>IF(P22="",0,P22*Parámetros!$B$11)</f>
        <v>66000</v>
      </c>
      <c r="R22" s="35">
        <f t="shared" si="1"/>
        <v>842398.75</v>
      </c>
      <c r="S22" s="34">
        <f t="shared" si="2"/>
        <v>664.35232649842271</v>
      </c>
      <c r="T22" s="34">
        <f t="shared" si="3"/>
        <v>818.21766561514198</v>
      </c>
      <c r="U22" s="34">
        <f t="shared" si="4"/>
        <v>195101.25</v>
      </c>
      <c r="V22" s="36">
        <f t="shared" si="5"/>
        <v>0.28736385542168674</v>
      </c>
      <c r="W22" s="36">
        <f t="shared" si="6"/>
        <v>0.18804939759036143</v>
      </c>
    </row>
    <row r="23" spans="1:23" x14ac:dyDescent="0.35">
      <c r="A23" s="18" t="s">
        <v>163</v>
      </c>
      <c r="B23" s="22" t="s">
        <v>182</v>
      </c>
      <c r="C23" s="23">
        <v>665</v>
      </c>
      <c r="D23" s="23">
        <v>626</v>
      </c>
      <c r="E23" s="24">
        <f t="shared" si="0"/>
        <v>1291</v>
      </c>
      <c r="F23" s="25">
        <v>855000</v>
      </c>
      <c r="G23" s="25">
        <f>F23*Parámetros!$B$12</f>
        <v>85500</v>
      </c>
      <c r="H23" s="25">
        <v>12000</v>
      </c>
      <c r="I23" s="26">
        <v>1068750</v>
      </c>
      <c r="J23" s="25">
        <f>I23*(1+Parámetros!$B$10)</f>
        <v>1271812.5</v>
      </c>
      <c r="K23" s="25">
        <f>E23/Parámetros!$B$4*Parámetros!$B$5</f>
        <v>671320</v>
      </c>
      <c r="L23" s="25">
        <f>Parámetros!$B$6</f>
        <v>50000</v>
      </c>
      <c r="M23" s="27"/>
      <c r="N23" s="25">
        <f>J23*Parámetros!$B$9</f>
        <v>38154.375</v>
      </c>
      <c r="O23" s="25">
        <f>Parámetros!$B$8</f>
        <v>30000</v>
      </c>
      <c r="P23" s="28">
        <v>2</v>
      </c>
      <c r="Q23" s="25">
        <f>IF(P23="",0,P23*Parámetros!$B$11)</f>
        <v>66000</v>
      </c>
      <c r="R23" s="29">
        <f t="shared" si="1"/>
        <v>855474.375</v>
      </c>
      <c r="S23" s="25">
        <f t="shared" si="2"/>
        <v>662.64475213013168</v>
      </c>
      <c r="T23" s="25">
        <f t="shared" si="3"/>
        <v>827.84663051897758</v>
      </c>
      <c r="U23" s="25">
        <f t="shared" si="4"/>
        <v>213275.625</v>
      </c>
      <c r="V23" s="30">
        <f t="shared" si="5"/>
        <v>0.29701052631578945</v>
      </c>
      <c r="W23" s="30">
        <f t="shared" si="6"/>
        <v>0.19955614035087718</v>
      </c>
    </row>
    <row r="24" spans="1:23" x14ac:dyDescent="0.35">
      <c r="A24" s="15" t="s">
        <v>163</v>
      </c>
      <c r="B24" s="31" t="s">
        <v>183</v>
      </c>
      <c r="C24" s="32">
        <v>774</v>
      </c>
      <c r="D24" s="32">
        <v>703</v>
      </c>
      <c r="E24" s="33">
        <f t="shared" si="0"/>
        <v>1477</v>
      </c>
      <c r="F24" s="34">
        <v>950000</v>
      </c>
      <c r="G24" s="34">
        <f>F24*Parámetros!$B$12</f>
        <v>95000</v>
      </c>
      <c r="H24" s="34">
        <v>12000</v>
      </c>
      <c r="I24" s="26">
        <v>1187500</v>
      </c>
      <c r="J24" s="34">
        <f>I24*(1+Parámetros!$B$10)</f>
        <v>1413125</v>
      </c>
      <c r="K24" s="34">
        <f>E24/Parámetros!$B$4*Parámetros!$B$5</f>
        <v>768039.99999999988</v>
      </c>
      <c r="L24" s="34">
        <f>Parámetros!$B$6</f>
        <v>50000</v>
      </c>
      <c r="M24" s="27"/>
      <c r="N24" s="34">
        <f>J24*Parámetros!$B$9</f>
        <v>42393.75</v>
      </c>
      <c r="O24" s="34">
        <f>Parámetros!$B$8</f>
        <v>30000</v>
      </c>
      <c r="P24" s="28">
        <v>2</v>
      </c>
      <c r="Q24" s="34">
        <f>IF(P24="",0,P24*Parámetros!$B$11)</f>
        <v>66000</v>
      </c>
      <c r="R24" s="35">
        <f t="shared" si="1"/>
        <v>956433.74999999988</v>
      </c>
      <c r="S24" s="34">
        <f t="shared" si="2"/>
        <v>647.55162491536896</v>
      </c>
      <c r="T24" s="34">
        <f t="shared" si="3"/>
        <v>803.99458361543668</v>
      </c>
      <c r="U24" s="34">
        <f t="shared" si="4"/>
        <v>231066.25000000012</v>
      </c>
      <c r="V24" s="36">
        <f t="shared" si="5"/>
        <v>0.28586105263157907</v>
      </c>
      <c r="W24" s="36">
        <f t="shared" si="6"/>
        <v>0.194582105263158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5" width="9" customWidth="1"/>
    <col min="6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8" customWidth="1"/>
    <col min="17" max="18" width="12" customWidth="1"/>
    <col min="19" max="20" width="11" customWidth="1"/>
    <col min="21" max="21" width="13" customWidth="1"/>
    <col min="22" max="23" width="11" customWidth="1"/>
  </cols>
  <sheetData>
    <row r="1" spans="1:23" ht="19.5" customHeight="1" x14ac:dyDescent="0.35">
      <c r="A1" s="4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.75" customHeight="1" x14ac:dyDescent="0.35">
      <c r="A3" s="2" t="s">
        <v>61</v>
      </c>
      <c r="B3" s="2" t="s">
        <v>62</v>
      </c>
      <c r="C3" s="1" t="s">
        <v>63</v>
      </c>
      <c r="D3" s="1"/>
      <c r="E3" s="1"/>
      <c r="F3" s="2" t="s">
        <v>64</v>
      </c>
      <c r="G3" s="2" t="s">
        <v>65</v>
      </c>
      <c r="H3" s="2" t="s">
        <v>185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</row>
    <row r="4" spans="1:23" ht="31.5" customHeight="1" x14ac:dyDescent="0.35">
      <c r="A4" s="2"/>
      <c r="B4" s="2"/>
      <c r="C4" s="21" t="s">
        <v>81</v>
      </c>
      <c r="D4" s="21" t="s">
        <v>82</v>
      </c>
      <c r="E4" s="2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18" t="s">
        <v>84</v>
      </c>
      <c r="B5" s="22" t="s">
        <v>85</v>
      </c>
      <c r="C5" s="23">
        <v>75</v>
      </c>
      <c r="D5" s="23">
        <v>75</v>
      </c>
      <c r="E5" s="24">
        <f t="shared" ref="E5:E36" si="0">C5+D5</f>
        <v>150</v>
      </c>
      <c r="F5" s="25">
        <v>300000</v>
      </c>
      <c r="G5" s="25">
        <f>F5*Parámetros!$B$12</f>
        <v>30000</v>
      </c>
      <c r="H5" s="25">
        <v>12000</v>
      </c>
      <c r="I5" s="26">
        <v>354000</v>
      </c>
      <c r="J5" s="25">
        <f>I5*(1+Parámetros!$B$10)</f>
        <v>421260</v>
      </c>
      <c r="K5" s="25">
        <f>E5/Parámetros!$B$4*Parámetros!$B$5</f>
        <v>78000</v>
      </c>
      <c r="L5" s="25">
        <f>Parámetros!$B$6</f>
        <v>50000</v>
      </c>
      <c r="M5" s="27">
        <v>0</v>
      </c>
      <c r="N5" s="25">
        <f>J5*Parámetros!$B$9</f>
        <v>12637.8</v>
      </c>
      <c r="O5" s="25">
        <f>Parámetros!$B$8</f>
        <v>30000</v>
      </c>
      <c r="P5" s="28"/>
      <c r="Q5" s="25">
        <f>IF(P5="",0,P5*Parámetros!$B$11)</f>
        <v>0</v>
      </c>
      <c r="R5" s="29">
        <f t="shared" ref="R5:R36" si="1">K5+L5+M5+N5+O5+Q5</f>
        <v>170637.8</v>
      </c>
      <c r="S5" s="25">
        <f t="shared" ref="S5:S36" si="2">IF(E5=0,"",R5/E5)</f>
        <v>1137.5853333333332</v>
      </c>
      <c r="T5" s="25">
        <f t="shared" ref="T5:T36" si="3">IF(E5=0,"",I5/E5)</f>
        <v>2360</v>
      </c>
      <c r="U5" s="25">
        <f t="shared" ref="U5:U36" si="4">I5-R5</f>
        <v>183362.2</v>
      </c>
      <c r="V5" s="30">
        <f t="shared" ref="V5:V36" si="5">IF(I5=0,"",(I5-K5-L5-M5-O5)/I5)</f>
        <v>0.5536723163841808</v>
      </c>
      <c r="W5" s="30">
        <f t="shared" ref="W5:W36" si="6">IF(I5=0,"",U5/I5)</f>
        <v>0.51797231638418084</v>
      </c>
    </row>
    <row r="6" spans="1:23" x14ac:dyDescent="0.35">
      <c r="A6" s="15" t="s">
        <v>84</v>
      </c>
      <c r="B6" s="31" t="s">
        <v>86</v>
      </c>
      <c r="C6" s="32">
        <v>88</v>
      </c>
      <c r="D6" s="32">
        <v>88</v>
      </c>
      <c r="E6" s="33">
        <f t="shared" si="0"/>
        <v>176</v>
      </c>
      <c r="F6" s="34">
        <v>300000</v>
      </c>
      <c r="G6" s="34">
        <f>F6*Parámetros!$B$12</f>
        <v>30000</v>
      </c>
      <c r="H6" s="34">
        <v>12000</v>
      </c>
      <c r="I6" s="26">
        <v>354000</v>
      </c>
      <c r="J6" s="34">
        <f>I6*(1+Parámetros!$B$10)</f>
        <v>421260</v>
      </c>
      <c r="K6" s="34">
        <f>E6/Parámetros!$B$4*Parámetros!$B$5</f>
        <v>91520.000000000015</v>
      </c>
      <c r="L6" s="34">
        <f>Parámetros!$B$6</f>
        <v>50000</v>
      </c>
      <c r="M6" s="27">
        <v>39800</v>
      </c>
      <c r="N6" s="34">
        <f>J6*Parámetros!$B$9</f>
        <v>12637.8</v>
      </c>
      <c r="O6" s="34">
        <f>Parámetros!$B$8</f>
        <v>30000</v>
      </c>
      <c r="P6" s="28"/>
      <c r="Q6" s="34">
        <f>IF(P6="",0,P6*Parámetros!$B$11)</f>
        <v>0</v>
      </c>
      <c r="R6" s="35">
        <f t="shared" si="1"/>
        <v>223957.8</v>
      </c>
      <c r="S6" s="34">
        <f t="shared" si="2"/>
        <v>1272.4875</v>
      </c>
      <c r="T6" s="34">
        <f t="shared" si="3"/>
        <v>2011.3636363636363</v>
      </c>
      <c r="U6" s="34">
        <f t="shared" si="4"/>
        <v>130042.20000000001</v>
      </c>
      <c r="V6" s="36">
        <f t="shared" si="5"/>
        <v>0.40305084745762709</v>
      </c>
      <c r="W6" s="36">
        <f t="shared" si="6"/>
        <v>0.36735084745762714</v>
      </c>
    </row>
    <row r="7" spans="1:23" x14ac:dyDescent="0.35">
      <c r="A7" s="18" t="s">
        <v>84</v>
      </c>
      <c r="B7" s="22" t="s">
        <v>87</v>
      </c>
      <c r="C7" s="23">
        <v>93</v>
      </c>
      <c r="D7" s="23">
        <v>93</v>
      </c>
      <c r="E7" s="24">
        <f t="shared" si="0"/>
        <v>186</v>
      </c>
      <c r="F7" s="25">
        <v>300000</v>
      </c>
      <c r="G7" s="25">
        <f>F7*Parámetros!$B$12</f>
        <v>30000</v>
      </c>
      <c r="H7" s="25">
        <v>12000</v>
      </c>
      <c r="I7" s="26">
        <v>354000</v>
      </c>
      <c r="J7" s="25">
        <f>I7*(1+Parámetros!$B$10)</f>
        <v>421260</v>
      </c>
      <c r="K7" s="25">
        <f>E7/Parámetros!$B$4*Parámetros!$B$5</f>
        <v>96720.000000000015</v>
      </c>
      <c r="L7" s="25">
        <f>Parámetros!$B$6</f>
        <v>50000</v>
      </c>
      <c r="M7" s="27">
        <v>33200</v>
      </c>
      <c r="N7" s="25">
        <f>J7*Parámetros!$B$9</f>
        <v>12637.8</v>
      </c>
      <c r="O7" s="25">
        <f>Parámetros!$B$8</f>
        <v>30000</v>
      </c>
      <c r="P7" s="28"/>
      <c r="Q7" s="25">
        <f>IF(P7="",0,P7*Parámetros!$B$11)</f>
        <v>0</v>
      </c>
      <c r="R7" s="29">
        <f t="shared" si="1"/>
        <v>222557.8</v>
      </c>
      <c r="S7" s="25">
        <f t="shared" si="2"/>
        <v>1196.5473118279569</v>
      </c>
      <c r="T7" s="25">
        <f t="shared" si="3"/>
        <v>1903.2258064516129</v>
      </c>
      <c r="U7" s="25">
        <f t="shared" si="4"/>
        <v>131442.20000000001</v>
      </c>
      <c r="V7" s="30">
        <f t="shared" si="5"/>
        <v>0.40700564971751413</v>
      </c>
      <c r="W7" s="30">
        <f t="shared" si="6"/>
        <v>0.37130564971751417</v>
      </c>
    </row>
    <row r="8" spans="1:23" x14ac:dyDescent="0.35">
      <c r="A8" s="15" t="s">
        <v>84</v>
      </c>
      <c r="B8" s="31" t="s">
        <v>88</v>
      </c>
      <c r="C8" s="32">
        <v>34</v>
      </c>
      <c r="D8" s="32">
        <v>34</v>
      </c>
      <c r="E8" s="33">
        <f t="shared" si="0"/>
        <v>68</v>
      </c>
      <c r="F8" s="34">
        <v>280000</v>
      </c>
      <c r="G8" s="34">
        <f>F8*Parámetros!$B$12</f>
        <v>28000</v>
      </c>
      <c r="H8" s="34">
        <v>12000</v>
      </c>
      <c r="I8" s="26">
        <v>330400</v>
      </c>
      <c r="J8" s="34">
        <f>I8*(1+Parámetros!$B$10)</f>
        <v>393176</v>
      </c>
      <c r="K8" s="34">
        <f>E8/Parámetros!$B$4*Parámetros!$B$5</f>
        <v>35360</v>
      </c>
      <c r="L8" s="34">
        <f>Parámetros!$B$6</f>
        <v>50000</v>
      </c>
      <c r="M8" s="27">
        <v>0</v>
      </c>
      <c r="N8" s="34">
        <f>J8*Parámetros!$B$9</f>
        <v>11795.279999999999</v>
      </c>
      <c r="O8" s="34">
        <f>Parámetros!$B$8</f>
        <v>30000</v>
      </c>
      <c r="P8" s="28"/>
      <c r="Q8" s="34">
        <f>IF(P8="",0,P8*Parámetros!$B$11)</f>
        <v>0</v>
      </c>
      <c r="R8" s="35">
        <f t="shared" si="1"/>
        <v>127155.28</v>
      </c>
      <c r="S8" s="34">
        <f t="shared" si="2"/>
        <v>1869.9305882352942</v>
      </c>
      <c r="T8" s="34">
        <f t="shared" si="3"/>
        <v>4858.8235294117649</v>
      </c>
      <c r="U8" s="34">
        <f t="shared" si="4"/>
        <v>203244.72</v>
      </c>
      <c r="V8" s="36">
        <f t="shared" si="5"/>
        <v>0.6508474576271186</v>
      </c>
      <c r="W8" s="36">
        <f t="shared" si="6"/>
        <v>0.61514745762711864</v>
      </c>
    </row>
    <row r="9" spans="1:23" x14ac:dyDescent="0.35">
      <c r="A9" s="18" t="s">
        <v>84</v>
      </c>
      <c r="B9" s="22" t="s">
        <v>89</v>
      </c>
      <c r="C9" s="23">
        <v>75</v>
      </c>
      <c r="D9" s="23">
        <v>75</v>
      </c>
      <c r="E9" s="24">
        <f t="shared" si="0"/>
        <v>150</v>
      </c>
      <c r="F9" s="25">
        <v>300000</v>
      </c>
      <c r="G9" s="25">
        <f>F9*Parámetros!$B$12</f>
        <v>30000</v>
      </c>
      <c r="H9" s="25">
        <v>12000</v>
      </c>
      <c r="I9" s="26">
        <v>354000</v>
      </c>
      <c r="J9" s="25">
        <f>I9*(1+Parámetros!$B$10)</f>
        <v>421260</v>
      </c>
      <c r="K9" s="25">
        <f>E9/Parámetros!$B$4*Parámetros!$B$5</f>
        <v>78000</v>
      </c>
      <c r="L9" s="25">
        <f>Parámetros!$B$6</f>
        <v>50000</v>
      </c>
      <c r="M9" s="27">
        <v>33200</v>
      </c>
      <c r="N9" s="25">
        <f>J9*Parámetros!$B$9</f>
        <v>12637.8</v>
      </c>
      <c r="O9" s="25">
        <f>Parámetros!$B$8</f>
        <v>30000</v>
      </c>
      <c r="P9" s="28"/>
      <c r="Q9" s="25">
        <f>IF(P9="",0,P9*Parámetros!$B$11)</f>
        <v>0</v>
      </c>
      <c r="R9" s="29">
        <f t="shared" si="1"/>
        <v>203837.8</v>
      </c>
      <c r="S9" s="25">
        <f t="shared" si="2"/>
        <v>1358.9186666666667</v>
      </c>
      <c r="T9" s="25">
        <f t="shared" si="3"/>
        <v>2360</v>
      </c>
      <c r="U9" s="25">
        <f t="shared" si="4"/>
        <v>150162.20000000001</v>
      </c>
      <c r="V9" s="30">
        <f t="shared" si="5"/>
        <v>0.45988700564971752</v>
      </c>
      <c r="W9" s="30">
        <f t="shared" si="6"/>
        <v>0.42418700564971756</v>
      </c>
    </row>
    <row r="10" spans="1:23" x14ac:dyDescent="0.35">
      <c r="A10" s="15" t="s">
        <v>84</v>
      </c>
      <c r="B10" s="31" t="s">
        <v>90</v>
      </c>
      <c r="C10" s="32">
        <v>75</v>
      </c>
      <c r="D10" s="32">
        <v>75</v>
      </c>
      <c r="E10" s="33">
        <f t="shared" si="0"/>
        <v>150</v>
      </c>
      <c r="F10" s="34">
        <v>300000</v>
      </c>
      <c r="G10" s="34">
        <f>F10*Parámetros!$B$12</f>
        <v>30000</v>
      </c>
      <c r="H10" s="34">
        <v>12000</v>
      </c>
      <c r="I10" s="26">
        <v>354000</v>
      </c>
      <c r="J10" s="34">
        <f>I10*(1+Parámetros!$B$10)</f>
        <v>421260</v>
      </c>
      <c r="K10" s="34">
        <f>E10/Parámetros!$B$4*Parámetros!$B$5</f>
        <v>78000</v>
      </c>
      <c r="L10" s="34">
        <f>Parámetros!$B$6</f>
        <v>50000</v>
      </c>
      <c r="M10" s="27">
        <v>33200</v>
      </c>
      <c r="N10" s="34">
        <f>J10*Parámetros!$B$9</f>
        <v>12637.8</v>
      </c>
      <c r="O10" s="34">
        <f>Parámetros!$B$8</f>
        <v>30000</v>
      </c>
      <c r="P10" s="28"/>
      <c r="Q10" s="34">
        <f>IF(P10="",0,P10*Parámetros!$B$11)</f>
        <v>0</v>
      </c>
      <c r="R10" s="35">
        <f t="shared" si="1"/>
        <v>203837.8</v>
      </c>
      <c r="S10" s="34">
        <f t="shared" si="2"/>
        <v>1358.9186666666667</v>
      </c>
      <c r="T10" s="34">
        <f t="shared" si="3"/>
        <v>2360</v>
      </c>
      <c r="U10" s="34">
        <f t="shared" si="4"/>
        <v>150162.20000000001</v>
      </c>
      <c r="V10" s="36">
        <f t="shared" si="5"/>
        <v>0.45988700564971752</v>
      </c>
      <c r="W10" s="36">
        <f t="shared" si="6"/>
        <v>0.42418700564971756</v>
      </c>
    </row>
    <row r="11" spans="1:23" x14ac:dyDescent="0.35">
      <c r="A11" s="18" t="s">
        <v>84</v>
      </c>
      <c r="B11" s="22" t="s">
        <v>91</v>
      </c>
      <c r="C11" s="23">
        <v>93</v>
      </c>
      <c r="D11" s="23">
        <v>93</v>
      </c>
      <c r="E11" s="24">
        <f t="shared" si="0"/>
        <v>186</v>
      </c>
      <c r="F11" s="25">
        <v>280000</v>
      </c>
      <c r="G11" s="25">
        <f>F11*Parámetros!$B$12</f>
        <v>28000</v>
      </c>
      <c r="H11" s="25">
        <v>12000</v>
      </c>
      <c r="I11" s="26">
        <v>330400</v>
      </c>
      <c r="J11" s="25">
        <f>I11*(1+Parámetros!$B$10)</f>
        <v>393176</v>
      </c>
      <c r="K11" s="25">
        <f>E11/Parámetros!$B$4*Parámetros!$B$5</f>
        <v>96720.000000000015</v>
      </c>
      <c r="L11" s="25">
        <f>Parámetros!$B$6</f>
        <v>50000</v>
      </c>
      <c r="M11" s="27">
        <v>33200</v>
      </c>
      <c r="N11" s="25">
        <f>J11*Parámetros!$B$9</f>
        <v>11795.279999999999</v>
      </c>
      <c r="O11" s="25">
        <f>Parámetros!$B$8</f>
        <v>30000</v>
      </c>
      <c r="P11" s="28"/>
      <c r="Q11" s="25">
        <f>IF(P11="",0,P11*Parámetros!$B$11)</f>
        <v>0</v>
      </c>
      <c r="R11" s="29">
        <f t="shared" si="1"/>
        <v>221715.28</v>
      </c>
      <c r="S11" s="25">
        <f t="shared" si="2"/>
        <v>1192.0176344086021</v>
      </c>
      <c r="T11" s="25">
        <f t="shared" si="3"/>
        <v>1776.3440860215053</v>
      </c>
      <c r="U11" s="25">
        <f t="shared" si="4"/>
        <v>108684.72</v>
      </c>
      <c r="V11" s="30">
        <f t="shared" si="5"/>
        <v>0.36464891041162228</v>
      </c>
      <c r="W11" s="30">
        <f t="shared" si="6"/>
        <v>0.32894891041162228</v>
      </c>
    </row>
    <row r="12" spans="1:23" x14ac:dyDescent="0.35">
      <c r="A12" s="15" t="s">
        <v>84</v>
      </c>
      <c r="B12" s="31" t="s">
        <v>92</v>
      </c>
      <c r="C12" s="32">
        <v>56</v>
      </c>
      <c r="D12" s="32">
        <v>56</v>
      </c>
      <c r="E12" s="33">
        <f t="shared" si="0"/>
        <v>112</v>
      </c>
      <c r="F12" s="34">
        <v>280000</v>
      </c>
      <c r="G12" s="34">
        <f>F12*Parámetros!$B$12</f>
        <v>28000</v>
      </c>
      <c r="H12" s="34">
        <v>12000</v>
      </c>
      <c r="I12" s="26">
        <v>330400</v>
      </c>
      <c r="J12" s="34">
        <f>I12*(1+Parámetros!$B$10)</f>
        <v>393176</v>
      </c>
      <c r="K12" s="34">
        <f>E12/Parámetros!$B$4*Parámetros!$B$5</f>
        <v>58239.999999999993</v>
      </c>
      <c r="L12" s="34">
        <f>Parámetros!$B$6</f>
        <v>50000</v>
      </c>
      <c r="M12" s="27">
        <v>0</v>
      </c>
      <c r="N12" s="34">
        <f>J12*Parámetros!$B$9</f>
        <v>11795.279999999999</v>
      </c>
      <c r="O12" s="34">
        <f>Parámetros!$B$8</f>
        <v>30000</v>
      </c>
      <c r="P12" s="28"/>
      <c r="Q12" s="34">
        <f>IF(P12="",0,P12*Parámetros!$B$11)</f>
        <v>0</v>
      </c>
      <c r="R12" s="35">
        <f t="shared" si="1"/>
        <v>150035.28</v>
      </c>
      <c r="S12" s="34">
        <f t="shared" si="2"/>
        <v>1339.6007142857143</v>
      </c>
      <c r="T12" s="34">
        <f t="shared" si="3"/>
        <v>2950</v>
      </c>
      <c r="U12" s="34">
        <f t="shared" si="4"/>
        <v>180364.72</v>
      </c>
      <c r="V12" s="36">
        <f t="shared" si="5"/>
        <v>0.58159806295399519</v>
      </c>
      <c r="W12" s="36">
        <f t="shared" si="6"/>
        <v>0.54589806295399512</v>
      </c>
    </row>
    <row r="13" spans="1:23" x14ac:dyDescent="0.35">
      <c r="A13" s="18" t="s">
        <v>84</v>
      </c>
      <c r="B13" s="22" t="s">
        <v>93</v>
      </c>
      <c r="C13" s="23">
        <v>88</v>
      </c>
      <c r="D13" s="23">
        <v>88</v>
      </c>
      <c r="E13" s="24">
        <f t="shared" si="0"/>
        <v>176</v>
      </c>
      <c r="F13" s="25">
        <v>300000</v>
      </c>
      <c r="G13" s="25">
        <f>F13*Parámetros!$B$12</f>
        <v>30000</v>
      </c>
      <c r="H13" s="25">
        <v>12000</v>
      </c>
      <c r="I13" s="26">
        <v>354000</v>
      </c>
      <c r="J13" s="25">
        <f>I13*(1+Parámetros!$B$10)</f>
        <v>421260</v>
      </c>
      <c r="K13" s="25">
        <f>E13/Parámetros!$B$4*Parámetros!$B$5</f>
        <v>91520.000000000015</v>
      </c>
      <c r="L13" s="25">
        <f>Parámetros!$B$6</f>
        <v>50000</v>
      </c>
      <c r="M13" s="27">
        <v>39800</v>
      </c>
      <c r="N13" s="25">
        <f>J13*Parámetros!$B$9</f>
        <v>12637.8</v>
      </c>
      <c r="O13" s="25">
        <f>Parámetros!$B$8</f>
        <v>30000</v>
      </c>
      <c r="P13" s="28"/>
      <c r="Q13" s="25">
        <f>IF(P13="",0,P13*Parámetros!$B$11)</f>
        <v>0</v>
      </c>
      <c r="R13" s="29">
        <f t="shared" si="1"/>
        <v>223957.8</v>
      </c>
      <c r="S13" s="25">
        <f t="shared" si="2"/>
        <v>1272.4875</v>
      </c>
      <c r="T13" s="25">
        <f t="shared" si="3"/>
        <v>2011.3636363636363</v>
      </c>
      <c r="U13" s="25">
        <f t="shared" si="4"/>
        <v>130042.20000000001</v>
      </c>
      <c r="V13" s="30">
        <f t="shared" si="5"/>
        <v>0.40305084745762709</v>
      </c>
      <c r="W13" s="30">
        <f t="shared" si="6"/>
        <v>0.36735084745762714</v>
      </c>
    </row>
    <row r="14" spans="1:23" x14ac:dyDescent="0.35">
      <c r="A14" s="15" t="s">
        <v>84</v>
      </c>
      <c r="B14" s="31" t="s">
        <v>94</v>
      </c>
      <c r="C14" s="32">
        <v>75</v>
      </c>
      <c r="D14" s="32">
        <v>75</v>
      </c>
      <c r="E14" s="33">
        <f t="shared" si="0"/>
        <v>150</v>
      </c>
      <c r="F14" s="34">
        <v>300000</v>
      </c>
      <c r="G14" s="34">
        <f>F14*Parámetros!$B$12</f>
        <v>30000</v>
      </c>
      <c r="H14" s="34">
        <v>12000</v>
      </c>
      <c r="I14" s="26">
        <v>354000</v>
      </c>
      <c r="J14" s="34">
        <f>I14*(1+Parámetros!$B$10)</f>
        <v>421260</v>
      </c>
      <c r="K14" s="34">
        <f>E14/Parámetros!$B$4*Parámetros!$B$5</f>
        <v>78000</v>
      </c>
      <c r="L14" s="34">
        <f>Parámetros!$B$6</f>
        <v>50000</v>
      </c>
      <c r="M14" s="27">
        <v>33200</v>
      </c>
      <c r="N14" s="34">
        <f>J14*Parámetros!$B$9</f>
        <v>12637.8</v>
      </c>
      <c r="O14" s="34">
        <f>Parámetros!$B$8</f>
        <v>30000</v>
      </c>
      <c r="P14" s="28"/>
      <c r="Q14" s="34">
        <f>IF(P14="",0,P14*Parámetros!$B$11)</f>
        <v>0</v>
      </c>
      <c r="R14" s="35">
        <f t="shared" si="1"/>
        <v>203837.8</v>
      </c>
      <c r="S14" s="34">
        <f t="shared" si="2"/>
        <v>1358.9186666666667</v>
      </c>
      <c r="T14" s="34">
        <f t="shared" si="3"/>
        <v>2360</v>
      </c>
      <c r="U14" s="34">
        <f t="shared" si="4"/>
        <v>150162.20000000001</v>
      </c>
      <c r="V14" s="36">
        <f t="shared" si="5"/>
        <v>0.45988700564971752</v>
      </c>
      <c r="W14" s="36">
        <f t="shared" si="6"/>
        <v>0.42418700564971756</v>
      </c>
    </row>
    <row r="15" spans="1:23" x14ac:dyDescent="0.35">
      <c r="A15" s="18" t="s">
        <v>84</v>
      </c>
      <c r="B15" s="22" t="s">
        <v>95</v>
      </c>
      <c r="C15" s="23">
        <v>87</v>
      </c>
      <c r="D15" s="23">
        <v>87</v>
      </c>
      <c r="E15" s="24">
        <f t="shared" si="0"/>
        <v>174</v>
      </c>
      <c r="F15" s="25">
        <v>280000</v>
      </c>
      <c r="G15" s="25">
        <f>F15*Parámetros!$B$12</f>
        <v>28000</v>
      </c>
      <c r="H15" s="25">
        <v>12000</v>
      </c>
      <c r="I15" s="26">
        <v>330400</v>
      </c>
      <c r="J15" s="25">
        <f>I15*(1+Parámetros!$B$10)</f>
        <v>393176</v>
      </c>
      <c r="K15" s="25">
        <f>E15/Parámetros!$B$4*Parámetros!$B$5</f>
        <v>90479.999999999985</v>
      </c>
      <c r="L15" s="25">
        <f>Parámetros!$B$6</f>
        <v>50000</v>
      </c>
      <c r="M15" s="27">
        <v>0</v>
      </c>
      <c r="N15" s="25">
        <f>J15*Parámetros!$B$9</f>
        <v>11795.279999999999</v>
      </c>
      <c r="O15" s="25">
        <f>Parámetros!$B$8</f>
        <v>30000</v>
      </c>
      <c r="P15" s="28"/>
      <c r="Q15" s="25">
        <f>IF(P15="",0,P15*Parámetros!$B$11)</f>
        <v>0</v>
      </c>
      <c r="R15" s="29">
        <f t="shared" si="1"/>
        <v>182275.28</v>
      </c>
      <c r="S15" s="25">
        <f t="shared" si="2"/>
        <v>1047.55908045977</v>
      </c>
      <c r="T15" s="25">
        <f t="shared" si="3"/>
        <v>1898.8505747126437</v>
      </c>
      <c r="U15" s="25">
        <f t="shared" si="4"/>
        <v>148124.72</v>
      </c>
      <c r="V15" s="30">
        <f t="shared" si="5"/>
        <v>0.48401937046004845</v>
      </c>
      <c r="W15" s="30">
        <f t="shared" si="6"/>
        <v>0.44831937046004844</v>
      </c>
    </row>
    <row r="16" spans="1:23" x14ac:dyDescent="0.35">
      <c r="A16" s="15" t="s">
        <v>84</v>
      </c>
      <c r="B16" s="31" t="s">
        <v>96</v>
      </c>
      <c r="C16" s="32">
        <v>88</v>
      </c>
      <c r="D16" s="32">
        <v>88</v>
      </c>
      <c r="E16" s="33">
        <f t="shared" si="0"/>
        <v>176</v>
      </c>
      <c r="F16" s="34">
        <v>300000</v>
      </c>
      <c r="G16" s="34">
        <f>F16*Parámetros!$B$12</f>
        <v>30000</v>
      </c>
      <c r="H16" s="34">
        <v>12000</v>
      </c>
      <c r="I16" s="26">
        <v>354000</v>
      </c>
      <c r="J16" s="34">
        <f>I16*(1+Parámetros!$B$10)</f>
        <v>421260</v>
      </c>
      <c r="K16" s="34">
        <f>E16/Parámetros!$B$4*Parámetros!$B$5</f>
        <v>91520.000000000015</v>
      </c>
      <c r="L16" s="34">
        <f>Parámetros!$B$6</f>
        <v>50000</v>
      </c>
      <c r="M16" s="27">
        <v>39800</v>
      </c>
      <c r="N16" s="34">
        <f>J16*Parámetros!$B$9</f>
        <v>12637.8</v>
      </c>
      <c r="O16" s="34">
        <f>Parámetros!$B$8</f>
        <v>30000</v>
      </c>
      <c r="P16" s="28"/>
      <c r="Q16" s="34">
        <f>IF(P16="",0,P16*Parámetros!$B$11)</f>
        <v>0</v>
      </c>
      <c r="R16" s="35">
        <f t="shared" si="1"/>
        <v>223957.8</v>
      </c>
      <c r="S16" s="34">
        <f t="shared" si="2"/>
        <v>1272.4875</v>
      </c>
      <c r="T16" s="34">
        <f t="shared" si="3"/>
        <v>2011.3636363636363</v>
      </c>
      <c r="U16" s="34">
        <f t="shared" si="4"/>
        <v>130042.20000000001</v>
      </c>
      <c r="V16" s="36">
        <f t="shared" si="5"/>
        <v>0.40305084745762709</v>
      </c>
      <c r="W16" s="36">
        <f t="shared" si="6"/>
        <v>0.36735084745762714</v>
      </c>
    </row>
    <row r="17" spans="1:23" x14ac:dyDescent="0.35">
      <c r="A17" s="18" t="s">
        <v>84</v>
      </c>
      <c r="B17" s="22" t="s">
        <v>97</v>
      </c>
      <c r="C17" s="23">
        <v>75</v>
      </c>
      <c r="D17" s="23">
        <v>75</v>
      </c>
      <c r="E17" s="24">
        <f t="shared" si="0"/>
        <v>150</v>
      </c>
      <c r="F17" s="25">
        <v>300000</v>
      </c>
      <c r="G17" s="25">
        <f>F17*Parámetros!$B$12</f>
        <v>30000</v>
      </c>
      <c r="H17" s="25">
        <v>12000</v>
      </c>
      <c r="I17" s="26">
        <v>354000</v>
      </c>
      <c r="J17" s="25">
        <f>I17*(1+Parámetros!$B$10)</f>
        <v>421260</v>
      </c>
      <c r="K17" s="25">
        <f>E17/Parámetros!$B$4*Parámetros!$B$5</f>
        <v>78000</v>
      </c>
      <c r="L17" s="25">
        <f>Parámetros!$B$6</f>
        <v>50000</v>
      </c>
      <c r="M17" s="27">
        <v>33200</v>
      </c>
      <c r="N17" s="25">
        <f>J17*Parámetros!$B$9</f>
        <v>12637.8</v>
      </c>
      <c r="O17" s="25">
        <f>Parámetros!$B$8</f>
        <v>30000</v>
      </c>
      <c r="P17" s="28"/>
      <c r="Q17" s="25">
        <f>IF(P17="",0,P17*Parámetros!$B$11)</f>
        <v>0</v>
      </c>
      <c r="R17" s="29">
        <f t="shared" si="1"/>
        <v>203837.8</v>
      </c>
      <c r="S17" s="25">
        <f t="shared" si="2"/>
        <v>1358.9186666666667</v>
      </c>
      <c r="T17" s="25">
        <f t="shared" si="3"/>
        <v>2360</v>
      </c>
      <c r="U17" s="25">
        <f t="shared" si="4"/>
        <v>150162.20000000001</v>
      </c>
      <c r="V17" s="30">
        <f t="shared" si="5"/>
        <v>0.45988700564971752</v>
      </c>
      <c r="W17" s="30">
        <f t="shared" si="6"/>
        <v>0.42418700564971756</v>
      </c>
    </row>
    <row r="18" spans="1:23" x14ac:dyDescent="0.35">
      <c r="A18" s="15" t="s">
        <v>84</v>
      </c>
      <c r="B18" s="31" t="s">
        <v>98</v>
      </c>
      <c r="C18" s="32">
        <v>93</v>
      </c>
      <c r="D18" s="32">
        <v>93</v>
      </c>
      <c r="E18" s="33">
        <f t="shared" si="0"/>
        <v>186</v>
      </c>
      <c r="F18" s="34">
        <v>300000</v>
      </c>
      <c r="G18" s="34">
        <f>F18*Parámetros!$B$12</f>
        <v>30000</v>
      </c>
      <c r="H18" s="34">
        <v>12000</v>
      </c>
      <c r="I18" s="26">
        <v>354000</v>
      </c>
      <c r="J18" s="34">
        <f>I18*(1+Parámetros!$B$10)</f>
        <v>421260</v>
      </c>
      <c r="K18" s="34">
        <f>E18/Parámetros!$B$4*Parámetros!$B$5</f>
        <v>96720.000000000015</v>
      </c>
      <c r="L18" s="34">
        <f>Parámetros!$B$6</f>
        <v>50000</v>
      </c>
      <c r="M18" s="27">
        <v>33200</v>
      </c>
      <c r="N18" s="34">
        <f>J18*Parámetros!$B$9</f>
        <v>12637.8</v>
      </c>
      <c r="O18" s="34">
        <f>Parámetros!$B$8</f>
        <v>30000</v>
      </c>
      <c r="P18" s="28"/>
      <c r="Q18" s="34">
        <f>IF(P18="",0,P18*Parámetros!$B$11)</f>
        <v>0</v>
      </c>
      <c r="R18" s="35">
        <f t="shared" si="1"/>
        <v>222557.8</v>
      </c>
      <c r="S18" s="34">
        <f t="shared" si="2"/>
        <v>1196.5473118279569</v>
      </c>
      <c r="T18" s="34">
        <f t="shared" si="3"/>
        <v>1903.2258064516129</v>
      </c>
      <c r="U18" s="34">
        <f t="shared" si="4"/>
        <v>131442.20000000001</v>
      </c>
      <c r="V18" s="36">
        <f t="shared" si="5"/>
        <v>0.40700564971751413</v>
      </c>
      <c r="W18" s="36">
        <f t="shared" si="6"/>
        <v>0.37130564971751417</v>
      </c>
    </row>
    <row r="19" spans="1:23" x14ac:dyDescent="0.35">
      <c r="A19" s="18" t="s">
        <v>84</v>
      </c>
      <c r="B19" s="22" t="s">
        <v>99</v>
      </c>
      <c r="C19" s="23">
        <v>89</v>
      </c>
      <c r="D19" s="23">
        <v>89</v>
      </c>
      <c r="E19" s="24">
        <f t="shared" si="0"/>
        <v>178</v>
      </c>
      <c r="F19" s="25">
        <v>280000</v>
      </c>
      <c r="G19" s="25">
        <f>F19*Parámetros!$B$12</f>
        <v>28000</v>
      </c>
      <c r="H19" s="25">
        <v>12000</v>
      </c>
      <c r="I19" s="26">
        <v>330400</v>
      </c>
      <c r="J19" s="25">
        <f>I19*(1+Parámetros!$B$10)</f>
        <v>393176</v>
      </c>
      <c r="K19" s="25">
        <f>E19/Parámetros!$B$4*Parámetros!$B$5</f>
        <v>92560</v>
      </c>
      <c r="L19" s="25">
        <f>Parámetros!$B$6</f>
        <v>50000</v>
      </c>
      <c r="M19" s="27">
        <v>33200</v>
      </c>
      <c r="N19" s="25">
        <f>J19*Parámetros!$B$9</f>
        <v>11795.279999999999</v>
      </c>
      <c r="O19" s="25">
        <f>Parámetros!$B$8</f>
        <v>30000</v>
      </c>
      <c r="P19" s="28"/>
      <c r="Q19" s="25">
        <f>IF(P19="",0,P19*Parámetros!$B$11)</f>
        <v>0</v>
      </c>
      <c r="R19" s="29">
        <f t="shared" si="1"/>
        <v>217555.28</v>
      </c>
      <c r="S19" s="25">
        <f t="shared" si="2"/>
        <v>1222.2206741573034</v>
      </c>
      <c r="T19" s="25">
        <f t="shared" si="3"/>
        <v>1856.1797752808989</v>
      </c>
      <c r="U19" s="25">
        <f t="shared" si="4"/>
        <v>112844.72</v>
      </c>
      <c r="V19" s="30">
        <f t="shared" si="5"/>
        <v>0.37723970944309926</v>
      </c>
      <c r="W19" s="30">
        <f t="shared" si="6"/>
        <v>0.3415397094430993</v>
      </c>
    </row>
    <row r="20" spans="1:23" x14ac:dyDescent="0.35">
      <c r="A20" s="15" t="s">
        <v>101</v>
      </c>
      <c r="B20" s="31" t="s">
        <v>102</v>
      </c>
      <c r="C20" s="32">
        <v>110</v>
      </c>
      <c r="D20" s="32">
        <v>110</v>
      </c>
      <c r="E20" s="33">
        <f t="shared" si="0"/>
        <v>220</v>
      </c>
      <c r="F20" s="34">
        <v>380000</v>
      </c>
      <c r="G20" s="34">
        <f>F20*Parámetros!$B$12</f>
        <v>38000</v>
      </c>
      <c r="H20" s="34">
        <v>12000</v>
      </c>
      <c r="I20" s="26">
        <v>448400</v>
      </c>
      <c r="J20" s="34">
        <f>I20*(1+Parámetros!$B$10)</f>
        <v>533596</v>
      </c>
      <c r="K20" s="34">
        <f>E20/Parámetros!$B$4*Parámetros!$B$5</f>
        <v>114400</v>
      </c>
      <c r="L20" s="34">
        <f>Parámetros!$B$6</f>
        <v>50000</v>
      </c>
      <c r="M20" s="27">
        <v>39800</v>
      </c>
      <c r="N20" s="34">
        <f>J20*Parámetros!$B$9</f>
        <v>16007.88</v>
      </c>
      <c r="O20" s="34">
        <f>Parámetros!$B$8</f>
        <v>30000</v>
      </c>
      <c r="P20" s="28"/>
      <c r="Q20" s="34">
        <f>IF(P20="",0,P20*Parámetros!$B$11)</f>
        <v>0</v>
      </c>
      <c r="R20" s="35">
        <f t="shared" si="1"/>
        <v>250207.88</v>
      </c>
      <c r="S20" s="34">
        <f t="shared" si="2"/>
        <v>1137.3085454545455</v>
      </c>
      <c r="T20" s="34">
        <f t="shared" si="3"/>
        <v>2038.1818181818182</v>
      </c>
      <c r="U20" s="34">
        <f t="shared" si="4"/>
        <v>198192.12</v>
      </c>
      <c r="V20" s="36">
        <f t="shared" si="5"/>
        <v>0.47769848349687777</v>
      </c>
      <c r="W20" s="36">
        <f t="shared" si="6"/>
        <v>0.44199848349687776</v>
      </c>
    </row>
    <row r="21" spans="1:23" x14ac:dyDescent="0.35">
      <c r="A21" s="18" t="s">
        <v>101</v>
      </c>
      <c r="B21" s="22" t="s">
        <v>103</v>
      </c>
      <c r="C21" s="23">
        <v>87</v>
      </c>
      <c r="D21" s="23">
        <v>87</v>
      </c>
      <c r="E21" s="24">
        <f t="shared" si="0"/>
        <v>174</v>
      </c>
      <c r="F21" s="25">
        <v>380000</v>
      </c>
      <c r="G21" s="25">
        <f>F21*Parámetros!$B$12</f>
        <v>38000</v>
      </c>
      <c r="H21" s="25">
        <v>12000</v>
      </c>
      <c r="I21" s="26">
        <v>448400</v>
      </c>
      <c r="J21" s="25">
        <f>I21*(1+Parámetros!$B$10)</f>
        <v>533596</v>
      </c>
      <c r="K21" s="25">
        <f>E21/Parámetros!$B$4*Parámetros!$B$5</f>
        <v>90479.999999999985</v>
      </c>
      <c r="L21" s="25">
        <f>Parámetros!$B$6</f>
        <v>50000</v>
      </c>
      <c r="M21" s="27">
        <v>33200</v>
      </c>
      <c r="N21" s="25">
        <f>J21*Parámetros!$B$9</f>
        <v>16007.88</v>
      </c>
      <c r="O21" s="25">
        <f>Parámetros!$B$8</f>
        <v>30000</v>
      </c>
      <c r="P21" s="28"/>
      <c r="Q21" s="25">
        <f>IF(P21="",0,P21*Parámetros!$B$11)</f>
        <v>0</v>
      </c>
      <c r="R21" s="29">
        <f t="shared" si="1"/>
        <v>219687.88</v>
      </c>
      <c r="S21" s="25">
        <f t="shared" si="2"/>
        <v>1262.5740229885057</v>
      </c>
      <c r="T21" s="25">
        <f t="shared" si="3"/>
        <v>2577.0114942528735</v>
      </c>
      <c r="U21" s="25">
        <f t="shared" si="4"/>
        <v>228712.12</v>
      </c>
      <c r="V21" s="30">
        <f t="shared" si="5"/>
        <v>0.54576271186440672</v>
      </c>
      <c r="W21" s="30">
        <f t="shared" si="6"/>
        <v>0.51006271186440677</v>
      </c>
    </row>
    <row r="22" spans="1:23" x14ac:dyDescent="0.35">
      <c r="A22" s="15" t="s">
        <v>101</v>
      </c>
      <c r="B22" s="31" t="s">
        <v>104</v>
      </c>
      <c r="C22" s="32">
        <v>0</v>
      </c>
      <c r="D22" s="32">
        <v>0</v>
      </c>
      <c r="E22" s="33">
        <f t="shared" si="0"/>
        <v>0</v>
      </c>
      <c r="F22" s="34">
        <v>280000</v>
      </c>
      <c r="G22" s="34">
        <f>F22*Parámetros!$B$12</f>
        <v>28000</v>
      </c>
      <c r="H22" s="34">
        <v>12000</v>
      </c>
      <c r="I22" s="26">
        <v>330400</v>
      </c>
      <c r="J22" s="34">
        <f>I22*(1+Parámetros!$B$10)</f>
        <v>393176</v>
      </c>
      <c r="K22" s="34">
        <f>E22/Parámetros!$B$4*Parámetros!$B$5</f>
        <v>0</v>
      </c>
      <c r="L22" s="34">
        <f>Parámetros!$B$6</f>
        <v>50000</v>
      </c>
      <c r="M22" s="27">
        <v>0</v>
      </c>
      <c r="N22" s="34">
        <f>J22*Parámetros!$B$9</f>
        <v>11795.279999999999</v>
      </c>
      <c r="O22" s="34">
        <f>Parámetros!$B$8</f>
        <v>30000</v>
      </c>
      <c r="P22" s="28"/>
      <c r="Q22" s="34">
        <f>IF(P22="",0,P22*Parámetros!$B$11)</f>
        <v>0</v>
      </c>
      <c r="R22" s="35">
        <f t="shared" si="1"/>
        <v>91795.28</v>
      </c>
      <c r="S22" s="34" t="str">
        <f t="shared" si="2"/>
        <v/>
      </c>
      <c r="T22" s="34" t="str">
        <f t="shared" si="3"/>
        <v/>
      </c>
      <c r="U22" s="34">
        <f t="shared" si="4"/>
        <v>238604.72</v>
      </c>
      <c r="V22" s="36">
        <f t="shared" si="5"/>
        <v>0.75786924939467315</v>
      </c>
      <c r="W22" s="36">
        <f t="shared" si="6"/>
        <v>0.72216924939467309</v>
      </c>
    </row>
    <row r="23" spans="1:23" x14ac:dyDescent="0.35">
      <c r="A23" s="18" t="s">
        <v>101</v>
      </c>
      <c r="B23" s="22" t="s">
        <v>105</v>
      </c>
      <c r="C23" s="23">
        <v>75</v>
      </c>
      <c r="D23" s="23">
        <v>75</v>
      </c>
      <c r="E23" s="24">
        <f t="shared" si="0"/>
        <v>150</v>
      </c>
      <c r="F23" s="25">
        <v>380000</v>
      </c>
      <c r="G23" s="25">
        <f>F23*Parámetros!$B$12</f>
        <v>38000</v>
      </c>
      <c r="H23" s="25">
        <v>12000</v>
      </c>
      <c r="I23" s="26">
        <v>448400</v>
      </c>
      <c r="J23" s="25">
        <f>I23*(1+Parámetros!$B$10)</f>
        <v>533596</v>
      </c>
      <c r="K23" s="25">
        <f>E23/Parámetros!$B$4*Parámetros!$B$5</f>
        <v>78000</v>
      </c>
      <c r="L23" s="25">
        <f>Parámetros!$B$6</f>
        <v>50000</v>
      </c>
      <c r="M23" s="27">
        <v>33200</v>
      </c>
      <c r="N23" s="25">
        <f>J23*Parámetros!$B$9</f>
        <v>16007.88</v>
      </c>
      <c r="O23" s="25">
        <f>Parámetros!$B$8</f>
        <v>30000</v>
      </c>
      <c r="P23" s="28"/>
      <c r="Q23" s="25">
        <f>IF(P23="",0,P23*Parámetros!$B$11)</f>
        <v>0</v>
      </c>
      <c r="R23" s="29">
        <f t="shared" si="1"/>
        <v>207207.88</v>
      </c>
      <c r="S23" s="25">
        <f t="shared" si="2"/>
        <v>1381.3858666666667</v>
      </c>
      <c r="T23" s="25">
        <f t="shared" si="3"/>
        <v>2989.3333333333335</v>
      </c>
      <c r="U23" s="25">
        <f t="shared" si="4"/>
        <v>241192.12</v>
      </c>
      <c r="V23" s="30">
        <f t="shared" si="5"/>
        <v>0.57359500446030331</v>
      </c>
      <c r="W23" s="30">
        <f t="shared" si="6"/>
        <v>0.53789500446030325</v>
      </c>
    </row>
    <row r="24" spans="1:23" x14ac:dyDescent="0.35">
      <c r="A24" s="15" t="s">
        <v>101</v>
      </c>
      <c r="B24" s="31" t="s">
        <v>106</v>
      </c>
      <c r="C24" s="32">
        <v>120</v>
      </c>
      <c r="D24" s="32">
        <v>120</v>
      </c>
      <c r="E24" s="33">
        <f t="shared" si="0"/>
        <v>240</v>
      </c>
      <c r="F24" s="34">
        <v>380000</v>
      </c>
      <c r="G24" s="34">
        <f>F24*Parámetros!$B$12</f>
        <v>38000</v>
      </c>
      <c r="H24" s="34">
        <v>12000</v>
      </c>
      <c r="I24" s="26">
        <v>448400</v>
      </c>
      <c r="J24" s="34">
        <f>I24*(1+Parámetros!$B$10)</f>
        <v>533596</v>
      </c>
      <c r="K24" s="34">
        <f>E24/Parámetros!$B$4*Parámetros!$B$5</f>
        <v>124800</v>
      </c>
      <c r="L24" s="34">
        <f>Parámetros!$B$6</f>
        <v>50000</v>
      </c>
      <c r="M24" s="27">
        <v>39800</v>
      </c>
      <c r="N24" s="34">
        <f>J24*Parámetros!$B$9</f>
        <v>16007.88</v>
      </c>
      <c r="O24" s="34">
        <f>Parámetros!$B$8</f>
        <v>30000</v>
      </c>
      <c r="P24" s="28"/>
      <c r="Q24" s="34">
        <f>IF(P24="",0,P24*Parámetros!$B$11)</f>
        <v>0</v>
      </c>
      <c r="R24" s="35">
        <f t="shared" si="1"/>
        <v>260607.88</v>
      </c>
      <c r="S24" s="34">
        <f t="shared" si="2"/>
        <v>1085.8661666666667</v>
      </c>
      <c r="T24" s="34">
        <f t="shared" si="3"/>
        <v>1868.3333333333333</v>
      </c>
      <c r="U24" s="34">
        <f t="shared" si="4"/>
        <v>187792.12</v>
      </c>
      <c r="V24" s="36">
        <f t="shared" si="5"/>
        <v>0.45450490633363066</v>
      </c>
      <c r="W24" s="36">
        <f t="shared" si="6"/>
        <v>0.41880490633363066</v>
      </c>
    </row>
    <row r="25" spans="1:23" x14ac:dyDescent="0.35">
      <c r="A25" s="18" t="s">
        <v>101</v>
      </c>
      <c r="B25" s="22" t="s">
        <v>107</v>
      </c>
      <c r="C25" s="23">
        <v>85</v>
      </c>
      <c r="D25" s="23">
        <v>85</v>
      </c>
      <c r="E25" s="24">
        <f t="shared" si="0"/>
        <v>170</v>
      </c>
      <c r="F25" s="25">
        <v>380000</v>
      </c>
      <c r="G25" s="25">
        <f>F25*Parámetros!$B$12</f>
        <v>38000</v>
      </c>
      <c r="H25" s="25">
        <v>12000</v>
      </c>
      <c r="I25" s="26">
        <v>448400</v>
      </c>
      <c r="J25" s="25">
        <f>I25*(1+Parámetros!$B$10)</f>
        <v>533596</v>
      </c>
      <c r="K25" s="25">
        <f>E25/Parámetros!$B$4*Parámetros!$B$5</f>
        <v>88400</v>
      </c>
      <c r="L25" s="25">
        <f>Parámetros!$B$6</f>
        <v>50000</v>
      </c>
      <c r="M25" s="27">
        <v>33200</v>
      </c>
      <c r="N25" s="25">
        <f>J25*Parámetros!$B$9</f>
        <v>16007.88</v>
      </c>
      <c r="O25" s="25">
        <f>Parámetros!$B$8</f>
        <v>30000</v>
      </c>
      <c r="P25" s="28"/>
      <c r="Q25" s="25">
        <f>IF(P25="",0,P25*Parámetros!$B$11)</f>
        <v>0</v>
      </c>
      <c r="R25" s="29">
        <f t="shared" si="1"/>
        <v>217607.88</v>
      </c>
      <c r="S25" s="25">
        <f t="shared" si="2"/>
        <v>1280.0463529411766</v>
      </c>
      <c r="T25" s="25">
        <f t="shared" si="3"/>
        <v>2637.6470588235293</v>
      </c>
      <c r="U25" s="25">
        <f t="shared" si="4"/>
        <v>230792.12</v>
      </c>
      <c r="V25" s="30">
        <f t="shared" si="5"/>
        <v>0.55040142729705621</v>
      </c>
      <c r="W25" s="30">
        <f t="shared" si="6"/>
        <v>0.51470142729705615</v>
      </c>
    </row>
    <row r="26" spans="1:23" x14ac:dyDescent="0.35">
      <c r="A26" s="15" t="s">
        <v>101</v>
      </c>
      <c r="B26" s="31" t="s">
        <v>108</v>
      </c>
      <c r="C26" s="32">
        <v>87</v>
      </c>
      <c r="D26" s="32">
        <v>87</v>
      </c>
      <c r="E26" s="33">
        <f t="shared" si="0"/>
        <v>174</v>
      </c>
      <c r="F26" s="34">
        <v>380000</v>
      </c>
      <c r="G26" s="34">
        <f>F26*Parámetros!$B$12</f>
        <v>38000</v>
      </c>
      <c r="H26" s="34">
        <v>12000</v>
      </c>
      <c r="I26" s="26">
        <v>448400</v>
      </c>
      <c r="J26" s="34">
        <f>I26*(1+Parámetros!$B$10)</f>
        <v>533596</v>
      </c>
      <c r="K26" s="34">
        <f>E26/Parámetros!$B$4*Parámetros!$B$5</f>
        <v>90479.999999999985</v>
      </c>
      <c r="L26" s="34">
        <f>Parámetros!$B$6</f>
        <v>50000</v>
      </c>
      <c r="M26" s="27">
        <v>33200</v>
      </c>
      <c r="N26" s="34">
        <f>J26*Parámetros!$B$9</f>
        <v>16007.88</v>
      </c>
      <c r="O26" s="34">
        <f>Parámetros!$B$8</f>
        <v>30000</v>
      </c>
      <c r="P26" s="28"/>
      <c r="Q26" s="34">
        <f>IF(P26="",0,P26*Parámetros!$B$11)</f>
        <v>0</v>
      </c>
      <c r="R26" s="35">
        <f t="shared" si="1"/>
        <v>219687.88</v>
      </c>
      <c r="S26" s="34">
        <f t="shared" si="2"/>
        <v>1262.5740229885057</v>
      </c>
      <c r="T26" s="34">
        <f t="shared" si="3"/>
        <v>2577.0114942528735</v>
      </c>
      <c r="U26" s="34">
        <f t="shared" si="4"/>
        <v>228712.12</v>
      </c>
      <c r="V26" s="36">
        <f t="shared" si="5"/>
        <v>0.54576271186440672</v>
      </c>
      <c r="W26" s="36">
        <f t="shared" si="6"/>
        <v>0.51006271186440677</v>
      </c>
    </row>
    <row r="27" spans="1:23" x14ac:dyDescent="0.35">
      <c r="A27" s="18" t="s">
        <v>101</v>
      </c>
      <c r="B27" s="22" t="s">
        <v>109</v>
      </c>
      <c r="C27" s="23">
        <v>75</v>
      </c>
      <c r="D27" s="23">
        <v>75</v>
      </c>
      <c r="E27" s="24">
        <f t="shared" si="0"/>
        <v>150</v>
      </c>
      <c r="F27" s="25">
        <v>380000</v>
      </c>
      <c r="G27" s="25">
        <f>F27*Parámetros!$B$12</f>
        <v>38000</v>
      </c>
      <c r="H27" s="25">
        <v>12000</v>
      </c>
      <c r="I27" s="26">
        <v>448400</v>
      </c>
      <c r="J27" s="25">
        <f>I27*(1+Parámetros!$B$10)</f>
        <v>533596</v>
      </c>
      <c r="K27" s="25">
        <f>E27/Parámetros!$B$4*Parámetros!$B$5</f>
        <v>78000</v>
      </c>
      <c r="L27" s="25">
        <f>Parámetros!$B$6</f>
        <v>50000</v>
      </c>
      <c r="M27" s="27">
        <v>33200</v>
      </c>
      <c r="N27" s="25">
        <f>J27*Parámetros!$B$9</f>
        <v>16007.88</v>
      </c>
      <c r="O27" s="25">
        <f>Parámetros!$B$8</f>
        <v>30000</v>
      </c>
      <c r="P27" s="28"/>
      <c r="Q27" s="25">
        <f>IF(P27="",0,P27*Parámetros!$B$11)</f>
        <v>0</v>
      </c>
      <c r="R27" s="29">
        <f t="shared" si="1"/>
        <v>207207.88</v>
      </c>
      <c r="S27" s="25">
        <f t="shared" si="2"/>
        <v>1381.3858666666667</v>
      </c>
      <c r="T27" s="25">
        <f t="shared" si="3"/>
        <v>2989.3333333333335</v>
      </c>
      <c r="U27" s="25">
        <f t="shared" si="4"/>
        <v>241192.12</v>
      </c>
      <c r="V27" s="30">
        <f t="shared" si="5"/>
        <v>0.57359500446030331</v>
      </c>
      <c r="W27" s="30">
        <f t="shared" si="6"/>
        <v>0.53789500446030325</v>
      </c>
    </row>
    <row r="28" spans="1:23" x14ac:dyDescent="0.35">
      <c r="A28" s="15" t="s">
        <v>101</v>
      </c>
      <c r="B28" s="31" t="s">
        <v>110</v>
      </c>
      <c r="C28" s="32">
        <v>130</v>
      </c>
      <c r="D28" s="32">
        <v>130</v>
      </c>
      <c r="E28" s="33">
        <f t="shared" si="0"/>
        <v>260</v>
      </c>
      <c r="F28" s="34">
        <v>400000</v>
      </c>
      <c r="G28" s="34">
        <f>F28*Parámetros!$B$12</f>
        <v>40000</v>
      </c>
      <c r="H28" s="34">
        <v>12000</v>
      </c>
      <c r="I28" s="26">
        <v>472000</v>
      </c>
      <c r="J28" s="34">
        <f>I28*(1+Parámetros!$B$10)</f>
        <v>561680</v>
      </c>
      <c r="K28" s="34">
        <f>E28/Parámetros!$B$4*Parámetros!$B$5</f>
        <v>135200</v>
      </c>
      <c r="L28" s="34">
        <f>Parámetros!$B$6</f>
        <v>50000</v>
      </c>
      <c r="M28" s="27">
        <v>46400</v>
      </c>
      <c r="N28" s="34">
        <f>J28*Parámetros!$B$9</f>
        <v>16850.399999999998</v>
      </c>
      <c r="O28" s="34">
        <f>Parámetros!$B$8</f>
        <v>30000</v>
      </c>
      <c r="P28" s="28"/>
      <c r="Q28" s="34">
        <f>IF(P28="",0,P28*Parámetros!$B$11)</f>
        <v>0</v>
      </c>
      <c r="R28" s="35">
        <f t="shared" si="1"/>
        <v>278450.40000000002</v>
      </c>
      <c r="S28" s="34">
        <f t="shared" si="2"/>
        <v>1070.9630769230771</v>
      </c>
      <c r="T28" s="34">
        <f t="shared" si="3"/>
        <v>1815.3846153846155</v>
      </c>
      <c r="U28" s="34">
        <f t="shared" si="4"/>
        <v>193549.59999999998</v>
      </c>
      <c r="V28" s="36">
        <f t="shared" si="5"/>
        <v>0.4457627118644068</v>
      </c>
      <c r="W28" s="36">
        <f t="shared" si="6"/>
        <v>0.41006271186440674</v>
      </c>
    </row>
    <row r="29" spans="1:23" x14ac:dyDescent="0.35">
      <c r="A29" s="18" t="s">
        <v>101</v>
      </c>
      <c r="B29" s="22" t="s">
        <v>111</v>
      </c>
      <c r="C29" s="23">
        <v>90</v>
      </c>
      <c r="D29" s="23">
        <v>90</v>
      </c>
      <c r="E29" s="24">
        <f t="shared" si="0"/>
        <v>180</v>
      </c>
      <c r="F29" s="25">
        <v>380000</v>
      </c>
      <c r="G29" s="25">
        <f>F29*Parámetros!$B$12</f>
        <v>38000</v>
      </c>
      <c r="H29" s="25">
        <v>12000</v>
      </c>
      <c r="I29" s="26">
        <v>448400</v>
      </c>
      <c r="J29" s="25">
        <f>I29*(1+Parámetros!$B$10)</f>
        <v>533596</v>
      </c>
      <c r="K29" s="25">
        <f>E29/Parámetros!$B$4*Parámetros!$B$5</f>
        <v>93600</v>
      </c>
      <c r="L29" s="25">
        <f>Parámetros!$B$6</f>
        <v>50000</v>
      </c>
      <c r="M29" s="27">
        <v>39800</v>
      </c>
      <c r="N29" s="25">
        <f>J29*Parámetros!$B$9</f>
        <v>16007.88</v>
      </c>
      <c r="O29" s="25">
        <f>Parámetros!$B$8</f>
        <v>30000</v>
      </c>
      <c r="P29" s="28"/>
      <c r="Q29" s="25">
        <f>IF(P29="",0,P29*Parámetros!$B$11)</f>
        <v>0</v>
      </c>
      <c r="R29" s="29">
        <f t="shared" si="1"/>
        <v>229407.88</v>
      </c>
      <c r="S29" s="25">
        <f t="shared" si="2"/>
        <v>1274.4882222222222</v>
      </c>
      <c r="T29" s="25">
        <f t="shared" si="3"/>
        <v>2491.1111111111113</v>
      </c>
      <c r="U29" s="25">
        <f t="shared" si="4"/>
        <v>218992.12</v>
      </c>
      <c r="V29" s="30">
        <f t="shared" si="5"/>
        <v>0.52408563782337203</v>
      </c>
      <c r="W29" s="30">
        <f t="shared" si="6"/>
        <v>0.48838563782337197</v>
      </c>
    </row>
    <row r="30" spans="1:23" x14ac:dyDescent="0.35">
      <c r="A30" s="15" t="s">
        <v>101</v>
      </c>
      <c r="B30" s="31" t="s">
        <v>112</v>
      </c>
      <c r="C30" s="32">
        <v>65</v>
      </c>
      <c r="D30" s="32">
        <v>65</v>
      </c>
      <c r="E30" s="33">
        <f t="shared" si="0"/>
        <v>130</v>
      </c>
      <c r="F30" s="34">
        <v>380000</v>
      </c>
      <c r="G30" s="34">
        <f>F30*Parámetros!$B$12</f>
        <v>38000</v>
      </c>
      <c r="H30" s="34">
        <v>12000</v>
      </c>
      <c r="I30" s="26">
        <v>448400</v>
      </c>
      <c r="J30" s="34">
        <f>I30*(1+Parámetros!$B$10)</f>
        <v>533596</v>
      </c>
      <c r="K30" s="34">
        <f>E30/Parámetros!$B$4*Parámetros!$B$5</f>
        <v>67600</v>
      </c>
      <c r="L30" s="34">
        <f>Parámetros!$B$6</f>
        <v>50000</v>
      </c>
      <c r="M30" s="27">
        <v>16600</v>
      </c>
      <c r="N30" s="34">
        <f>J30*Parámetros!$B$9</f>
        <v>16007.88</v>
      </c>
      <c r="O30" s="34">
        <f>Parámetros!$B$8</f>
        <v>30000</v>
      </c>
      <c r="P30" s="28"/>
      <c r="Q30" s="34">
        <f>IF(P30="",0,P30*Parámetros!$B$11)</f>
        <v>0</v>
      </c>
      <c r="R30" s="35">
        <f t="shared" si="1"/>
        <v>180207.88</v>
      </c>
      <c r="S30" s="34">
        <f t="shared" si="2"/>
        <v>1386.2144615384616</v>
      </c>
      <c r="T30" s="34">
        <f t="shared" si="3"/>
        <v>3449.2307692307691</v>
      </c>
      <c r="U30" s="34">
        <f t="shared" si="4"/>
        <v>268192.12</v>
      </c>
      <c r="V30" s="36">
        <f t="shared" si="5"/>
        <v>0.63380909901873328</v>
      </c>
      <c r="W30" s="36">
        <f t="shared" si="6"/>
        <v>0.59810909901873321</v>
      </c>
    </row>
    <row r="31" spans="1:23" x14ac:dyDescent="0.35">
      <c r="A31" s="18" t="s">
        <v>101</v>
      </c>
      <c r="B31" s="22" t="s">
        <v>113</v>
      </c>
      <c r="C31" s="23">
        <v>80</v>
      </c>
      <c r="D31" s="23">
        <v>80</v>
      </c>
      <c r="E31" s="24">
        <f t="shared" si="0"/>
        <v>160</v>
      </c>
      <c r="F31" s="25">
        <v>380000</v>
      </c>
      <c r="G31" s="25">
        <f>F31*Parámetros!$B$12</f>
        <v>38000</v>
      </c>
      <c r="H31" s="25">
        <v>12000</v>
      </c>
      <c r="I31" s="26">
        <v>448400</v>
      </c>
      <c r="J31" s="25">
        <f>I31*(1+Parámetros!$B$10)</f>
        <v>533596</v>
      </c>
      <c r="K31" s="25">
        <f>E31/Parámetros!$B$4*Parámetros!$B$5</f>
        <v>83200</v>
      </c>
      <c r="L31" s="25">
        <f>Parámetros!$B$6</f>
        <v>50000</v>
      </c>
      <c r="M31" s="27">
        <v>33200</v>
      </c>
      <c r="N31" s="25">
        <f>J31*Parámetros!$B$9</f>
        <v>16007.88</v>
      </c>
      <c r="O31" s="25">
        <f>Parámetros!$B$8</f>
        <v>30000</v>
      </c>
      <c r="P31" s="28"/>
      <c r="Q31" s="25">
        <f>IF(P31="",0,P31*Parámetros!$B$11)</f>
        <v>0</v>
      </c>
      <c r="R31" s="29">
        <f t="shared" si="1"/>
        <v>212407.88</v>
      </c>
      <c r="S31" s="25">
        <f t="shared" si="2"/>
        <v>1327.54925</v>
      </c>
      <c r="T31" s="25">
        <f t="shared" si="3"/>
        <v>2802.5</v>
      </c>
      <c r="U31" s="25">
        <f t="shared" si="4"/>
        <v>235992.12</v>
      </c>
      <c r="V31" s="30">
        <f t="shared" si="5"/>
        <v>0.56199821587867971</v>
      </c>
      <c r="W31" s="30">
        <f t="shared" si="6"/>
        <v>0.52629821587867975</v>
      </c>
    </row>
    <row r="32" spans="1:23" x14ac:dyDescent="0.35">
      <c r="A32" s="15" t="s">
        <v>101</v>
      </c>
      <c r="B32" s="31" t="s">
        <v>114</v>
      </c>
      <c r="C32" s="32">
        <v>80</v>
      </c>
      <c r="D32" s="32">
        <v>80</v>
      </c>
      <c r="E32" s="33">
        <f t="shared" si="0"/>
        <v>160</v>
      </c>
      <c r="F32" s="34">
        <v>280000</v>
      </c>
      <c r="G32" s="34">
        <f>F32*Parámetros!$B$12</f>
        <v>28000</v>
      </c>
      <c r="H32" s="34">
        <v>12000</v>
      </c>
      <c r="I32" s="26">
        <v>330400</v>
      </c>
      <c r="J32" s="34">
        <f>I32*(1+Parámetros!$B$10)</f>
        <v>393176</v>
      </c>
      <c r="K32" s="34">
        <f>E32/Parámetros!$B$4*Parámetros!$B$5</f>
        <v>83200</v>
      </c>
      <c r="L32" s="34">
        <f>Parámetros!$B$6</f>
        <v>50000</v>
      </c>
      <c r="M32" s="27">
        <v>6800</v>
      </c>
      <c r="N32" s="34">
        <f>J32*Parámetros!$B$9</f>
        <v>11795.279999999999</v>
      </c>
      <c r="O32" s="34">
        <f>Parámetros!$B$8</f>
        <v>30000</v>
      </c>
      <c r="P32" s="28"/>
      <c r="Q32" s="34">
        <f>IF(P32="",0,P32*Parámetros!$B$11)</f>
        <v>0</v>
      </c>
      <c r="R32" s="35">
        <f t="shared" si="1"/>
        <v>181795.28</v>
      </c>
      <c r="S32" s="34">
        <f t="shared" si="2"/>
        <v>1136.2204999999999</v>
      </c>
      <c r="T32" s="34">
        <f t="shared" si="3"/>
        <v>2065</v>
      </c>
      <c r="U32" s="34">
        <f t="shared" si="4"/>
        <v>148604.72</v>
      </c>
      <c r="V32" s="36">
        <f t="shared" si="5"/>
        <v>0.4854721549636804</v>
      </c>
      <c r="W32" s="36">
        <f t="shared" si="6"/>
        <v>0.44977215496368039</v>
      </c>
    </row>
    <row r="33" spans="1:23" x14ac:dyDescent="0.35">
      <c r="A33" s="18" t="s">
        <v>101</v>
      </c>
      <c r="B33" s="22" t="s">
        <v>115</v>
      </c>
      <c r="C33" s="23">
        <v>87</v>
      </c>
      <c r="D33" s="23">
        <v>87</v>
      </c>
      <c r="E33" s="24">
        <f t="shared" si="0"/>
        <v>174</v>
      </c>
      <c r="F33" s="25">
        <v>380000</v>
      </c>
      <c r="G33" s="25">
        <f>F33*Parámetros!$B$12</f>
        <v>38000</v>
      </c>
      <c r="H33" s="25">
        <v>12000</v>
      </c>
      <c r="I33" s="26">
        <v>448400</v>
      </c>
      <c r="J33" s="25">
        <f>I33*(1+Parámetros!$B$10)</f>
        <v>533596</v>
      </c>
      <c r="K33" s="25">
        <f>E33/Parámetros!$B$4*Parámetros!$B$5</f>
        <v>90479.999999999985</v>
      </c>
      <c r="L33" s="25">
        <f>Parámetros!$B$6</f>
        <v>50000</v>
      </c>
      <c r="M33" s="27">
        <v>33200</v>
      </c>
      <c r="N33" s="25">
        <f>J33*Parámetros!$B$9</f>
        <v>16007.88</v>
      </c>
      <c r="O33" s="25">
        <f>Parámetros!$B$8</f>
        <v>30000</v>
      </c>
      <c r="P33" s="28"/>
      <c r="Q33" s="25">
        <f>IF(P33="",0,P33*Parámetros!$B$11)</f>
        <v>0</v>
      </c>
      <c r="R33" s="29">
        <f t="shared" si="1"/>
        <v>219687.88</v>
      </c>
      <c r="S33" s="25">
        <f t="shared" si="2"/>
        <v>1262.5740229885057</v>
      </c>
      <c r="T33" s="25">
        <f t="shared" si="3"/>
        <v>2577.0114942528735</v>
      </c>
      <c r="U33" s="25">
        <f t="shared" si="4"/>
        <v>228712.12</v>
      </c>
      <c r="V33" s="30">
        <f t="shared" si="5"/>
        <v>0.54576271186440672</v>
      </c>
      <c r="W33" s="30">
        <f t="shared" si="6"/>
        <v>0.51006271186440677</v>
      </c>
    </row>
    <row r="34" spans="1:23" x14ac:dyDescent="0.35">
      <c r="A34" s="15" t="s">
        <v>101</v>
      </c>
      <c r="B34" s="31" t="s">
        <v>116</v>
      </c>
      <c r="C34" s="32">
        <v>87</v>
      </c>
      <c r="D34" s="32">
        <v>87</v>
      </c>
      <c r="E34" s="33">
        <f t="shared" si="0"/>
        <v>174</v>
      </c>
      <c r="F34" s="34">
        <v>380000</v>
      </c>
      <c r="G34" s="34">
        <f>F34*Parámetros!$B$12</f>
        <v>38000</v>
      </c>
      <c r="H34" s="34">
        <v>12000</v>
      </c>
      <c r="I34" s="26">
        <v>448400</v>
      </c>
      <c r="J34" s="34">
        <f>I34*(1+Parámetros!$B$10)</f>
        <v>533596</v>
      </c>
      <c r="K34" s="34">
        <f>E34/Parámetros!$B$4*Parámetros!$B$5</f>
        <v>90479.999999999985</v>
      </c>
      <c r="L34" s="34">
        <f>Parámetros!$B$6</f>
        <v>50000</v>
      </c>
      <c r="M34" s="27">
        <v>33200</v>
      </c>
      <c r="N34" s="34">
        <f>J34*Parámetros!$B$9</f>
        <v>16007.88</v>
      </c>
      <c r="O34" s="34">
        <f>Parámetros!$B$8</f>
        <v>30000</v>
      </c>
      <c r="P34" s="28"/>
      <c r="Q34" s="34">
        <f>IF(P34="",0,P34*Parámetros!$B$11)</f>
        <v>0</v>
      </c>
      <c r="R34" s="35">
        <f t="shared" si="1"/>
        <v>219687.88</v>
      </c>
      <c r="S34" s="34">
        <f t="shared" si="2"/>
        <v>1262.5740229885057</v>
      </c>
      <c r="T34" s="34">
        <f t="shared" si="3"/>
        <v>2577.0114942528735</v>
      </c>
      <c r="U34" s="34">
        <f t="shared" si="4"/>
        <v>228712.12</v>
      </c>
      <c r="V34" s="36">
        <f t="shared" si="5"/>
        <v>0.54576271186440672</v>
      </c>
      <c r="W34" s="36">
        <f t="shared" si="6"/>
        <v>0.51006271186440677</v>
      </c>
    </row>
    <row r="35" spans="1:23" x14ac:dyDescent="0.35">
      <c r="A35" s="18" t="s">
        <v>101</v>
      </c>
      <c r="B35" s="22" t="s">
        <v>117</v>
      </c>
      <c r="C35" s="23">
        <v>80</v>
      </c>
      <c r="D35" s="23">
        <v>80</v>
      </c>
      <c r="E35" s="24">
        <f t="shared" si="0"/>
        <v>160</v>
      </c>
      <c r="F35" s="25">
        <v>380000</v>
      </c>
      <c r="G35" s="25">
        <f>F35*Parámetros!$B$12</f>
        <v>38000</v>
      </c>
      <c r="H35" s="25">
        <v>12000</v>
      </c>
      <c r="I35" s="26">
        <v>448400</v>
      </c>
      <c r="J35" s="25">
        <f>I35*(1+Parámetros!$B$10)</f>
        <v>533596</v>
      </c>
      <c r="K35" s="25">
        <f>E35/Parámetros!$B$4*Parámetros!$B$5</f>
        <v>83200</v>
      </c>
      <c r="L35" s="25">
        <f>Parámetros!$B$6</f>
        <v>50000</v>
      </c>
      <c r="M35" s="27">
        <v>33200</v>
      </c>
      <c r="N35" s="25">
        <f>J35*Parámetros!$B$9</f>
        <v>16007.88</v>
      </c>
      <c r="O35" s="25">
        <f>Parámetros!$B$8</f>
        <v>30000</v>
      </c>
      <c r="P35" s="28"/>
      <c r="Q35" s="25">
        <f>IF(P35="",0,P35*Parámetros!$B$11)</f>
        <v>0</v>
      </c>
      <c r="R35" s="29">
        <f t="shared" si="1"/>
        <v>212407.88</v>
      </c>
      <c r="S35" s="25">
        <f t="shared" si="2"/>
        <v>1327.54925</v>
      </c>
      <c r="T35" s="25">
        <f t="shared" si="3"/>
        <v>2802.5</v>
      </c>
      <c r="U35" s="25">
        <f t="shared" si="4"/>
        <v>235992.12</v>
      </c>
      <c r="V35" s="30">
        <f t="shared" si="5"/>
        <v>0.56199821587867971</v>
      </c>
      <c r="W35" s="30">
        <f t="shared" si="6"/>
        <v>0.52629821587867975</v>
      </c>
    </row>
    <row r="36" spans="1:23" x14ac:dyDescent="0.35">
      <c r="A36" s="15" t="s">
        <v>101</v>
      </c>
      <c r="B36" s="31" t="s">
        <v>118</v>
      </c>
      <c r="C36" s="32">
        <v>55</v>
      </c>
      <c r="D36" s="32">
        <v>55</v>
      </c>
      <c r="E36" s="33">
        <f t="shared" si="0"/>
        <v>110</v>
      </c>
      <c r="F36" s="34">
        <v>280000</v>
      </c>
      <c r="G36" s="34">
        <f>F36*Parámetros!$B$12</f>
        <v>28000</v>
      </c>
      <c r="H36" s="34">
        <v>12000</v>
      </c>
      <c r="I36" s="26">
        <v>330400</v>
      </c>
      <c r="J36" s="34">
        <f>I36*(1+Parámetros!$B$10)</f>
        <v>393176</v>
      </c>
      <c r="K36" s="34">
        <f>E36/Parámetros!$B$4*Parámetros!$B$5</f>
        <v>57200</v>
      </c>
      <c r="L36" s="34">
        <f>Parámetros!$B$6</f>
        <v>50000</v>
      </c>
      <c r="M36" s="27">
        <v>16600</v>
      </c>
      <c r="N36" s="34">
        <f>J36*Parámetros!$B$9</f>
        <v>11795.279999999999</v>
      </c>
      <c r="O36" s="34">
        <f>Parámetros!$B$8</f>
        <v>30000</v>
      </c>
      <c r="P36" s="28"/>
      <c r="Q36" s="34">
        <f>IF(P36="",0,P36*Parámetros!$B$11)</f>
        <v>0</v>
      </c>
      <c r="R36" s="35">
        <f t="shared" si="1"/>
        <v>165595.28</v>
      </c>
      <c r="S36" s="34">
        <f t="shared" si="2"/>
        <v>1505.4116363636363</v>
      </c>
      <c r="T36" s="34">
        <f t="shared" si="3"/>
        <v>3003.6363636363635</v>
      </c>
      <c r="U36" s="34">
        <f t="shared" si="4"/>
        <v>164804.72</v>
      </c>
      <c r="V36" s="36">
        <f t="shared" si="5"/>
        <v>0.53450363196125905</v>
      </c>
      <c r="W36" s="36">
        <f t="shared" si="6"/>
        <v>0.4988036319612591</v>
      </c>
    </row>
    <row r="37" spans="1:23" x14ac:dyDescent="0.35">
      <c r="A37" s="18" t="s">
        <v>120</v>
      </c>
      <c r="B37" s="22" t="s">
        <v>121</v>
      </c>
      <c r="C37" s="23">
        <v>295</v>
      </c>
      <c r="D37" s="23">
        <v>130</v>
      </c>
      <c r="E37" s="24">
        <f t="shared" ref="E37:E68" si="7">C37+D37</f>
        <v>425</v>
      </c>
      <c r="F37" s="25">
        <v>370000</v>
      </c>
      <c r="G37" s="25">
        <f>F37*Parámetros!$B$12</f>
        <v>37000</v>
      </c>
      <c r="H37" s="25">
        <v>12000</v>
      </c>
      <c r="I37" s="26">
        <v>473600</v>
      </c>
      <c r="J37" s="25">
        <f>I37*(1+Parámetros!$B$10)</f>
        <v>563584</v>
      </c>
      <c r="K37" s="25">
        <f>E37/Parámetros!$B$4*Parámetros!$B$5</f>
        <v>221000</v>
      </c>
      <c r="L37" s="25">
        <f>Parámetros!$B$6</f>
        <v>50000</v>
      </c>
      <c r="M37" s="27">
        <v>66400</v>
      </c>
      <c r="N37" s="25">
        <f>J37*Parámetros!$B$9</f>
        <v>16907.52</v>
      </c>
      <c r="O37" s="25">
        <f>Parámetros!$B$8</f>
        <v>30000</v>
      </c>
      <c r="P37" s="28"/>
      <c r="Q37" s="25">
        <f>IF(P37="",0,P37*Parámetros!$B$11)</f>
        <v>0</v>
      </c>
      <c r="R37" s="29">
        <f t="shared" ref="R37:R68" si="8">K37+L37+M37+N37+O37+Q37</f>
        <v>384307.52</v>
      </c>
      <c r="S37" s="25">
        <f t="shared" ref="S37:S68" si="9">IF(E37=0,"",R37/E37)</f>
        <v>904.2529882352942</v>
      </c>
      <c r="T37" s="25">
        <f t="shared" ref="T37:T68" si="10">IF(E37=0,"",I37/E37)</f>
        <v>1114.3529411764705</v>
      </c>
      <c r="U37" s="25">
        <f t="shared" ref="U37:U68" si="11">I37-R37</f>
        <v>89292.479999999981</v>
      </c>
      <c r="V37" s="30">
        <f t="shared" ref="V37:V68" si="12">IF(I37=0,"",(I37-K37-L37-M37-O37)/I37)</f>
        <v>0.22423986486486486</v>
      </c>
      <c r="W37" s="30">
        <f t="shared" ref="W37:W68" si="13">IF(I37=0,"",U37/I37)</f>
        <v>0.18853986486486482</v>
      </c>
    </row>
    <row r="38" spans="1:23" x14ac:dyDescent="0.35">
      <c r="A38" s="15" t="s">
        <v>120</v>
      </c>
      <c r="B38" s="31" t="s">
        <v>122</v>
      </c>
      <c r="C38" s="32">
        <v>244</v>
      </c>
      <c r="D38" s="32">
        <v>178</v>
      </c>
      <c r="E38" s="33">
        <f t="shared" si="7"/>
        <v>422</v>
      </c>
      <c r="F38" s="34">
        <v>370000</v>
      </c>
      <c r="G38" s="34">
        <f>F38*Parámetros!$B$12</f>
        <v>37000</v>
      </c>
      <c r="H38" s="34">
        <v>12000</v>
      </c>
      <c r="I38" s="26">
        <v>473600</v>
      </c>
      <c r="J38" s="34">
        <f>I38*(1+Parámetros!$B$10)</f>
        <v>563584</v>
      </c>
      <c r="K38" s="34">
        <f>E38/Parámetros!$B$4*Parámetros!$B$5</f>
        <v>219440.00000000003</v>
      </c>
      <c r="L38" s="34">
        <f>Parámetros!$B$6</f>
        <v>50000</v>
      </c>
      <c r="M38" s="27">
        <v>66400</v>
      </c>
      <c r="N38" s="34">
        <f>J38*Parámetros!$B$9</f>
        <v>16907.52</v>
      </c>
      <c r="O38" s="34">
        <f>Parámetros!$B$8</f>
        <v>30000</v>
      </c>
      <c r="P38" s="28"/>
      <c r="Q38" s="34">
        <f>IF(P38="",0,P38*Parámetros!$B$11)</f>
        <v>0</v>
      </c>
      <c r="R38" s="35">
        <f t="shared" si="8"/>
        <v>382747.52</v>
      </c>
      <c r="S38" s="34">
        <f t="shared" si="9"/>
        <v>906.98464454976306</v>
      </c>
      <c r="T38" s="34">
        <f t="shared" si="10"/>
        <v>1122.2748815165876</v>
      </c>
      <c r="U38" s="34">
        <f t="shared" si="11"/>
        <v>90852.479999999981</v>
      </c>
      <c r="V38" s="36">
        <f t="shared" si="12"/>
        <v>0.22753378378378372</v>
      </c>
      <c r="W38" s="36">
        <f t="shared" si="13"/>
        <v>0.19183378378378374</v>
      </c>
    </row>
    <row r="39" spans="1:23" x14ac:dyDescent="0.35">
      <c r="A39" s="18" t="s">
        <v>120</v>
      </c>
      <c r="B39" s="22" t="s">
        <v>123</v>
      </c>
      <c r="C39" s="23">
        <v>235</v>
      </c>
      <c r="D39" s="23">
        <v>144</v>
      </c>
      <c r="E39" s="24">
        <f t="shared" si="7"/>
        <v>379</v>
      </c>
      <c r="F39" s="25">
        <v>370000</v>
      </c>
      <c r="G39" s="25">
        <f>F39*Parámetros!$B$12</f>
        <v>37000</v>
      </c>
      <c r="H39" s="25">
        <v>12000</v>
      </c>
      <c r="I39" s="26">
        <v>473600</v>
      </c>
      <c r="J39" s="25">
        <f>I39*(1+Parámetros!$B$10)</f>
        <v>563584</v>
      </c>
      <c r="K39" s="25">
        <f>E39/Parámetros!$B$4*Parámetros!$B$5</f>
        <v>197080</v>
      </c>
      <c r="L39" s="25">
        <f>Parámetros!$B$6</f>
        <v>50000</v>
      </c>
      <c r="M39" s="27">
        <v>66400</v>
      </c>
      <c r="N39" s="25">
        <f>J39*Parámetros!$B$9</f>
        <v>16907.52</v>
      </c>
      <c r="O39" s="25">
        <f>Parámetros!$B$8</f>
        <v>30000</v>
      </c>
      <c r="P39" s="28"/>
      <c r="Q39" s="25">
        <f>IF(P39="",0,P39*Parámetros!$B$11)</f>
        <v>0</v>
      </c>
      <c r="R39" s="29">
        <f t="shared" si="8"/>
        <v>360387.52</v>
      </c>
      <c r="S39" s="25">
        <f t="shared" si="9"/>
        <v>950.89055408970978</v>
      </c>
      <c r="T39" s="25">
        <f t="shared" si="10"/>
        <v>1249.604221635884</v>
      </c>
      <c r="U39" s="25">
        <f t="shared" si="11"/>
        <v>113212.47999999998</v>
      </c>
      <c r="V39" s="30">
        <f t="shared" si="12"/>
        <v>0.27474662162162161</v>
      </c>
      <c r="W39" s="30">
        <f t="shared" si="13"/>
        <v>0.23904662162162157</v>
      </c>
    </row>
    <row r="40" spans="1:23" x14ac:dyDescent="0.35">
      <c r="A40" s="15" t="s">
        <v>120</v>
      </c>
      <c r="B40" s="31" t="s">
        <v>124</v>
      </c>
      <c r="C40" s="32">
        <v>227</v>
      </c>
      <c r="D40" s="32">
        <v>154</v>
      </c>
      <c r="E40" s="33">
        <f t="shared" si="7"/>
        <v>381</v>
      </c>
      <c r="F40" s="34">
        <v>400000</v>
      </c>
      <c r="G40" s="34">
        <f>F40*Parámetros!$B$12</f>
        <v>40000</v>
      </c>
      <c r="H40" s="34">
        <v>12000</v>
      </c>
      <c r="I40" s="26">
        <v>512000</v>
      </c>
      <c r="J40" s="34">
        <f>I40*(1+Parámetros!$B$10)</f>
        <v>609280</v>
      </c>
      <c r="K40" s="34">
        <f>E40/Parámetros!$B$4*Parámetros!$B$5</f>
        <v>198120</v>
      </c>
      <c r="L40" s="34">
        <f>Parámetros!$B$6</f>
        <v>50000</v>
      </c>
      <c r="M40" s="27">
        <v>66400</v>
      </c>
      <c r="N40" s="34">
        <f>J40*Parámetros!$B$9</f>
        <v>18278.399999999998</v>
      </c>
      <c r="O40" s="34">
        <f>Parámetros!$B$8</f>
        <v>30000</v>
      </c>
      <c r="P40" s="28"/>
      <c r="Q40" s="34">
        <f>IF(P40="",0,P40*Parámetros!$B$11)</f>
        <v>0</v>
      </c>
      <c r="R40" s="35">
        <f t="shared" si="8"/>
        <v>362798.4</v>
      </c>
      <c r="S40" s="34">
        <f t="shared" si="9"/>
        <v>952.22677165354332</v>
      </c>
      <c r="T40" s="34">
        <f t="shared" si="10"/>
        <v>1343.8320209973754</v>
      </c>
      <c r="U40" s="34">
        <f t="shared" si="11"/>
        <v>149201.59999999998</v>
      </c>
      <c r="V40" s="36">
        <f t="shared" si="12"/>
        <v>0.32710937499999998</v>
      </c>
      <c r="W40" s="36">
        <f t="shared" si="13"/>
        <v>0.29140937499999997</v>
      </c>
    </row>
    <row r="41" spans="1:23" x14ac:dyDescent="0.35">
      <c r="A41" s="18" t="s">
        <v>120</v>
      </c>
      <c r="B41" s="22" t="s">
        <v>125</v>
      </c>
      <c r="C41" s="23">
        <v>227</v>
      </c>
      <c r="D41" s="23">
        <v>140</v>
      </c>
      <c r="E41" s="24">
        <f t="shared" si="7"/>
        <v>367</v>
      </c>
      <c r="F41" s="25">
        <v>370000</v>
      </c>
      <c r="G41" s="25">
        <f>F41*Parámetros!$B$12</f>
        <v>37000</v>
      </c>
      <c r="H41" s="25">
        <v>12000</v>
      </c>
      <c r="I41" s="26">
        <v>473600</v>
      </c>
      <c r="J41" s="25">
        <f>I41*(1+Parámetros!$B$10)</f>
        <v>563584</v>
      </c>
      <c r="K41" s="25">
        <f>E41/Parámetros!$B$4*Parámetros!$B$5</f>
        <v>190840.00000000003</v>
      </c>
      <c r="L41" s="25">
        <f>Parámetros!$B$6</f>
        <v>50000</v>
      </c>
      <c r="M41" s="27">
        <v>66400</v>
      </c>
      <c r="N41" s="25">
        <f>J41*Parámetros!$B$9</f>
        <v>16907.52</v>
      </c>
      <c r="O41" s="25">
        <f>Parámetros!$B$8</f>
        <v>30000</v>
      </c>
      <c r="P41" s="28"/>
      <c r="Q41" s="25">
        <f>IF(P41="",0,P41*Parámetros!$B$11)</f>
        <v>0</v>
      </c>
      <c r="R41" s="29">
        <f t="shared" si="8"/>
        <v>354147.52</v>
      </c>
      <c r="S41" s="25">
        <f t="shared" si="9"/>
        <v>964.97961852861044</v>
      </c>
      <c r="T41" s="25">
        <f t="shared" si="10"/>
        <v>1290.4632152588556</v>
      </c>
      <c r="U41" s="25">
        <f t="shared" si="11"/>
        <v>119452.47999999998</v>
      </c>
      <c r="V41" s="30">
        <f t="shared" si="12"/>
        <v>0.28792229729729729</v>
      </c>
      <c r="W41" s="30">
        <f t="shared" si="13"/>
        <v>0.25222229729729728</v>
      </c>
    </row>
    <row r="42" spans="1:23" x14ac:dyDescent="0.35">
      <c r="A42" s="15" t="s">
        <v>120</v>
      </c>
      <c r="B42" s="31" t="s">
        <v>126</v>
      </c>
      <c r="C42" s="32">
        <v>225</v>
      </c>
      <c r="D42" s="32">
        <v>150</v>
      </c>
      <c r="E42" s="33">
        <f t="shared" si="7"/>
        <v>375</v>
      </c>
      <c r="F42" s="34">
        <v>400000</v>
      </c>
      <c r="G42" s="34">
        <f>F42*Parámetros!$B$12</f>
        <v>40000</v>
      </c>
      <c r="H42" s="34">
        <v>12000</v>
      </c>
      <c r="I42" s="26">
        <v>512000</v>
      </c>
      <c r="J42" s="34">
        <f>I42*(1+Parámetros!$B$10)</f>
        <v>609280</v>
      </c>
      <c r="K42" s="34">
        <f>E42/Parámetros!$B$4*Parámetros!$B$5</f>
        <v>195000</v>
      </c>
      <c r="L42" s="34">
        <f>Parámetros!$B$6</f>
        <v>50000</v>
      </c>
      <c r="M42" s="27">
        <v>66400</v>
      </c>
      <c r="N42" s="34">
        <f>J42*Parámetros!$B$9</f>
        <v>18278.399999999998</v>
      </c>
      <c r="O42" s="34">
        <f>Parámetros!$B$8</f>
        <v>30000</v>
      </c>
      <c r="P42" s="28"/>
      <c r="Q42" s="34">
        <f>IF(P42="",0,P42*Parámetros!$B$11)</f>
        <v>0</v>
      </c>
      <c r="R42" s="35">
        <f t="shared" si="8"/>
        <v>359678.4</v>
      </c>
      <c r="S42" s="34">
        <f t="shared" si="9"/>
        <v>959.14240000000007</v>
      </c>
      <c r="T42" s="34">
        <f t="shared" si="10"/>
        <v>1365.3333333333333</v>
      </c>
      <c r="U42" s="34">
        <f t="shared" si="11"/>
        <v>152321.59999999998</v>
      </c>
      <c r="V42" s="36">
        <f t="shared" si="12"/>
        <v>0.33320312499999999</v>
      </c>
      <c r="W42" s="36">
        <f t="shared" si="13"/>
        <v>0.29750312499999998</v>
      </c>
    </row>
    <row r="43" spans="1:23" x14ac:dyDescent="0.35">
      <c r="A43" s="18" t="s">
        <v>120</v>
      </c>
      <c r="B43" s="22" t="s">
        <v>127</v>
      </c>
      <c r="C43" s="23">
        <v>210</v>
      </c>
      <c r="D43" s="23">
        <v>158</v>
      </c>
      <c r="E43" s="24">
        <f t="shared" si="7"/>
        <v>368</v>
      </c>
      <c r="F43" s="25">
        <v>400000</v>
      </c>
      <c r="G43" s="25">
        <f>F43*Parámetros!$B$12</f>
        <v>40000</v>
      </c>
      <c r="H43" s="25">
        <v>12000</v>
      </c>
      <c r="I43" s="26">
        <v>512000</v>
      </c>
      <c r="J43" s="25">
        <f>I43*(1+Parámetros!$B$10)</f>
        <v>609280</v>
      </c>
      <c r="K43" s="25">
        <f>E43/Parámetros!$B$4*Parámetros!$B$5</f>
        <v>191359.99999999997</v>
      </c>
      <c r="L43" s="25">
        <f>Parámetros!$B$6</f>
        <v>50000</v>
      </c>
      <c r="M43" s="27">
        <v>66400</v>
      </c>
      <c r="N43" s="25">
        <f>J43*Parámetros!$B$9</f>
        <v>18278.399999999998</v>
      </c>
      <c r="O43" s="25">
        <f>Parámetros!$B$8</f>
        <v>30000</v>
      </c>
      <c r="P43" s="28"/>
      <c r="Q43" s="25">
        <f>IF(P43="",0,P43*Parámetros!$B$11)</f>
        <v>0</v>
      </c>
      <c r="R43" s="29">
        <f t="shared" si="8"/>
        <v>356038.40000000002</v>
      </c>
      <c r="S43" s="25">
        <f t="shared" si="9"/>
        <v>967.49565217391307</v>
      </c>
      <c r="T43" s="25">
        <f t="shared" si="10"/>
        <v>1391.304347826087</v>
      </c>
      <c r="U43" s="25">
        <f t="shared" si="11"/>
        <v>155961.59999999998</v>
      </c>
      <c r="V43" s="30">
        <f t="shared" si="12"/>
        <v>0.34031250000000002</v>
      </c>
      <c r="W43" s="30">
        <f t="shared" si="13"/>
        <v>0.30461249999999995</v>
      </c>
    </row>
    <row r="44" spans="1:23" x14ac:dyDescent="0.35">
      <c r="A44" s="15" t="s">
        <v>120</v>
      </c>
      <c r="B44" s="31" t="s">
        <v>128</v>
      </c>
      <c r="C44" s="32">
        <v>225</v>
      </c>
      <c r="D44" s="32">
        <v>171</v>
      </c>
      <c r="E44" s="33">
        <f t="shared" si="7"/>
        <v>396</v>
      </c>
      <c r="F44" s="34">
        <v>400000</v>
      </c>
      <c r="G44" s="34">
        <f>F44*Parámetros!$B$12</f>
        <v>40000</v>
      </c>
      <c r="H44" s="34">
        <v>12000</v>
      </c>
      <c r="I44" s="26">
        <v>512000</v>
      </c>
      <c r="J44" s="34">
        <f>I44*(1+Parámetros!$B$10)</f>
        <v>609280</v>
      </c>
      <c r="K44" s="34">
        <f>E44/Parámetros!$B$4*Parámetros!$B$5</f>
        <v>205920</v>
      </c>
      <c r="L44" s="34">
        <f>Parámetros!$B$6</f>
        <v>50000</v>
      </c>
      <c r="M44" s="27">
        <v>66400</v>
      </c>
      <c r="N44" s="34">
        <f>J44*Parámetros!$B$9</f>
        <v>18278.399999999998</v>
      </c>
      <c r="O44" s="34">
        <f>Parámetros!$B$8</f>
        <v>30000</v>
      </c>
      <c r="P44" s="28"/>
      <c r="Q44" s="34">
        <f>IF(P44="",0,P44*Parámetros!$B$11)</f>
        <v>0</v>
      </c>
      <c r="R44" s="35">
        <f t="shared" si="8"/>
        <v>370598.40000000002</v>
      </c>
      <c r="S44" s="34">
        <f t="shared" si="9"/>
        <v>935.85454545454547</v>
      </c>
      <c r="T44" s="34">
        <f t="shared" si="10"/>
        <v>1292.9292929292928</v>
      </c>
      <c r="U44" s="34">
        <f t="shared" si="11"/>
        <v>141401.59999999998</v>
      </c>
      <c r="V44" s="36">
        <f t="shared" si="12"/>
        <v>0.31187500000000001</v>
      </c>
      <c r="W44" s="36">
        <f t="shared" si="13"/>
        <v>0.27617499999999995</v>
      </c>
    </row>
    <row r="45" spans="1:23" x14ac:dyDescent="0.35">
      <c r="A45" s="18" t="s">
        <v>120</v>
      </c>
      <c r="B45" s="22" t="s">
        <v>129</v>
      </c>
      <c r="C45" s="23">
        <v>265</v>
      </c>
      <c r="D45" s="23">
        <v>168</v>
      </c>
      <c r="E45" s="24">
        <f t="shared" si="7"/>
        <v>433</v>
      </c>
      <c r="F45" s="25">
        <v>400000</v>
      </c>
      <c r="G45" s="25">
        <f>F45*Parámetros!$B$12</f>
        <v>40000</v>
      </c>
      <c r="H45" s="25">
        <v>12000</v>
      </c>
      <c r="I45" s="26">
        <v>512000</v>
      </c>
      <c r="J45" s="25">
        <f>I45*(1+Parámetros!$B$10)</f>
        <v>609280</v>
      </c>
      <c r="K45" s="25">
        <f>E45/Parámetros!$B$4*Parámetros!$B$5</f>
        <v>225159.99999999997</v>
      </c>
      <c r="L45" s="25">
        <f>Parámetros!$B$6</f>
        <v>50000</v>
      </c>
      <c r="M45" s="27">
        <v>66400</v>
      </c>
      <c r="N45" s="25">
        <f>J45*Parámetros!$B$9</f>
        <v>18278.399999999998</v>
      </c>
      <c r="O45" s="25">
        <f>Parámetros!$B$8</f>
        <v>30000</v>
      </c>
      <c r="P45" s="28"/>
      <c r="Q45" s="25">
        <f>IF(P45="",0,P45*Parámetros!$B$11)</f>
        <v>0</v>
      </c>
      <c r="R45" s="29">
        <f t="shared" si="8"/>
        <v>389838.4</v>
      </c>
      <c r="S45" s="25">
        <f t="shared" si="9"/>
        <v>900.31963048498847</v>
      </c>
      <c r="T45" s="25">
        <f t="shared" si="10"/>
        <v>1182.4480369515011</v>
      </c>
      <c r="U45" s="25">
        <f t="shared" si="11"/>
        <v>122161.59999999998</v>
      </c>
      <c r="V45" s="30">
        <f t="shared" si="12"/>
        <v>0.274296875</v>
      </c>
      <c r="W45" s="30">
        <f t="shared" si="13"/>
        <v>0.23859687499999996</v>
      </c>
    </row>
    <row r="46" spans="1:23" x14ac:dyDescent="0.35">
      <c r="A46" s="15" t="s">
        <v>120</v>
      </c>
      <c r="B46" s="31" t="s">
        <v>130</v>
      </c>
      <c r="C46" s="32">
        <v>265</v>
      </c>
      <c r="D46" s="32">
        <v>168</v>
      </c>
      <c r="E46" s="33">
        <f t="shared" si="7"/>
        <v>433</v>
      </c>
      <c r="F46" s="34">
        <v>400000</v>
      </c>
      <c r="G46" s="34">
        <f>F46*Parámetros!$B$12</f>
        <v>40000</v>
      </c>
      <c r="H46" s="34">
        <v>12000</v>
      </c>
      <c r="I46" s="26">
        <v>512000</v>
      </c>
      <c r="J46" s="34">
        <f>I46*(1+Parámetros!$B$10)</f>
        <v>609280</v>
      </c>
      <c r="K46" s="34">
        <f>E46/Parámetros!$B$4*Parámetros!$B$5</f>
        <v>225159.99999999997</v>
      </c>
      <c r="L46" s="34">
        <f>Parámetros!$B$6</f>
        <v>50000</v>
      </c>
      <c r="M46" s="27">
        <v>66400</v>
      </c>
      <c r="N46" s="34">
        <f>J46*Parámetros!$B$9</f>
        <v>18278.399999999998</v>
      </c>
      <c r="O46" s="34">
        <f>Parámetros!$B$8</f>
        <v>30000</v>
      </c>
      <c r="P46" s="28"/>
      <c r="Q46" s="34">
        <f>IF(P46="",0,P46*Parámetros!$B$11)</f>
        <v>0</v>
      </c>
      <c r="R46" s="35">
        <f t="shared" si="8"/>
        <v>389838.4</v>
      </c>
      <c r="S46" s="34">
        <f t="shared" si="9"/>
        <v>900.31963048498847</v>
      </c>
      <c r="T46" s="34">
        <f t="shared" si="10"/>
        <v>1182.4480369515011</v>
      </c>
      <c r="U46" s="34">
        <f t="shared" si="11"/>
        <v>122161.59999999998</v>
      </c>
      <c r="V46" s="36">
        <f t="shared" si="12"/>
        <v>0.274296875</v>
      </c>
      <c r="W46" s="36">
        <f t="shared" si="13"/>
        <v>0.23859687499999996</v>
      </c>
    </row>
    <row r="47" spans="1:23" x14ac:dyDescent="0.35">
      <c r="A47" s="18" t="s">
        <v>120</v>
      </c>
      <c r="B47" s="22" t="s">
        <v>131</v>
      </c>
      <c r="C47" s="23">
        <v>240</v>
      </c>
      <c r="D47" s="23">
        <v>185</v>
      </c>
      <c r="E47" s="24">
        <f t="shared" si="7"/>
        <v>425</v>
      </c>
      <c r="F47" s="25">
        <v>410000</v>
      </c>
      <c r="G47" s="25">
        <f>F47*Parámetros!$B$12</f>
        <v>41000</v>
      </c>
      <c r="H47" s="25">
        <v>12000</v>
      </c>
      <c r="I47" s="26">
        <v>524800</v>
      </c>
      <c r="J47" s="25">
        <f>I47*(1+Parámetros!$B$10)</f>
        <v>624512</v>
      </c>
      <c r="K47" s="25">
        <f>E47/Parámetros!$B$4*Parámetros!$B$5</f>
        <v>221000</v>
      </c>
      <c r="L47" s="25">
        <f>Parámetros!$B$6</f>
        <v>50000</v>
      </c>
      <c r="M47" s="27">
        <v>66400</v>
      </c>
      <c r="N47" s="25">
        <f>J47*Parámetros!$B$9</f>
        <v>18735.36</v>
      </c>
      <c r="O47" s="25">
        <f>Parámetros!$B$8</f>
        <v>30000</v>
      </c>
      <c r="P47" s="28"/>
      <c r="Q47" s="25">
        <f>IF(P47="",0,P47*Parámetros!$B$11)</f>
        <v>0</v>
      </c>
      <c r="R47" s="29">
        <f t="shared" si="8"/>
        <v>386135.36</v>
      </c>
      <c r="S47" s="25">
        <f t="shared" si="9"/>
        <v>908.55378823529406</v>
      </c>
      <c r="T47" s="25">
        <f t="shared" si="10"/>
        <v>1234.8235294117646</v>
      </c>
      <c r="U47" s="25">
        <f t="shared" si="11"/>
        <v>138664.64000000001</v>
      </c>
      <c r="V47" s="30">
        <f t="shared" si="12"/>
        <v>0.29992378048780488</v>
      </c>
      <c r="W47" s="30">
        <f t="shared" si="13"/>
        <v>0.26422378048780493</v>
      </c>
    </row>
    <row r="48" spans="1:23" x14ac:dyDescent="0.35">
      <c r="A48" s="15" t="s">
        <v>120</v>
      </c>
      <c r="B48" s="31" t="s">
        <v>132</v>
      </c>
      <c r="C48" s="32">
        <v>263</v>
      </c>
      <c r="D48" s="32">
        <v>182</v>
      </c>
      <c r="E48" s="33">
        <f t="shared" si="7"/>
        <v>445</v>
      </c>
      <c r="F48" s="34">
        <v>410000</v>
      </c>
      <c r="G48" s="34">
        <f>F48*Parámetros!$B$12</f>
        <v>41000</v>
      </c>
      <c r="H48" s="34">
        <v>12000</v>
      </c>
      <c r="I48" s="26">
        <v>524800</v>
      </c>
      <c r="J48" s="34">
        <f>I48*(1+Parámetros!$B$10)</f>
        <v>624512</v>
      </c>
      <c r="K48" s="34">
        <f>E48/Parámetros!$B$4*Parámetros!$B$5</f>
        <v>231400</v>
      </c>
      <c r="L48" s="34">
        <f>Parámetros!$B$6</f>
        <v>50000</v>
      </c>
      <c r="M48" s="27">
        <v>66400</v>
      </c>
      <c r="N48" s="34">
        <f>J48*Parámetros!$B$9</f>
        <v>18735.36</v>
      </c>
      <c r="O48" s="34">
        <f>Parámetros!$B$8</f>
        <v>30000</v>
      </c>
      <c r="P48" s="28"/>
      <c r="Q48" s="34">
        <f>IF(P48="",0,P48*Parámetros!$B$11)</f>
        <v>0</v>
      </c>
      <c r="R48" s="35">
        <f t="shared" si="8"/>
        <v>396535.36</v>
      </c>
      <c r="S48" s="34">
        <f t="shared" si="9"/>
        <v>891.09069662921343</v>
      </c>
      <c r="T48" s="34">
        <f t="shared" si="10"/>
        <v>1179.3258426966293</v>
      </c>
      <c r="U48" s="34">
        <f t="shared" si="11"/>
        <v>128264.64000000001</v>
      </c>
      <c r="V48" s="36">
        <f t="shared" si="12"/>
        <v>0.28010670731707316</v>
      </c>
      <c r="W48" s="36">
        <f t="shared" si="13"/>
        <v>0.2444067073170732</v>
      </c>
    </row>
    <row r="49" spans="1:23" x14ac:dyDescent="0.35">
      <c r="A49" s="18" t="s">
        <v>120</v>
      </c>
      <c r="B49" s="22" t="s">
        <v>133</v>
      </c>
      <c r="C49" s="23">
        <v>227</v>
      </c>
      <c r="D49" s="23">
        <v>193</v>
      </c>
      <c r="E49" s="24">
        <f t="shared" si="7"/>
        <v>420</v>
      </c>
      <c r="F49" s="25">
        <v>420000</v>
      </c>
      <c r="G49" s="25">
        <f>F49*Parámetros!$B$12</f>
        <v>42000</v>
      </c>
      <c r="H49" s="25">
        <v>12000</v>
      </c>
      <c r="I49" s="26">
        <v>537600</v>
      </c>
      <c r="J49" s="25">
        <f>I49*(1+Parámetros!$B$10)</f>
        <v>639744</v>
      </c>
      <c r="K49" s="25">
        <f>E49/Parámetros!$B$4*Parámetros!$B$5</f>
        <v>218400</v>
      </c>
      <c r="L49" s="25">
        <f>Parámetros!$B$6</f>
        <v>50000</v>
      </c>
      <c r="M49" s="27">
        <v>66400</v>
      </c>
      <c r="N49" s="25">
        <f>J49*Parámetros!$B$9</f>
        <v>19192.32</v>
      </c>
      <c r="O49" s="25">
        <f>Parámetros!$B$8</f>
        <v>30000</v>
      </c>
      <c r="P49" s="28"/>
      <c r="Q49" s="25">
        <f>IF(P49="",0,P49*Parámetros!$B$11)</f>
        <v>0</v>
      </c>
      <c r="R49" s="29">
        <f t="shared" si="8"/>
        <v>383992.32000000001</v>
      </c>
      <c r="S49" s="25">
        <f t="shared" si="9"/>
        <v>914.26742857142858</v>
      </c>
      <c r="T49" s="25">
        <f t="shared" si="10"/>
        <v>1280</v>
      </c>
      <c r="U49" s="25">
        <f t="shared" si="11"/>
        <v>153607.67999999999</v>
      </c>
      <c r="V49" s="30">
        <f t="shared" si="12"/>
        <v>0.32142857142857145</v>
      </c>
      <c r="W49" s="30">
        <f t="shared" si="13"/>
        <v>0.28572857142857144</v>
      </c>
    </row>
    <row r="50" spans="1:23" x14ac:dyDescent="0.35">
      <c r="A50" s="15" t="s">
        <v>120</v>
      </c>
      <c r="B50" s="31" t="s">
        <v>134</v>
      </c>
      <c r="C50" s="32">
        <v>246</v>
      </c>
      <c r="D50" s="32">
        <v>208</v>
      </c>
      <c r="E50" s="33">
        <f t="shared" si="7"/>
        <v>454</v>
      </c>
      <c r="F50" s="34">
        <v>400000</v>
      </c>
      <c r="G50" s="34">
        <f>F50*Parámetros!$B$12</f>
        <v>40000</v>
      </c>
      <c r="H50" s="34">
        <v>12000</v>
      </c>
      <c r="I50" s="26">
        <v>512000</v>
      </c>
      <c r="J50" s="34">
        <f>I50*(1+Parámetros!$B$10)</f>
        <v>609280</v>
      </c>
      <c r="K50" s="34">
        <f>E50/Parámetros!$B$4*Parámetros!$B$5</f>
        <v>236080</v>
      </c>
      <c r="L50" s="34">
        <f>Parámetros!$B$6</f>
        <v>50000</v>
      </c>
      <c r="M50" s="27">
        <v>90800</v>
      </c>
      <c r="N50" s="34">
        <f>J50*Parámetros!$B$9</f>
        <v>18278.399999999998</v>
      </c>
      <c r="O50" s="34">
        <f>Parámetros!$B$8</f>
        <v>30000</v>
      </c>
      <c r="P50" s="28"/>
      <c r="Q50" s="34">
        <f>IF(P50="",0,P50*Parámetros!$B$11)</f>
        <v>0</v>
      </c>
      <c r="R50" s="35">
        <f t="shared" si="8"/>
        <v>425158.40000000002</v>
      </c>
      <c r="S50" s="34">
        <f t="shared" si="9"/>
        <v>936.47224669603531</v>
      </c>
      <c r="T50" s="34">
        <f t="shared" si="10"/>
        <v>1127.7533039647576</v>
      </c>
      <c r="U50" s="34">
        <f t="shared" si="11"/>
        <v>86841.599999999977</v>
      </c>
      <c r="V50" s="36">
        <f t="shared" si="12"/>
        <v>0.20531250000000001</v>
      </c>
      <c r="W50" s="36">
        <f t="shared" si="13"/>
        <v>0.16961249999999994</v>
      </c>
    </row>
    <row r="51" spans="1:23" x14ac:dyDescent="0.35">
      <c r="A51" s="18" t="s">
        <v>120</v>
      </c>
      <c r="B51" s="22" t="s">
        <v>135</v>
      </c>
      <c r="C51" s="23">
        <v>213</v>
      </c>
      <c r="D51" s="23">
        <v>210</v>
      </c>
      <c r="E51" s="24">
        <f t="shared" si="7"/>
        <v>423</v>
      </c>
      <c r="F51" s="25">
        <v>450000</v>
      </c>
      <c r="G51" s="25">
        <f>F51*Parámetros!$B$12</f>
        <v>45000</v>
      </c>
      <c r="H51" s="25">
        <v>12000</v>
      </c>
      <c r="I51" s="26">
        <v>576000</v>
      </c>
      <c r="J51" s="25">
        <f>I51*(1+Parámetros!$B$10)</f>
        <v>685440</v>
      </c>
      <c r="K51" s="25">
        <f>E51/Parámetros!$B$4*Parámetros!$B$5</f>
        <v>219959.99999999997</v>
      </c>
      <c r="L51" s="25">
        <f>Parámetros!$B$6</f>
        <v>50000</v>
      </c>
      <c r="M51" s="27">
        <v>66400</v>
      </c>
      <c r="N51" s="25">
        <f>J51*Parámetros!$B$9</f>
        <v>20563.2</v>
      </c>
      <c r="O51" s="25">
        <f>Parámetros!$B$8</f>
        <v>30000</v>
      </c>
      <c r="P51" s="28"/>
      <c r="Q51" s="25">
        <f>IF(P51="",0,P51*Parámetros!$B$11)</f>
        <v>0</v>
      </c>
      <c r="R51" s="29">
        <f t="shared" si="8"/>
        <v>386923.2</v>
      </c>
      <c r="S51" s="25">
        <f t="shared" si="9"/>
        <v>914.71205673758868</v>
      </c>
      <c r="T51" s="25">
        <f t="shared" si="10"/>
        <v>1361.7021276595744</v>
      </c>
      <c r="U51" s="25">
        <f t="shared" si="11"/>
        <v>189076.8</v>
      </c>
      <c r="V51" s="30">
        <f t="shared" si="12"/>
        <v>0.36395833333333333</v>
      </c>
      <c r="W51" s="30">
        <f t="shared" si="13"/>
        <v>0.32825833333333332</v>
      </c>
    </row>
    <row r="52" spans="1:23" x14ac:dyDescent="0.35">
      <c r="A52" s="15" t="s">
        <v>120</v>
      </c>
      <c r="B52" s="31" t="s">
        <v>136</v>
      </c>
      <c r="C52" s="32">
        <v>294</v>
      </c>
      <c r="D52" s="32">
        <v>213</v>
      </c>
      <c r="E52" s="33">
        <f t="shared" si="7"/>
        <v>507</v>
      </c>
      <c r="F52" s="34">
        <v>490000</v>
      </c>
      <c r="G52" s="34">
        <f>F52*Parámetros!$B$12</f>
        <v>49000</v>
      </c>
      <c r="H52" s="34">
        <v>12000</v>
      </c>
      <c r="I52" s="26">
        <v>627200</v>
      </c>
      <c r="J52" s="34">
        <f>I52*(1+Parámetros!$B$10)</f>
        <v>746368</v>
      </c>
      <c r="K52" s="34">
        <f>E52/Parámetros!$B$4*Parámetros!$B$5</f>
        <v>263640</v>
      </c>
      <c r="L52" s="34">
        <f>Parámetros!$B$6</f>
        <v>50000</v>
      </c>
      <c r="M52" s="27">
        <v>90800</v>
      </c>
      <c r="N52" s="34">
        <f>J52*Parámetros!$B$9</f>
        <v>22391.040000000001</v>
      </c>
      <c r="O52" s="34">
        <f>Parámetros!$B$8</f>
        <v>30000</v>
      </c>
      <c r="P52" s="28"/>
      <c r="Q52" s="34">
        <f>IF(P52="",0,P52*Parámetros!$B$11)</f>
        <v>0</v>
      </c>
      <c r="R52" s="35">
        <f t="shared" si="8"/>
        <v>456831.04</v>
      </c>
      <c r="S52" s="34">
        <f t="shared" si="9"/>
        <v>901.04741617357001</v>
      </c>
      <c r="T52" s="34">
        <f t="shared" si="10"/>
        <v>1237.0808678500987</v>
      </c>
      <c r="U52" s="34">
        <f t="shared" si="11"/>
        <v>170368.96000000002</v>
      </c>
      <c r="V52" s="36">
        <f t="shared" si="12"/>
        <v>0.30733418367346937</v>
      </c>
      <c r="W52" s="36">
        <f t="shared" si="13"/>
        <v>0.27163418367346942</v>
      </c>
    </row>
    <row r="53" spans="1:23" x14ac:dyDescent="0.35">
      <c r="A53" s="18" t="s">
        <v>120</v>
      </c>
      <c r="B53" s="22" t="s">
        <v>137</v>
      </c>
      <c r="C53" s="23">
        <v>262</v>
      </c>
      <c r="D53" s="23">
        <v>224</v>
      </c>
      <c r="E53" s="24">
        <f t="shared" si="7"/>
        <v>486</v>
      </c>
      <c r="F53" s="25">
        <v>490000</v>
      </c>
      <c r="G53" s="25">
        <f>F53*Parámetros!$B$12</f>
        <v>49000</v>
      </c>
      <c r="H53" s="25">
        <v>12000</v>
      </c>
      <c r="I53" s="26">
        <v>627200</v>
      </c>
      <c r="J53" s="25">
        <f>I53*(1+Parámetros!$B$10)</f>
        <v>746368</v>
      </c>
      <c r="K53" s="25">
        <f>E53/Parámetros!$B$4*Parámetros!$B$5</f>
        <v>252720</v>
      </c>
      <c r="L53" s="25">
        <f>Parámetros!$B$6</f>
        <v>50000</v>
      </c>
      <c r="M53" s="27">
        <v>90800</v>
      </c>
      <c r="N53" s="25">
        <f>J53*Parámetros!$B$9</f>
        <v>22391.040000000001</v>
      </c>
      <c r="O53" s="25">
        <f>Parámetros!$B$8</f>
        <v>30000</v>
      </c>
      <c r="P53" s="28"/>
      <c r="Q53" s="25">
        <f>IF(P53="",0,P53*Parámetros!$B$11)</f>
        <v>0</v>
      </c>
      <c r="R53" s="29">
        <f t="shared" si="8"/>
        <v>445911.03999999998</v>
      </c>
      <c r="S53" s="25">
        <f t="shared" si="9"/>
        <v>917.51242798353906</v>
      </c>
      <c r="T53" s="25">
        <f t="shared" si="10"/>
        <v>1290.5349794238682</v>
      </c>
      <c r="U53" s="25">
        <f t="shared" si="11"/>
        <v>181288.96000000002</v>
      </c>
      <c r="V53" s="30">
        <f t="shared" si="12"/>
        <v>0.32474489795918365</v>
      </c>
      <c r="W53" s="30">
        <f t="shared" si="13"/>
        <v>0.2890448979591837</v>
      </c>
    </row>
    <row r="54" spans="1:23" x14ac:dyDescent="0.35">
      <c r="A54" s="15" t="s">
        <v>120</v>
      </c>
      <c r="B54" s="31" t="s">
        <v>138</v>
      </c>
      <c r="C54" s="32">
        <v>263</v>
      </c>
      <c r="D54" s="32">
        <v>224</v>
      </c>
      <c r="E54" s="33">
        <f t="shared" si="7"/>
        <v>487</v>
      </c>
      <c r="F54" s="34">
        <v>490000</v>
      </c>
      <c r="G54" s="34">
        <f>F54*Parámetros!$B$12</f>
        <v>49000</v>
      </c>
      <c r="H54" s="34">
        <v>12000</v>
      </c>
      <c r="I54" s="26">
        <v>627200</v>
      </c>
      <c r="J54" s="34">
        <f>I54*(1+Parámetros!$B$10)</f>
        <v>746368</v>
      </c>
      <c r="K54" s="34">
        <f>E54/Parámetros!$B$4*Parámetros!$B$5</f>
        <v>253240.00000000003</v>
      </c>
      <c r="L54" s="34">
        <f>Parámetros!$B$6</f>
        <v>50000</v>
      </c>
      <c r="M54" s="27">
        <v>90800</v>
      </c>
      <c r="N54" s="34">
        <f>J54*Parámetros!$B$9</f>
        <v>22391.040000000001</v>
      </c>
      <c r="O54" s="34">
        <f>Parámetros!$B$8</f>
        <v>30000</v>
      </c>
      <c r="P54" s="28"/>
      <c r="Q54" s="34">
        <f>IF(P54="",0,P54*Parámetros!$B$11)</f>
        <v>0</v>
      </c>
      <c r="R54" s="35">
        <f t="shared" si="8"/>
        <v>446431.04</v>
      </c>
      <c r="S54" s="34">
        <f t="shared" si="9"/>
        <v>916.69618069815192</v>
      </c>
      <c r="T54" s="34">
        <f t="shared" si="10"/>
        <v>1287.8850102669405</v>
      </c>
      <c r="U54" s="34">
        <f t="shared" si="11"/>
        <v>180768.96000000002</v>
      </c>
      <c r="V54" s="36">
        <f t="shared" si="12"/>
        <v>0.3239158163265306</v>
      </c>
      <c r="W54" s="36">
        <f t="shared" si="13"/>
        <v>0.28821581632653065</v>
      </c>
    </row>
    <row r="55" spans="1:23" x14ac:dyDescent="0.35">
      <c r="A55" s="18" t="s">
        <v>120</v>
      </c>
      <c r="B55" s="22" t="s">
        <v>139</v>
      </c>
      <c r="C55" s="23">
        <v>263</v>
      </c>
      <c r="D55" s="23">
        <v>224</v>
      </c>
      <c r="E55" s="24">
        <f t="shared" si="7"/>
        <v>487</v>
      </c>
      <c r="F55" s="25">
        <v>490000</v>
      </c>
      <c r="G55" s="25">
        <f>F55*Parámetros!$B$12</f>
        <v>49000</v>
      </c>
      <c r="H55" s="25">
        <v>12000</v>
      </c>
      <c r="I55" s="26">
        <v>627200</v>
      </c>
      <c r="J55" s="25">
        <f>I55*(1+Parámetros!$B$10)</f>
        <v>746368</v>
      </c>
      <c r="K55" s="25">
        <f>E55/Parámetros!$B$4*Parámetros!$B$5</f>
        <v>253240.00000000003</v>
      </c>
      <c r="L55" s="25">
        <f>Parámetros!$B$6</f>
        <v>50000</v>
      </c>
      <c r="M55" s="27">
        <v>90800</v>
      </c>
      <c r="N55" s="25">
        <f>J55*Parámetros!$B$9</f>
        <v>22391.040000000001</v>
      </c>
      <c r="O55" s="25">
        <f>Parámetros!$B$8</f>
        <v>30000</v>
      </c>
      <c r="P55" s="28"/>
      <c r="Q55" s="25">
        <f>IF(P55="",0,P55*Parámetros!$B$11)</f>
        <v>0</v>
      </c>
      <c r="R55" s="29">
        <f t="shared" si="8"/>
        <v>446431.04</v>
      </c>
      <c r="S55" s="25">
        <f t="shared" si="9"/>
        <v>916.69618069815192</v>
      </c>
      <c r="T55" s="25">
        <f t="shared" si="10"/>
        <v>1287.8850102669405</v>
      </c>
      <c r="U55" s="25">
        <f t="shared" si="11"/>
        <v>180768.96000000002</v>
      </c>
      <c r="V55" s="30">
        <f t="shared" si="12"/>
        <v>0.3239158163265306</v>
      </c>
      <c r="W55" s="30">
        <f t="shared" si="13"/>
        <v>0.28821581632653065</v>
      </c>
    </row>
    <row r="56" spans="1:23" x14ac:dyDescent="0.35">
      <c r="A56" s="15" t="s">
        <v>141</v>
      </c>
      <c r="B56" s="31" t="s">
        <v>142</v>
      </c>
      <c r="C56" s="32">
        <v>286</v>
      </c>
      <c r="D56" s="32">
        <v>248</v>
      </c>
      <c r="E56" s="33">
        <f t="shared" si="7"/>
        <v>534</v>
      </c>
      <c r="F56" s="34">
        <v>480000</v>
      </c>
      <c r="G56" s="34">
        <f>F56*Parámetros!$B$12</f>
        <v>48000</v>
      </c>
      <c r="H56" s="34">
        <v>12000</v>
      </c>
      <c r="I56" s="26">
        <v>614400</v>
      </c>
      <c r="J56" s="34">
        <f>I56*(1+Parámetros!$B$10)</f>
        <v>731136</v>
      </c>
      <c r="K56" s="34">
        <f>E56/Parámetros!$B$4*Parámetros!$B$5</f>
        <v>277680</v>
      </c>
      <c r="L56" s="34">
        <f>Parámetros!$B$6</f>
        <v>50000</v>
      </c>
      <c r="M56" s="27">
        <v>90800</v>
      </c>
      <c r="N56" s="34">
        <f>J56*Parámetros!$B$9</f>
        <v>21934.079999999998</v>
      </c>
      <c r="O56" s="34">
        <f>Parámetros!$B$8</f>
        <v>30000</v>
      </c>
      <c r="P56" s="28"/>
      <c r="Q56" s="34">
        <f>IF(P56="",0,P56*Parámetros!$B$11)</f>
        <v>0</v>
      </c>
      <c r="R56" s="35">
        <f t="shared" si="8"/>
        <v>470414.08000000002</v>
      </c>
      <c r="S56" s="34">
        <f t="shared" si="9"/>
        <v>880.9252434456929</v>
      </c>
      <c r="T56" s="34">
        <f t="shared" si="10"/>
        <v>1150.5617977528091</v>
      </c>
      <c r="U56" s="34">
        <f t="shared" si="11"/>
        <v>143985.91999999998</v>
      </c>
      <c r="V56" s="36">
        <f t="shared" si="12"/>
        <v>0.27005208333333336</v>
      </c>
      <c r="W56" s="36">
        <f t="shared" si="13"/>
        <v>0.23435208333333329</v>
      </c>
    </row>
    <row r="57" spans="1:23" x14ac:dyDescent="0.35">
      <c r="A57" s="18" t="s">
        <v>141</v>
      </c>
      <c r="B57" s="22" t="s">
        <v>143</v>
      </c>
      <c r="C57" s="23">
        <v>300</v>
      </c>
      <c r="D57" s="23">
        <v>262</v>
      </c>
      <c r="E57" s="24">
        <f t="shared" si="7"/>
        <v>562</v>
      </c>
      <c r="F57" s="25">
        <v>480000</v>
      </c>
      <c r="G57" s="25">
        <f>F57*Parámetros!$B$12</f>
        <v>48000</v>
      </c>
      <c r="H57" s="25">
        <v>12000</v>
      </c>
      <c r="I57" s="26">
        <v>614400</v>
      </c>
      <c r="J57" s="25">
        <f>I57*(1+Parámetros!$B$10)</f>
        <v>731136</v>
      </c>
      <c r="K57" s="25">
        <f>E57/Parámetros!$B$4*Parámetros!$B$5</f>
        <v>292240</v>
      </c>
      <c r="L57" s="25">
        <f>Parámetros!$B$6</f>
        <v>50000</v>
      </c>
      <c r="M57" s="27">
        <v>90800</v>
      </c>
      <c r="N57" s="25">
        <f>J57*Parámetros!$B$9</f>
        <v>21934.079999999998</v>
      </c>
      <c r="O57" s="25">
        <f>Parámetros!$B$8</f>
        <v>30000</v>
      </c>
      <c r="P57" s="28"/>
      <c r="Q57" s="25">
        <f>IF(P57="",0,P57*Parámetros!$B$11)</f>
        <v>0</v>
      </c>
      <c r="R57" s="29">
        <f t="shared" si="8"/>
        <v>484974.08000000002</v>
      </c>
      <c r="S57" s="25">
        <f t="shared" si="9"/>
        <v>862.94320284697517</v>
      </c>
      <c r="T57" s="25">
        <f t="shared" si="10"/>
        <v>1093.238434163701</v>
      </c>
      <c r="U57" s="25">
        <f t="shared" si="11"/>
        <v>129425.91999999998</v>
      </c>
      <c r="V57" s="30">
        <f t="shared" si="12"/>
        <v>0.24635416666666668</v>
      </c>
      <c r="W57" s="30">
        <f t="shared" si="13"/>
        <v>0.21065416666666664</v>
      </c>
    </row>
    <row r="58" spans="1:23" x14ac:dyDescent="0.35">
      <c r="A58" s="15" t="s">
        <v>141</v>
      </c>
      <c r="B58" s="31" t="s">
        <v>144</v>
      </c>
      <c r="C58" s="32">
        <v>297</v>
      </c>
      <c r="D58" s="32">
        <v>259</v>
      </c>
      <c r="E58" s="33">
        <f t="shared" si="7"/>
        <v>556</v>
      </c>
      <c r="F58" s="34">
        <v>480000</v>
      </c>
      <c r="G58" s="34">
        <f>F58*Parámetros!$B$12</f>
        <v>48000</v>
      </c>
      <c r="H58" s="34">
        <v>12000</v>
      </c>
      <c r="I58" s="26">
        <v>614400</v>
      </c>
      <c r="J58" s="34">
        <f>I58*(1+Parámetros!$B$10)</f>
        <v>731136</v>
      </c>
      <c r="K58" s="34">
        <f>E58/Parámetros!$B$4*Parámetros!$B$5</f>
        <v>289120</v>
      </c>
      <c r="L58" s="34">
        <f>Parámetros!$B$6</f>
        <v>50000</v>
      </c>
      <c r="M58" s="27">
        <v>90800</v>
      </c>
      <c r="N58" s="34">
        <f>J58*Parámetros!$B$9</f>
        <v>21934.079999999998</v>
      </c>
      <c r="O58" s="34">
        <f>Parámetros!$B$8</f>
        <v>30000</v>
      </c>
      <c r="P58" s="28"/>
      <c r="Q58" s="34">
        <f>IF(P58="",0,P58*Parámetros!$B$11)</f>
        <v>0</v>
      </c>
      <c r="R58" s="35">
        <f t="shared" si="8"/>
        <v>481854.08</v>
      </c>
      <c r="S58" s="34">
        <f t="shared" si="9"/>
        <v>866.64402877697842</v>
      </c>
      <c r="T58" s="34">
        <f t="shared" si="10"/>
        <v>1105.0359712230215</v>
      </c>
      <c r="U58" s="34">
        <f t="shared" si="11"/>
        <v>132545.91999999998</v>
      </c>
      <c r="V58" s="36">
        <f t="shared" si="12"/>
        <v>0.25143229166666664</v>
      </c>
      <c r="W58" s="36">
        <f t="shared" si="13"/>
        <v>0.21573229166666663</v>
      </c>
    </row>
    <row r="59" spans="1:23" x14ac:dyDescent="0.35">
      <c r="A59" s="18" t="s">
        <v>141</v>
      </c>
      <c r="B59" s="22" t="s">
        <v>145</v>
      </c>
      <c r="C59" s="23">
        <v>305</v>
      </c>
      <c r="D59" s="23">
        <v>267</v>
      </c>
      <c r="E59" s="24">
        <f t="shared" si="7"/>
        <v>572</v>
      </c>
      <c r="F59" s="25">
        <v>480000</v>
      </c>
      <c r="G59" s="25">
        <f>F59*Parámetros!$B$12</f>
        <v>48000</v>
      </c>
      <c r="H59" s="25">
        <v>12000</v>
      </c>
      <c r="I59" s="26">
        <v>614400</v>
      </c>
      <c r="J59" s="25">
        <f>I59*(1+Parámetros!$B$10)</f>
        <v>731136</v>
      </c>
      <c r="K59" s="25">
        <f>E59/Parámetros!$B$4*Parámetros!$B$5</f>
        <v>297440</v>
      </c>
      <c r="L59" s="25">
        <f>Parámetros!$B$6</f>
        <v>50000</v>
      </c>
      <c r="M59" s="27">
        <v>90800</v>
      </c>
      <c r="N59" s="25">
        <f>J59*Parámetros!$B$9</f>
        <v>21934.079999999998</v>
      </c>
      <c r="O59" s="25">
        <f>Parámetros!$B$8</f>
        <v>30000</v>
      </c>
      <c r="P59" s="28"/>
      <c r="Q59" s="25">
        <f>IF(P59="",0,P59*Parámetros!$B$11)</f>
        <v>0</v>
      </c>
      <c r="R59" s="29">
        <f t="shared" si="8"/>
        <v>490174.08</v>
      </c>
      <c r="S59" s="25">
        <f t="shared" si="9"/>
        <v>856.94769230769236</v>
      </c>
      <c r="T59" s="25">
        <f t="shared" si="10"/>
        <v>1074.1258741258741</v>
      </c>
      <c r="U59" s="25">
        <f t="shared" si="11"/>
        <v>124225.91999999998</v>
      </c>
      <c r="V59" s="30">
        <f t="shared" si="12"/>
        <v>0.23789062499999999</v>
      </c>
      <c r="W59" s="30">
        <f t="shared" si="13"/>
        <v>0.20219062499999998</v>
      </c>
    </row>
    <row r="60" spans="1:23" x14ac:dyDescent="0.35">
      <c r="A60" s="15" t="s">
        <v>141</v>
      </c>
      <c r="B60" s="31" t="s">
        <v>146</v>
      </c>
      <c r="C60" s="32">
        <v>317</v>
      </c>
      <c r="D60" s="32">
        <v>279</v>
      </c>
      <c r="E60" s="33">
        <f t="shared" si="7"/>
        <v>596</v>
      </c>
      <c r="F60" s="34">
        <v>480000</v>
      </c>
      <c r="G60" s="34">
        <f>F60*Parámetros!$B$12</f>
        <v>48000</v>
      </c>
      <c r="H60" s="34">
        <v>12000</v>
      </c>
      <c r="I60" s="26">
        <v>614400</v>
      </c>
      <c r="J60" s="34">
        <f>I60*(1+Parámetros!$B$10)</f>
        <v>731136</v>
      </c>
      <c r="K60" s="34">
        <f>E60/Parámetros!$B$4*Parámetros!$B$5</f>
        <v>309920</v>
      </c>
      <c r="L60" s="34">
        <f>Parámetros!$B$6</f>
        <v>50000</v>
      </c>
      <c r="M60" s="27">
        <v>90800</v>
      </c>
      <c r="N60" s="34">
        <f>J60*Parámetros!$B$9</f>
        <v>21934.079999999998</v>
      </c>
      <c r="O60" s="34">
        <f>Parámetros!$B$8</f>
        <v>30000</v>
      </c>
      <c r="P60" s="28"/>
      <c r="Q60" s="34">
        <f>IF(P60="",0,P60*Parámetros!$B$11)</f>
        <v>0</v>
      </c>
      <c r="R60" s="35">
        <f t="shared" si="8"/>
        <v>502654.08</v>
      </c>
      <c r="S60" s="34">
        <f t="shared" si="9"/>
        <v>843.37932885906048</v>
      </c>
      <c r="T60" s="34">
        <f t="shared" si="10"/>
        <v>1030.8724832214766</v>
      </c>
      <c r="U60" s="34">
        <f t="shared" si="11"/>
        <v>111745.91999999998</v>
      </c>
      <c r="V60" s="36">
        <f t="shared" si="12"/>
        <v>0.21757812500000001</v>
      </c>
      <c r="W60" s="36">
        <f t="shared" si="13"/>
        <v>0.18187812499999997</v>
      </c>
    </row>
    <row r="61" spans="1:23" x14ac:dyDescent="0.35">
      <c r="A61" s="18" t="s">
        <v>141</v>
      </c>
      <c r="B61" s="22" t="s">
        <v>147</v>
      </c>
      <c r="C61" s="23">
        <v>343</v>
      </c>
      <c r="D61" s="23">
        <v>305</v>
      </c>
      <c r="E61" s="24">
        <f t="shared" si="7"/>
        <v>648</v>
      </c>
      <c r="F61" s="25">
        <v>480000</v>
      </c>
      <c r="G61" s="25">
        <f>F61*Parámetros!$B$12</f>
        <v>48000</v>
      </c>
      <c r="H61" s="25">
        <v>12000</v>
      </c>
      <c r="I61" s="26">
        <v>614400</v>
      </c>
      <c r="J61" s="25">
        <f>I61*(1+Parámetros!$B$10)</f>
        <v>731136</v>
      </c>
      <c r="K61" s="25">
        <f>E61/Parámetros!$B$4*Parámetros!$B$5</f>
        <v>336960</v>
      </c>
      <c r="L61" s="25">
        <f>Parámetros!$B$6</f>
        <v>50000</v>
      </c>
      <c r="M61" s="27">
        <v>90800</v>
      </c>
      <c r="N61" s="25">
        <f>J61*Parámetros!$B$9</f>
        <v>21934.079999999998</v>
      </c>
      <c r="O61" s="25">
        <f>Parámetros!$B$8</f>
        <v>30000</v>
      </c>
      <c r="P61" s="28"/>
      <c r="Q61" s="25">
        <f>IF(P61="",0,P61*Parámetros!$B$11)</f>
        <v>0</v>
      </c>
      <c r="R61" s="29">
        <f t="shared" si="8"/>
        <v>529694.08000000007</v>
      </c>
      <c r="S61" s="25">
        <f t="shared" si="9"/>
        <v>817.4291358024692</v>
      </c>
      <c r="T61" s="25">
        <f t="shared" si="10"/>
        <v>948.14814814814815</v>
      </c>
      <c r="U61" s="25">
        <f t="shared" si="11"/>
        <v>84705.919999999925</v>
      </c>
      <c r="V61" s="30">
        <f t="shared" si="12"/>
        <v>0.17356770833333332</v>
      </c>
      <c r="W61" s="30">
        <f t="shared" si="13"/>
        <v>0.1378677083333332</v>
      </c>
    </row>
    <row r="62" spans="1:23" x14ac:dyDescent="0.35">
      <c r="A62" s="15" t="s">
        <v>141</v>
      </c>
      <c r="B62" s="31" t="s">
        <v>148</v>
      </c>
      <c r="C62" s="32">
        <v>348</v>
      </c>
      <c r="D62" s="32">
        <v>310</v>
      </c>
      <c r="E62" s="33">
        <f t="shared" si="7"/>
        <v>658</v>
      </c>
      <c r="F62" s="34">
        <v>480000</v>
      </c>
      <c r="G62" s="34">
        <f>F62*Parámetros!$B$12</f>
        <v>48000</v>
      </c>
      <c r="H62" s="34">
        <v>12000</v>
      </c>
      <c r="I62" s="26">
        <v>614400</v>
      </c>
      <c r="J62" s="34">
        <f>I62*(1+Parámetros!$B$10)</f>
        <v>731136</v>
      </c>
      <c r="K62" s="34">
        <f>E62/Parámetros!$B$4*Parámetros!$B$5</f>
        <v>342160</v>
      </c>
      <c r="L62" s="34">
        <f>Parámetros!$B$6</f>
        <v>50000</v>
      </c>
      <c r="M62" s="27">
        <v>90800</v>
      </c>
      <c r="N62" s="34">
        <f>J62*Parámetros!$B$9</f>
        <v>21934.079999999998</v>
      </c>
      <c r="O62" s="34">
        <f>Parámetros!$B$8</f>
        <v>30000</v>
      </c>
      <c r="P62" s="28"/>
      <c r="Q62" s="34">
        <f>IF(P62="",0,P62*Parámetros!$B$11)</f>
        <v>0</v>
      </c>
      <c r="R62" s="35">
        <f t="shared" si="8"/>
        <v>534894.08000000007</v>
      </c>
      <c r="S62" s="34">
        <f t="shared" si="9"/>
        <v>812.90893617021288</v>
      </c>
      <c r="T62" s="34">
        <f t="shared" si="10"/>
        <v>933.73860182370822</v>
      </c>
      <c r="U62" s="34">
        <f t="shared" si="11"/>
        <v>79505.919999999925</v>
      </c>
      <c r="V62" s="36">
        <f t="shared" si="12"/>
        <v>0.16510416666666666</v>
      </c>
      <c r="W62" s="36">
        <f t="shared" si="13"/>
        <v>0.12940416666666654</v>
      </c>
    </row>
    <row r="63" spans="1:23" x14ac:dyDescent="0.35">
      <c r="A63" s="18" t="s">
        <v>141</v>
      </c>
      <c r="B63" s="22" t="s">
        <v>149</v>
      </c>
      <c r="C63" s="23">
        <v>348</v>
      </c>
      <c r="D63" s="23">
        <v>309</v>
      </c>
      <c r="E63" s="24">
        <f t="shared" si="7"/>
        <v>657</v>
      </c>
      <c r="F63" s="25">
        <v>480000</v>
      </c>
      <c r="G63" s="25">
        <f>F63*Parámetros!$B$12</f>
        <v>48000</v>
      </c>
      <c r="H63" s="25">
        <v>12000</v>
      </c>
      <c r="I63" s="26">
        <v>614400</v>
      </c>
      <c r="J63" s="25">
        <f>I63*(1+Parámetros!$B$10)</f>
        <v>731136</v>
      </c>
      <c r="K63" s="25">
        <f>E63/Parámetros!$B$4*Parámetros!$B$5</f>
        <v>341640</v>
      </c>
      <c r="L63" s="25">
        <f>Parámetros!$B$6</f>
        <v>50000</v>
      </c>
      <c r="M63" s="27">
        <v>90800</v>
      </c>
      <c r="N63" s="25">
        <f>J63*Parámetros!$B$9</f>
        <v>21934.079999999998</v>
      </c>
      <c r="O63" s="25">
        <f>Parámetros!$B$8</f>
        <v>30000</v>
      </c>
      <c r="P63" s="28"/>
      <c r="Q63" s="25">
        <f>IF(P63="",0,P63*Parámetros!$B$11)</f>
        <v>0</v>
      </c>
      <c r="R63" s="29">
        <f t="shared" si="8"/>
        <v>534374.08000000007</v>
      </c>
      <c r="S63" s="25">
        <f t="shared" si="9"/>
        <v>813.3547640791478</v>
      </c>
      <c r="T63" s="25">
        <f t="shared" si="10"/>
        <v>935.15981735159812</v>
      </c>
      <c r="U63" s="25">
        <f t="shared" si="11"/>
        <v>80025.919999999925</v>
      </c>
      <c r="V63" s="30">
        <f t="shared" si="12"/>
        <v>0.16595052083333334</v>
      </c>
      <c r="W63" s="30">
        <f t="shared" si="13"/>
        <v>0.13025052083333322</v>
      </c>
    </row>
    <row r="64" spans="1:23" x14ac:dyDescent="0.35">
      <c r="A64" s="15" t="s">
        <v>141</v>
      </c>
      <c r="B64" s="31" t="s">
        <v>150</v>
      </c>
      <c r="C64" s="32">
        <v>362</v>
      </c>
      <c r="D64" s="32">
        <v>324</v>
      </c>
      <c r="E64" s="33">
        <f t="shared" si="7"/>
        <v>686</v>
      </c>
      <c r="F64" s="34">
        <v>500000</v>
      </c>
      <c r="G64" s="34">
        <f>F64*Parámetros!$B$12</f>
        <v>50000</v>
      </c>
      <c r="H64" s="34">
        <v>12000</v>
      </c>
      <c r="I64" s="26">
        <v>640000</v>
      </c>
      <c r="J64" s="34">
        <f>I64*(1+Parámetros!$B$10)</f>
        <v>761600</v>
      </c>
      <c r="K64" s="34">
        <f>E64/Parámetros!$B$4*Parámetros!$B$5</f>
        <v>356719.99999999994</v>
      </c>
      <c r="L64" s="34">
        <f>Parámetros!$B$6</f>
        <v>50000</v>
      </c>
      <c r="M64" s="27">
        <v>112400</v>
      </c>
      <c r="N64" s="34">
        <f>J64*Parámetros!$B$9</f>
        <v>22848</v>
      </c>
      <c r="O64" s="34">
        <f>Parámetros!$B$8</f>
        <v>30000</v>
      </c>
      <c r="P64" s="28"/>
      <c r="Q64" s="34">
        <f>IF(P64="",0,P64*Parámetros!$B$11)</f>
        <v>0</v>
      </c>
      <c r="R64" s="35">
        <f t="shared" si="8"/>
        <v>571968</v>
      </c>
      <c r="S64" s="34">
        <f t="shared" si="9"/>
        <v>833.77259475218659</v>
      </c>
      <c r="T64" s="34">
        <f t="shared" si="10"/>
        <v>932.94460641399417</v>
      </c>
      <c r="U64" s="34">
        <f t="shared" si="11"/>
        <v>68032</v>
      </c>
      <c r="V64" s="36">
        <f t="shared" si="12"/>
        <v>0.1420000000000001</v>
      </c>
      <c r="W64" s="36">
        <f t="shared" si="13"/>
        <v>0.10630000000000001</v>
      </c>
    </row>
    <row r="65" spans="1:23" x14ac:dyDescent="0.35">
      <c r="A65" s="18" t="s">
        <v>141</v>
      </c>
      <c r="B65" s="22" t="s">
        <v>151</v>
      </c>
      <c r="C65" s="23">
        <v>377</v>
      </c>
      <c r="D65" s="23">
        <v>274</v>
      </c>
      <c r="E65" s="24">
        <f t="shared" si="7"/>
        <v>651</v>
      </c>
      <c r="F65" s="25">
        <v>500000</v>
      </c>
      <c r="G65" s="25">
        <f>F65*Parámetros!$B$12</f>
        <v>50000</v>
      </c>
      <c r="H65" s="25">
        <v>12000</v>
      </c>
      <c r="I65" s="26">
        <v>640000</v>
      </c>
      <c r="J65" s="25">
        <f>I65*(1+Parámetros!$B$10)</f>
        <v>761600</v>
      </c>
      <c r="K65" s="25">
        <f>E65/Parámetros!$B$4*Parámetros!$B$5</f>
        <v>338519.99999999994</v>
      </c>
      <c r="L65" s="25">
        <f>Parámetros!$B$6</f>
        <v>50000</v>
      </c>
      <c r="M65" s="27">
        <v>90800</v>
      </c>
      <c r="N65" s="25">
        <f>J65*Parámetros!$B$9</f>
        <v>22848</v>
      </c>
      <c r="O65" s="25">
        <f>Parámetros!$B$8</f>
        <v>30000</v>
      </c>
      <c r="P65" s="28"/>
      <c r="Q65" s="25">
        <f>IF(P65="",0,P65*Parámetros!$B$11)</f>
        <v>0</v>
      </c>
      <c r="R65" s="29">
        <f t="shared" si="8"/>
        <v>532168</v>
      </c>
      <c r="S65" s="25">
        <f t="shared" si="9"/>
        <v>817.46236559139788</v>
      </c>
      <c r="T65" s="25">
        <f t="shared" si="10"/>
        <v>983.10291858678954</v>
      </c>
      <c r="U65" s="25">
        <f t="shared" si="11"/>
        <v>107832</v>
      </c>
      <c r="V65" s="30">
        <f t="shared" si="12"/>
        <v>0.20418750000000008</v>
      </c>
      <c r="W65" s="30">
        <f t="shared" si="13"/>
        <v>0.16848750000000001</v>
      </c>
    </row>
    <row r="66" spans="1:23" x14ac:dyDescent="0.35">
      <c r="A66" s="15" t="s">
        <v>141</v>
      </c>
      <c r="B66" s="31" t="s">
        <v>152</v>
      </c>
      <c r="C66" s="32">
        <v>377</v>
      </c>
      <c r="D66" s="32">
        <v>339</v>
      </c>
      <c r="E66" s="33">
        <f t="shared" si="7"/>
        <v>716</v>
      </c>
      <c r="F66" s="34">
        <v>500000</v>
      </c>
      <c r="G66" s="34">
        <f>F66*Parámetros!$B$12</f>
        <v>50000</v>
      </c>
      <c r="H66" s="34">
        <v>12000</v>
      </c>
      <c r="I66" s="26">
        <v>640000</v>
      </c>
      <c r="J66" s="34">
        <f>I66*(1+Parámetros!$B$10)</f>
        <v>761600</v>
      </c>
      <c r="K66" s="34">
        <f>E66/Parámetros!$B$4*Parámetros!$B$5</f>
        <v>372319.99999999994</v>
      </c>
      <c r="L66" s="34">
        <f>Parámetros!$B$6</f>
        <v>50000</v>
      </c>
      <c r="M66" s="27">
        <v>112400</v>
      </c>
      <c r="N66" s="34">
        <f>J66*Parámetros!$B$9</f>
        <v>22848</v>
      </c>
      <c r="O66" s="34">
        <f>Parámetros!$B$8</f>
        <v>30000</v>
      </c>
      <c r="P66" s="28"/>
      <c r="Q66" s="34">
        <f>IF(P66="",0,P66*Parámetros!$B$11)</f>
        <v>0</v>
      </c>
      <c r="R66" s="35">
        <f t="shared" si="8"/>
        <v>587568</v>
      </c>
      <c r="S66" s="34">
        <f t="shared" si="9"/>
        <v>820.62569832402232</v>
      </c>
      <c r="T66" s="34">
        <f t="shared" si="10"/>
        <v>893.85474860335194</v>
      </c>
      <c r="U66" s="34">
        <f t="shared" si="11"/>
        <v>52432</v>
      </c>
      <c r="V66" s="36">
        <f t="shared" si="12"/>
        <v>0.11762500000000009</v>
      </c>
      <c r="W66" s="36">
        <f t="shared" si="13"/>
        <v>8.1924999999999998E-2</v>
      </c>
    </row>
    <row r="67" spans="1:23" x14ac:dyDescent="0.35">
      <c r="A67" s="18" t="s">
        <v>141</v>
      </c>
      <c r="B67" s="22" t="s">
        <v>153</v>
      </c>
      <c r="C67" s="23">
        <v>380</v>
      </c>
      <c r="D67" s="23">
        <v>342</v>
      </c>
      <c r="E67" s="24">
        <f t="shared" si="7"/>
        <v>722</v>
      </c>
      <c r="F67" s="25">
        <v>500000</v>
      </c>
      <c r="G67" s="25">
        <f>F67*Parámetros!$B$12</f>
        <v>50000</v>
      </c>
      <c r="H67" s="25">
        <v>12000</v>
      </c>
      <c r="I67" s="26">
        <v>640000</v>
      </c>
      <c r="J67" s="25">
        <f>I67*(1+Parámetros!$B$10)</f>
        <v>761600</v>
      </c>
      <c r="K67" s="25">
        <f>E67/Parámetros!$B$4*Parámetros!$B$5</f>
        <v>375440</v>
      </c>
      <c r="L67" s="25">
        <f>Parámetros!$B$6</f>
        <v>50000</v>
      </c>
      <c r="M67" s="27">
        <v>112400</v>
      </c>
      <c r="N67" s="25">
        <f>J67*Parámetros!$B$9</f>
        <v>22848</v>
      </c>
      <c r="O67" s="25">
        <f>Parámetros!$B$8</f>
        <v>30000</v>
      </c>
      <c r="P67" s="28"/>
      <c r="Q67" s="25">
        <f>IF(P67="",0,P67*Parámetros!$B$11)</f>
        <v>0</v>
      </c>
      <c r="R67" s="29">
        <f t="shared" si="8"/>
        <v>590688</v>
      </c>
      <c r="S67" s="25">
        <f t="shared" si="9"/>
        <v>818.12742382271472</v>
      </c>
      <c r="T67" s="25">
        <f t="shared" si="10"/>
        <v>886.42659279778388</v>
      </c>
      <c r="U67" s="25">
        <f t="shared" si="11"/>
        <v>49312</v>
      </c>
      <c r="V67" s="30">
        <f t="shared" si="12"/>
        <v>0.11275</v>
      </c>
      <c r="W67" s="30">
        <f t="shared" si="13"/>
        <v>7.7049999999999993E-2</v>
      </c>
    </row>
    <row r="68" spans="1:23" x14ac:dyDescent="0.35">
      <c r="A68" s="15" t="s">
        <v>141</v>
      </c>
      <c r="B68" s="31" t="s">
        <v>154</v>
      </c>
      <c r="C68" s="32">
        <v>396</v>
      </c>
      <c r="D68" s="32">
        <v>356</v>
      </c>
      <c r="E68" s="33">
        <f t="shared" si="7"/>
        <v>752</v>
      </c>
      <c r="F68" s="34">
        <v>550000</v>
      </c>
      <c r="G68" s="34">
        <f>F68*Parámetros!$B$12</f>
        <v>55000</v>
      </c>
      <c r="H68" s="34">
        <v>12000</v>
      </c>
      <c r="I68" s="26">
        <v>704000</v>
      </c>
      <c r="J68" s="34">
        <f>I68*(1+Parámetros!$B$10)</f>
        <v>837760</v>
      </c>
      <c r="K68" s="34">
        <f>E68/Parámetros!$B$4*Parámetros!$B$5</f>
        <v>391040</v>
      </c>
      <c r="L68" s="34">
        <f>Parámetros!$B$6</f>
        <v>50000</v>
      </c>
      <c r="M68" s="27">
        <v>112400</v>
      </c>
      <c r="N68" s="34">
        <f>J68*Parámetros!$B$9</f>
        <v>25132.799999999999</v>
      </c>
      <c r="O68" s="34">
        <f>Parámetros!$B$8</f>
        <v>30000</v>
      </c>
      <c r="P68" s="28"/>
      <c r="Q68" s="34">
        <f>IF(P68="",0,P68*Parámetros!$B$11)</f>
        <v>0</v>
      </c>
      <c r="R68" s="35">
        <f t="shared" si="8"/>
        <v>608572.80000000005</v>
      </c>
      <c r="S68" s="34">
        <f t="shared" si="9"/>
        <v>809.27234042553198</v>
      </c>
      <c r="T68" s="34">
        <f t="shared" si="10"/>
        <v>936.17021276595744</v>
      </c>
      <c r="U68" s="34">
        <f t="shared" si="11"/>
        <v>95427.199999999953</v>
      </c>
      <c r="V68" s="36">
        <f t="shared" si="12"/>
        <v>0.17125000000000001</v>
      </c>
      <c r="W68" s="36">
        <f t="shared" si="13"/>
        <v>0.13554999999999992</v>
      </c>
    </row>
    <row r="69" spans="1:23" x14ac:dyDescent="0.35">
      <c r="A69" s="18" t="s">
        <v>141</v>
      </c>
      <c r="B69" s="22" t="s">
        <v>155</v>
      </c>
      <c r="C69" s="23">
        <v>408</v>
      </c>
      <c r="D69" s="23">
        <v>370</v>
      </c>
      <c r="E69" s="24">
        <f t="shared" ref="E69:E100" si="14">C69+D69</f>
        <v>778</v>
      </c>
      <c r="F69" s="25">
        <v>550000</v>
      </c>
      <c r="G69" s="25">
        <f>F69*Parámetros!$B$12</f>
        <v>55000</v>
      </c>
      <c r="H69" s="25">
        <v>12000</v>
      </c>
      <c r="I69" s="26">
        <v>704000</v>
      </c>
      <c r="J69" s="25">
        <f>I69*(1+Parámetros!$B$10)</f>
        <v>837760</v>
      </c>
      <c r="K69" s="25">
        <f>E69/Parámetros!$B$4*Parámetros!$B$5</f>
        <v>404560</v>
      </c>
      <c r="L69" s="25">
        <f>Parámetros!$B$6</f>
        <v>50000</v>
      </c>
      <c r="M69" s="27">
        <v>112400</v>
      </c>
      <c r="N69" s="25">
        <f>J69*Parámetros!$B$9</f>
        <v>25132.799999999999</v>
      </c>
      <c r="O69" s="25">
        <f>Parámetros!$B$8</f>
        <v>30000</v>
      </c>
      <c r="P69" s="28"/>
      <c r="Q69" s="25">
        <f>IF(P69="",0,P69*Parámetros!$B$11)</f>
        <v>0</v>
      </c>
      <c r="R69" s="29">
        <f t="shared" ref="R69:R100" si="15">K69+L69+M69+N69+O69+Q69</f>
        <v>622092.80000000005</v>
      </c>
      <c r="S69" s="25">
        <f t="shared" ref="S69:S100" si="16">IF(E69=0,"",R69/E69)</f>
        <v>799.60514138817484</v>
      </c>
      <c r="T69" s="25">
        <f t="shared" ref="T69:T95" si="17">IF(E69=0,"",I69/E69)</f>
        <v>904.88431876606683</v>
      </c>
      <c r="U69" s="25">
        <f t="shared" ref="U69:U95" si="18">I69-R69</f>
        <v>81907.199999999953</v>
      </c>
      <c r="V69" s="30">
        <f t="shared" ref="V69:V95" si="19">IF(I69=0,"",(I69-K69-L69-M69-O69)/I69)</f>
        <v>0.15204545454545454</v>
      </c>
      <c r="W69" s="30">
        <f t="shared" ref="W69:W95" si="20">IF(I69=0,"",U69/I69)</f>
        <v>0.11634545454545447</v>
      </c>
    </row>
    <row r="70" spans="1:23" x14ac:dyDescent="0.35">
      <c r="A70" s="15" t="s">
        <v>141</v>
      </c>
      <c r="B70" s="31" t="s">
        <v>156</v>
      </c>
      <c r="C70" s="32">
        <v>412</v>
      </c>
      <c r="D70" s="32">
        <v>374</v>
      </c>
      <c r="E70" s="33">
        <f t="shared" si="14"/>
        <v>786</v>
      </c>
      <c r="F70" s="34">
        <v>530000</v>
      </c>
      <c r="G70" s="34">
        <f>F70*Parámetros!$B$12</f>
        <v>53000</v>
      </c>
      <c r="H70" s="34">
        <v>12000</v>
      </c>
      <c r="I70" s="26">
        <v>678400</v>
      </c>
      <c r="J70" s="34">
        <f>I70*(1+Parámetros!$B$10)</f>
        <v>807296</v>
      </c>
      <c r="K70" s="34">
        <f>E70/Parámetros!$B$4*Parámetros!$B$5</f>
        <v>408719.99999999994</v>
      </c>
      <c r="L70" s="34">
        <f>Parámetros!$B$6</f>
        <v>50000</v>
      </c>
      <c r="M70" s="27">
        <v>112400</v>
      </c>
      <c r="N70" s="34">
        <f>J70*Parámetros!$B$9</f>
        <v>24218.879999999997</v>
      </c>
      <c r="O70" s="34">
        <f>Parámetros!$B$8</f>
        <v>30000</v>
      </c>
      <c r="P70" s="28"/>
      <c r="Q70" s="34">
        <f>IF(P70="",0,P70*Parámetros!$B$11)</f>
        <v>0</v>
      </c>
      <c r="R70" s="35">
        <f t="shared" si="15"/>
        <v>625338.88</v>
      </c>
      <c r="S70" s="34">
        <f t="shared" si="16"/>
        <v>795.59653944020351</v>
      </c>
      <c r="T70" s="34">
        <f t="shared" si="17"/>
        <v>863.10432569974557</v>
      </c>
      <c r="U70" s="34">
        <f t="shared" si="18"/>
        <v>53061.119999999995</v>
      </c>
      <c r="V70" s="36">
        <f t="shared" si="19"/>
        <v>0.11391509433962273</v>
      </c>
      <c r="W70" s="36">
        <f t="shared" si="20"/>
        <v>7.8215094339622634E-2</v>
      </c>
    </row>
    <row r="71" spans="1:23" x14ac:dyDescent="0.35">
      <c r="A71" s="18" t="s">
        <v>141</v>
      </c>
      <c r="B71" s="22" t="s">
        <v>157</v>
      </c>
      <c r="C71" s="23">
        <v>406</v>
      </c>
      <c r="D71" s="23">
        <v>367</v>
      </c>
      <c r="E71" s="24">
        <f t="shared" si="14"/>
        <v>773</v>
      </c>
      <c r="F71" s="25">
        <v>530000</v>
      </c>
      <c r="G71" s="25">
        <f>F71*Parámetros!$B$12</f>
        <v>53000</v>
      </c>
      <c r="H71" s="25">
        <v>12000</v>
      </c>
      <c r="I71" s="26">
        <v>678400</v>
      </c>
      <c r="J71" s="25">
        <f>I71*(1+Parámetros!$B$10)</f>
        <v>807296</v>
      </c>
      <c r="K71" s="25">
        <f>E71/Parámetros!$B$4*Parámetros!$B$5</f>
        <v>401960</v>
      </c>
      <c r="L71" s="25">
        <f>Parámetros!$B$6</f>
        <v>50000</v>
      </c>
      <c r="M71" s="27">
        <v>112400</v>
      </c>
      <c r="N71" s="25">
        <f>J71*Parámetros!$B$9</f>
        <v>24218.879999999997</v>
      </c>
      <c r="O71" s="25">
        <f>Parámetros!$B$8</f>
        <v>30000</v>
      </c>
      <c r="P71" s="28"/>
      <c r="Q71" s="25">
        <f>IF(P71="",0,P71*Parámetros!$B$11)</f>
        <v>0</v>
      </c>
      <c r="R71" s="29">
        <f t="shared" si="15"/>
        <v>618578.88</v>
      </c>
      <c r="S71" s="25">
        <f t="shared" si="16"/>
        <v>800.23141009055632</v>
      </c>
      <c r="T71" s="25">
        <f t="shared" si="17"/>
        <v>877.61966364812417</v>
      </c>
      <c r="U71" s="25">
        <f t="shared" si="18"/>
        <v>59821.119999999995</v>
      </c>
      <c r="V71" s="30">
        <f t="shared" si="19"/>
        <v>0.12387971698113208</v>
      </c>
      <c r="W71" s="30">
        <f t="shared" si="20"/>
        <v>8.817971698113207E-2</v>
      </c>
    </row>
    <row r="72" spans="1:23" x14ac:dyDescent="0.35">
      <c r="A72" s="15" t="s">
        <v>141</v>
      </c>
      <c r="B72" s="31" t="s">
        <v>158</v>
      </c>
      <c r="C72" s="32">
        <v>424</v>
      </c>
      <c r="D72" s="32">
        <v>384</v>
      </c>
      <c r="E72" s="33">
        <f t="shared" si="14"/>
        <v>808</v>
      </c>
      <c r="F72" s="34">
        <v>550000</v>
      </c>
      <c r="G72" s="34">
        <f>F72*Parámetros!$B$12</f>
        <v>55000</v>
      </c>
      <c r="H72" s="34">
        <v>12000</v>
      </c>
      <c r="I72" s="26">
        <v>704000</v>
      </c>
      <c r="J72" s="34">
        <f>I72*(1+Parámetros!$B$10)</f>
        <v>837760</v>
      </c>
      <c r="K72" s="34">
        <f>E72/Parámetros!$B$4*Parámetros!$B$5</f>
        <v>420160</v>
      </c>
      <c r="L72" s="34">
        <f>Parámetros!$B$6</f>
        <v>50000</v>
      </c>
      <c r="M72" s="27">
        <v>134000</v>
      </c>
      <c r="N72" s="34">
        <f>J72*Parámetros!$B$9</f>
        <v>25132.799999999999</v>
      </c>
      <c r="O72" s="34">
        <f>Parámetros!$B$8</f>
        <v>30000</v>
      </c>
      <c r="P72" s="28"/>
      <c r="Q72" s="34">
        <f>IF(P72="",0,P72*Parámetros!$B$11)</f>
        <v>0</v>
      </c>
      <c r="R72" s="35">
        <f t="shared" si="15"/>
        <v>659292.80000000005</v>
      </c>
      <c r="S72" s="34">
        <f t="shared" si="16"/>
        <v>815.95643564356442</v>
      </c>
      <c r="T72" s="34">
        <f t="shared" si="17"/>
        <v>871.28712871287132</v>
      </c>
      <c r="U72" s="34">
        <f t="shared" si="18"/>
        <v>44707.199999999953</v>
      </c>
      <c r="V72" s="36">
        <f t="shared" si="19"/>
        <v>9.9204545454545448E-2</v>
      </c>
      <c r="W72" s="36">
        <f t="shared" si="20"/>
        <v>6.3504545454545383E-2</v>
      </c>
    </row>
    <row r="73" spans="1:23" x14ac:dyDescent="0.35">
      <c r="A73" s="18" t="s">
        <v>141</v>
      </c>
      <c r="B73" s="22" t="s">
        <v>159</v>
      </c>
      <c r="C73" s="23">
        <v>436</v>
      </c>
      <c r="D73" s="23">
        <v>396</v>
      </c>
      <c r="E73" s="24">
        <f t="shared" si="14"/>
        <v>832</v>
      </c>
      <c r="F73" s="25">
        <v>550000</v>
      </c>
      <c r="G73" s="25">
        <f>F73*Parámetros!$B$12</f>
        <v>55000</v>
      </c>
      <c r="H73" s="25">
        <v>12000</v>
      </c>
      <c r="I73" s="26">
        <v>704000</v>
      </c>
      <c r="J73" s="25">
        <f>I73*(1+Parámetros!$B$10)</f>
        <v>837760</v>
      </c>
      <c r="K73" s="25">
        <f>E73/Parámetros!$B$4*Parámetros!$B$5</f>
        <v>432640</v>
      </c>
      <c r="L73" s="25">
        <f>Parámetros!$B$6</f>
        <v>50000</v>
      </c>
      <c r="M73" s="27">
        <v>134000</v>
      </c>
      <c r="N73" s="25">
        <f>J73*Parámetros!$B$9</f>
        <v>25132.799999999999</v>
      </c>
      <c r="O73" s="25">
        <f>Parámetros!$B$8</f>
        <v>30000</v>
      </c>
      <c r="P73" s="28"/>
      <c r="Q73" s="25">
        <f>IF(P73="",0,P73*Parámetros!$B$11)</f>
        <v>0</v>
      </c>
      <c r="R73" s="29">
        <f t="shared" si="15"/>
        <v>671772.8</v>
      </c>
      <c r="S73" s="25">
        <f t="shared" si="16"/>
        <v>807.41923076923081</v>
      </c>
      <c r="T73" s="25">
        <f t="shared" si="17"/>
        <v>846.15384615384619</v>
      </c>
      <c r="U73" s="25">
        <f t="shared" si="18"/>
        <v>32227.199999999953</v>
      </c>
      <c r="V73" s="30">
        <f t="shared" si="19"/>
        <v>8.1477272727272732E-2</v>
      </c>
      <c r="W73" s="30">
        <f t="shared" si="20"/>
        <v>4.577727272727266E-2</v>
      </c>
    </row>
    <row r="74" spans="1:23" x14ac:dyDescent="0.35">
      <c r="A74" s="15" t="s">
        <v>141</v>
      </c>
      <c r="B74" s="31" t="s">
        <v>160</v>
      </c>
      <c r="C74" s="32">
        <v>449</v>
      </c>
      <c r="D74" s="32">
        <v>409</v>
      </c>
      <c r="E74" s="33">
        <f t="shared" si="14"/>
        <v>858</v>
      </c>
      <c r="F74" s="34">
        <v>550000</v>
      </c>
      <c r="G74" s="34">
        <f>F74*Parámetros!$B$12</f>
        <v>55000</v>
      </c>
      <c r="H74" s="34">
        <v>12000</v>
      </c>
      <c r="I74" s="26">
        <v>704000</v>
      </c>
      <c r="J74" s="34">
        <f>I74*(1+Parámetros!$B$10)</f>
        <v>837760</v>
      </c>
      <c r="K74" s="34">
        <f>E74/Parámetros!$B$4*Parámetros!$B$5</f>
        <v>446160</v>
      </c>
      <c r="L74" s="34">
        <f>Parámetros!$B$6</f>
        <v>50000</v>
      </c>
      <c r="M74" s="27">
        <v>134000</v>
      </c>
      <c r="N74" s="34">
        <f>J74*Parámetros!$B$9</f>
        <v>25132.799999999999</v>
      </c>
      <c r="O74" s="34">
        <f>Parámetros!$B$8</f>
        <v>30000</v>
      </c>
      <c r="P74" s="28"/>
      <c r="Q74" s="34">
        <f>IF(P74="",0,P74*Parámetros!$B$11)</f>
        <v>0</v>
      </c>
      <c r="R74" s="35">
        <f t="shared" si="15"/>
        <v>685292.8</v>
      </c>
      <c r="S74" s="34">
        <f t="shared" si="16"/>
        <v>798.70955710955718</v>
      </c>
      <c r="T74" s="34">
        <f t="shared" si="17"/>
        <v>820.51282051282055</v>
      </c>
      <c r="U74" s="34">
        <f t="shared" si="18"/>
        <v>18707.199999999953</v>
      </c>
      <c r="V74" s="36">
        <f t="shared" si="19"/>
        <v>6.2272727272727271E-2</v>
      </c>
      <c r="W74" s="36">
        <f t="shared" si="20"/>
        <v>2.6572727272727206E-2</v>
      </c>
    </row>
    <row r="75" spans="1:23" x14ac:dyDescent="0.35">
      <c r="A75" s="18" t="s">
        <v>141</v>
      </c>
      <c r="B75" s="22" t="s">
        <v>161</v>
      </c>
      <c r="C75" s="23">
        <v>462</v>
      </c>
      <c r="D75" s="23">
        <v>423</v>
      </c>
      <c r="E75" s="24">
        <f t="shared" si="14"/>
        <v>885</v>
      </c>
      <c r="F75" s="25">
        <v>550000</v>
      </c>
      <c r="G75" s="25">
        <f>F75*Parámetros!$B$12</f>
        <v>55000</v>
      </c>
      <c r="H75" s="25">
        <v>12000</v>
      </c>
      <c r="I75" s="26">
        <v>704000</v>
      </c>
      <c r="J75" s="25">
        <f>I75*(1+Parámetros!$B$10)</f>
        <v>837760</v>
      </c>
      <c r="K75" s="25">
        <f>E75/Parámetros!$B$4*Parámetros!$B$5</f>
        <v>460200</v>
      </c>
      <c r="L75" s="25">
        <f>Parámetros!$B$6</f>
        <v>50000</v>
      </c>
      <c r="M75" s="27">
        <v>134000</v>
      </c>
      <c r="N75" s="25">
        <f>J75*Parámetros!$B$9</f>
        <v>25132.799999999999</v>
      </c>
      <c r="O75" s="25">
        <f>Parámetros!$B$8</f>
        <v>30000</v>
      </c>
      <c r="P75" s="28"/>
      <c r="Q75" s="25">
        <f>IF(P75="",0,P75*Parámetros!$B$11)</f>
        <v>0</v>
      </c>
      <c r="R75" s="29">
        <f t="shared" si="15"/>
        <v>699332.8</v>
      </c>
      <c r="S75" s="25">
        <f t="shared" si="16"/>
        <v>790.20655367231643</v>
      </c>
      <c r="T75" s="25">
        <f t="shared" si="17"/>
        <v>795.48022598870057</v>
      </c>
      <c r="U75" s="25">
        <f t="shared" si="18"/>
        <v>4667.1999999999534</v>
      </c>
      <c r="V75" s="30">
        <f t="shared" si="19"/>
        <v>4.2329545454545453E-2</v>
      </c>
      <c r="W75" s="30">
        <f t="shared" si="20"/>
        <v>6.629545454545388E-3</v>
      </c>
    </row>
    <row r="76" spans="1:23" x14ac:dyDescent="0.35">
      <c r="A76" s="15" t="s">
        <v>163</v>
      </c>
      <c r="B76" s="31" t="s">
        <v>164</v>
      </c>
      <c r="C76" s="32">
        <v>486</v>
      </c>
      <c r="D76" s="32">
        <v>448</v>
      </c>
      <c r="E76" s="33">
        <f t="shared" si="14"/>
        <v>934</v>
      </c>
      <c r="F76" s="34">
        <v>600000</v>
      </c>
      <c r="G76" s="34">
        <f>F76*Parámetros!$B$12</f>
        <v>60000</v>
      </c>
      <c r="H76" s="34">
        <v>12000</v>
      </c>
      <c r="I76" s="26">
        <v>750000</v>
      </c>
      <c r="J76" s="34">
        <f>I76*(1+Parámetros!$B$10)</f>
        <v>892500</v>
      </c>
      <c r="K76" s="34">
        <f>E76/Parámetros!$B$4*Parámetros!$B$5</f>
        <v>485680.00000000006</v>
      </c>
      <c r="L76" s="34">
        <f>Parámetros!$B$6</f>
        <v>50000</v>
      </c>
      <c r="M76" s="27">
        <v>155600</v>
      </c>
      <c r="N76" s="34">
        <f>J76*Parámetros!$B$9</f>
        <v>26775</v>
      </c>
      <c r="O76" s="34">
        <f>Parámetros!$B$8</f>
        <v>30000</v>
      </c>
      <c r="P76" s="28"/>
      <c r="Q76" s="34">
        <f>IF(P76="",0,P76*Parámetros!$B$11)</f>
        <v>0</v>
      </c>
      <c r="R76" s="35">
        <f t="shared" si="15"/>
        <v>748055</v>
      </c>
      <c r="S76" s="34">
        <f t="shared" si="16"/>
        <v>800.91541755888647</v>
      </c>
      <c r="T76" s="34">
        <f t="shared" si="17"/>
        <v>802.99785867237688</v>
      </c>
      <c r="U76" s="34">
        <f t="shared" si="18"/>
        <v>1945</v>
      </c>
      <c r="V76" s="36">
        <f t="shared" si="19"/>
        <v>3.8293333333333256E-2</v>
      </c>
      <c r="W76" s="36">
        <f t="shared" si="20"/>
        <v>2.5933333333333333E-3</v>
      </c>
    </row>
    <row r="77" spans="1:23" x14ac:dyDescent="0.35">
      <c r="A77" s="18" t="s">
        <v>163</v>
      </c>
      <c r="B77" s="22" t="s">
        <v>165</v>
      </c>
      <c r="C77" s="23">
        <v>510</v>
      </c>
      <c r="D77" s="23">
        <v>472</v>
      </c>
      <c r="E77" s="24">
        <f t="shared" si="14"/>
        <v>982</v>
      </c>
      <c r="F77" s="25">
        <v>650000</v>
      </c>
      <c r="G77" s="25">
        <f>F77*Parámetros!$B$12</f>
        <v>65000</v>
      </c>
      <c r="H77" s="25">
        <v>12000</v>
      </c>
      <c r="I77" s="26">
        <v>812500</v>
      </c>
      <c r="J77" s="25">
        <f>I77*(1+Parámetros!$B$10)</f>
        <v>966875</v>
      </c>
      <c r="K77" s="25">
        <f>E77/Parámetros!$B$4*Parámetros!$B$5</f>
        <v>510640</v>
      </c>
      <c r="L77" s="25">
        <f>Parámetros!$B$6</f>
        <v>50000</v>
      </c>
      <c r="M77" s="27">
        <v>155600</v>
      </c>
      <c r="N77" s="25">
        <f>J77*Parámetros!$B$9</f>
        <v>29006.25</v>
      </c>
      <c r="O77" s="25">
        <f>Parámetros!$B$8</f>
        <v>30000</v>
      </c>
      <c r="P77" s="28"/>
      <c r="Q77" s="25">
        <f>IF(P77="",0,P77*Parámetros!$B$11)</f>
        <v>0</v>
      </c>
      <c r="R77" s="29">
        <f t="shared" si="15"/>
        <v>775246.25</v>
      </c>
      <c r="S77" s="25">
        <f t="shared" si="16"/>
        <v>789.45646639511199</v>
      </c>
      <c r="T77" s="25">
        <f t="shared" si="17"/>
        <v>827.39307535641547</v>
      </c>
      <c r="U77" s="25">
        <f t="shared" si="18"/>
        <v>37253.75</v>
      </c>
      <c r="V77" s="30">
        <f t="shared" si="19"/>
        <v>8.1550769230769232E-2</v>
      </c>
      <c r="W77" s="30">
        <f t="shared" si="20"/>
        <v>4.585076923076923E-2</v>
      </c>
    </row>
    <row r="78" spans="1:23" x14ac:dyDescent="0.35">
      <c r="A78" s="15" t="s">
        <v>163</v>
      </c>
      <c r="B78" s="31" t="s">
        <v>166</v>
      </c>
      <c r="C78" s="32">
        <v>515</v>
      </c>
      <c r="D78" s="32">
        <v>477</v>
      </c>
      <c r="E78" s="33">
        <f t="shared" si="14"/>
        <v>992</v>
      </c>
      <c r="F78" s="34">
        <v>650000</v>
      </c>
      <c r="G78" s="34">
        <f>F78*Parámetros!$B$12</f>
        <v>65000</v>
      </c>
      <c r="H78" s="34">
        <v>12000</v>
      </c>
      <c r="I78" s="26">
        <v>812500</v>
      </c>
      <c r="J78" s="34">
        <f>I78*(1+Parámetros!$B$10)</f>
        <v>966875</v>
      </c>
      <c r="K78" s="34">
        <f>E78/Parámetros!$B$4*Parámetros!$B$5</f>
        <v>515840</v>
      </c>
      <c r="L78" s="34">
        <f>Parámetros!$B$6</f>
        <v>50000</v>
      </c>
      <c r="M78" s="27">
        <v>155600</v>
      </c>
      <c r="N78" s="34">
        <f>J78*Parámetros!$B$9</f>
        <v>29006.25</v>
      </c>
      <c r="O78" s="34">
        <f>Parámetros!$B$8</f>
        <v>30000</v>
      </c>
      <c r="P78" s="28"/>
      <c r="Q78" s="34">
        <f>IF(P78="",0,P78*Parámetros!$B$11)</f>
        <v>0</v>
      </c>
      <c r="R78" s="35">
        <f t="shared" si="15"/>
        <v>780446.25</v>
      </c>
      <c r="S78" s="34">
        <f t="shared" si="16"/>
        <v>786.74017137096769</v>
      </c>
      <c r="T78" s="34">
        <f t="shared" si="17"/>
        <v>819.05241935483866</v>
      </c>
      <c r="U78" s="34">
        <f t="shared" si="18"/>
        <v>32053.75</v>
      </c>
      <c r="V78" s="36">
        <f t="shared" si="19"/>
        <v>7.5150769230769229E-2</v>
      </c>
      <c r="W78" s="36">
        <f t="shared" si="20"/>
        <v>3.9450769230769234E-2</v>
      </c>
    </row>
    <row r="79" spans="1:23" x14ac:dyDescent="0.35">
      <c r="A79" s="18" t="s">
        <v>163</v>
      </c>
      <c r="B79" s="22" t="s">
        <v>167</v>
      </c>
      <c r="C79" s="23">
        <v>515</v>
      </c>
      <c r="D79" s="23">
        <v>477</v>
      </c>
      <c r="E79" s="24">
        <f t="shared" si="14"/>
        <v>992</v>
      </c>
      <c r="F79" s="25">
        <v>670000</v>
      </c>
      <c r="G79" s="25">
        <f>F79*Parámetros!$B$12</f>
        <v>67000</v>
      </c>
      <c r="H79" s="25">
        <v>12000</v>
      </c>
      <c r="I79" s="26">
        <v>837500</v>
      </c>
      <c r="J79" s="25">
        <f>I79*(1+Parámetros!$B$10)</f>
        <v>996625</v>
      </c>
      <c r="K79" s="25">
        <f>E79/Parámetros!$B$4*Parámetros!$B$5</f>
        <v>515840</v>
      </c>
      <c r="L79" s="25">
        <f>Parámetros!$B$6</f>
        <v>50000</v>
      </c>
      <c r="M79" s="27">
        <v>155600</v>
      </c>
      <c r="N79" s="25">
        <f>J79*Parámetros!$B$9</f>
        <v>29898.75</v>
      </c>
      <c r="O79" s="25">
        <f>Parámetros!$B$8</f>
        <v>30000</v>
      </c>
      <c r="P79" s="28"/>
      <c r="Q79" s="25">
        <f>IF(P79="",0,P79*Parámetros!$B$11)</f>
        <v>0</v>
      </c>
      <c r="R79" s="29">
        <f t="shared" si="15"/>
        <v>781338.75</v>
      </c>
      <c r="S79" s="25">
        <f t="shared" si="16"/>
        <v>787.63986895161293</v>
      </c>
      <c r="T79" s="25">
        <f t="shared" si="17"/>
        <v>844.25403225806451</v>
      </c>
      <c r="U79" s="25">
        <f t="shared" si="18"/>
        <v>56161.25</v>
      </c>
      <c r="V79" s="30">
        <f t="shared" si="19"/>
        <v>0.10275820895522388</v>
      </c>
      <c r="W79" s="30">
        <f t="shared" si="20"/>
        <v>6.705820895522388E-2</v>
      </c>
    </row>
    <row r="80" spans="1:23" x14ac:dyDescent="0.35">
      <c r="A80" s="15" t="s">
        <v>163</v>
      </c>
      <c r="B80" s="31" t="s">
        <v>168</v>
      </c>
      <c r="C80" s="32">
        <v>532</v>
      </c>
      <c r="D80" s="32">
        <v>494</v>
      </c>
      <c r="E80" s="33">
        <f t="shared" si="14"/>
        <v>1026</v>
      </c>
      <c r="F80" s="34">
        <v>670000</v>
      </c>
      <c r="G80" s="34">
        <f>F80*Parámetros!$B$12</f>
        <v>67000</v>
      </c>
      <c r="H80" s="34">
        <v>12000</v>
      </c>
      <c r="I80" s="26">
        <v>837500</v>
      </c>
      <c r="J80" s="34">
        <f>I80*(1+Parámetros!$B$10)</f>
        <v>996625</v>
      </c>
      <c r="K80" s="34">
        <f>E80/Parámetros!$B$4*Parámetros!$B$5</f>
        <v>533520</v>
      </c>
      <c r="L80" s="34">
        <f>Parámetros!$B$6</f>
        <v>50000</v>
      </c>
      <c r="M80" s="27">
        <v>155600</v>
      </c>
      <c r="N80" s="34">
        <f>J80*Parámetros!$B$9</f>
        <v>29898.75</v>
      </c>
      <c r="O80" s="34">
        <f>Parámetros!$B$8</f>
        <v>30000</v>
      </c>
      <c r="P80" s="28"/>
      <c r="Q80" s="34">
        <f>IF(P80="",0,P80*Parámetros!$B$11)</f>
        <v>0</v>
      </c>
      <c r="R80" s="35">
        <f t="shared" si="15"/>
        <v>799018.75</v>
      </c>
      <c r="S80" s="34">
        <f t="shared" si="16"/>
        <v>778.7707115009747</v>
      </c>
      <c r="T80" s="34">
        <f t="shared" si="17"/>
        <v>816.27680311890833</v>
      </c>
      <c r="U80" s="34">
        <f t="shared" si="18"/>
        <v>38481.25</v>
      </c>
      <c r="V80" s="36">
        <f t="shared" si="19"/>
        <v>8.1647761194029847E-2</v>
      </c>
      <c r="W80" s="36">
        <f t="shared" si="20"/>
        <v>4.5947761194029851E-2</v>
      </c>
    </row>
    <row r="81" spans="1:23" x14ac:dyDescent="0.35">
      <c r="A81" s="18" t="s">
        <v>163</v>
      </c>
      <c r="B81" s="22" t="s">
        <v>169</v>
      </c>
      <c r="C81" s="23">
        <v>534</v>
      </c>
      <c r="D81" s="23">
        <v>496</v>
      </c>
      <c r="E81" s="24">
        <f t="shared" si="14"/>
        <v>1030</v>
      </c>
      <c r="F81" s="25">
        <v>670000</v>
      </c>
      <c r="G81" s="25">
        <f>F81*Parámetros!$B$12</f>
        <v>67000</v>
      </c>
      <c r="H81" s="25">
        <v>12000</v>
      </c>
      <c r="I81" s="26">
        <v>837500</v>
      </c>
      <c r="J81" s="25">
        <f>I81*(1+Parámetros!$B$10)</f>
        <v>996625</v>
      </c>
      <c r="K81" s="25">
        <f>E81/Parámetros!$B$4*Parámetros!$B$5</f>
        <v>535600</v>
      </c>
      <c r="L81" s="25">
        <f>Parámetros!$B$6</f>
        <v>50000</v>
      </c>
      <c r="M81" s="27">
        <v>155600</v>
      </c>
      <c r="N81" s="25">
        <f>J81*Parámetros!$B$9</f>
        <v>29898.75</v>
      </c>
      <c r="O81" s="25">
        <f>Parámetros!$B$8</f>
        <v>30000</v>
      </c>
      <c r="P81" s="28"/>
      <c r="Q81" s="25">
        <f>IF(P81="",0,P81*Parámetros!$B$11)</f>
        <v>0</v>
      </c>
      <c r="R81" s="29">
        <f t="shared" si="15"/>
        <v>801098.75</v>
      </c>
      <c r="S81" s="25">
        <f t="shared" si="16"/>
        <v>777.76577669902917</v>
      </c>
      <c r="T81" s="25">
        <f t="shared" si="17"/>
        <v>813.10679611650482</v>
      </c>
      <c r="U81" s="25">
        <f t="shared" si="18"/>
        <v>36401.25</v>
      </c>
      <c r="V81" s="30">
        <f t="shared" si="19"/>
        <v>7.9164179104477608E-2</v>
      </c>
      <c r="W81" s="30">
        <f t="shared" si="20"/>
        <v>4.3464179104477613E-2</v>
      </c>
    </row>
    <row r="82" spans="1:23" x14ac:dyDescent="0.35">
      <c r="A82" s="15" t="s">
        <v>163</v>
      </c>
      <c r="B82" s="31" t="s">
        <v>170</v>
      </c>
      <c r="C82" s="32">
        <v>556</v>
      </c>
      <c r="D82" s="32">
        <v>518</v>
      </c>
      <c r="E82" s="33">
        <f t="shared" si="14"/>
        <v>1074</v>
      </c>
      <c r="F82" s="34">
        <v>690000</v>
      </c>
      <c r="G82" s="34">
        <f>F82*Parámetros!$B$12</f>
        <v>69000</v>
      </c>
      <c r="H82" s="34">
        <v>12000</v>
      </c>
      <c r="I82" s="26">
        <v>862500</v>
      </c>
      <c r="J82" s="34">
        <f>I82*(1+Parámetros!$B$10)</f>
        <v>1026375</v>
      </c>
      <c r="K82" s="34">
        <f>E82/Parámetros!$B$4*Parámetros!$B$5</f>
        <v>558480</v>
      </c>
      <c r="L82" s="34">
        <f>Parámetros!$B$6</f>
        <v>50000</v>
      </c>
      <c r="M82" s="27">
        <v>155600</v>
      </c>
      <c r="N82" s="34">
        <f>J82*Parámetros!$B$9</f>
        <v>30791.25</v>
      </c>
      <c r="O82" s="34">
        <f>Parámetros!$B$8</f>
        <v>30000</v>
      </c>
      <c r="P82" s="28"/>
      <c r="Q82" s="34">
        <f>IF(P82="",0,P82*Parámetros!$B$11)</f>
        <v>0</v>
      </c>
      <c r="R82" s="35">
        <f t="shared" si="15"/>
        <v>824871.25</v>
      </c>
      <c r="S82" s="34">
        <f t="shared" si="16"/>
        <v>768.0365456238361</v>
      </c>
      <c r="T82" s="34">
        <f t="shared" si="17"/>
        <v>803.07262569832403</v>
      </c>
      <c r="U82" s="34">
        <f t="shared" si="18"/>
        <v>37628.75</v>
      </c>
      <c r="V82" s="36">
        <f t="shared" si="19"/>
        <v>7.9327536231884058E-2</v>
      </c>
      <c r="W82" s="36">
        <f t="shared" si="20"/>
        <v>4.3627536231884055E-2</v>
      </c>
    </row>
    <row r="83" spans="1:23" x14ac:dyDescent="0.35">
      <c r="A83" s="18" t="s">
        <v>163</v>
      </c>
      <c r="B83" s="22" t="s">
        <v>171</v>
      </c>
      <c r="C83" s="23">
        <v>580</v>
      </c>
      <c r="D83" s="23">
        <v>542</v>
      </c>
      <c r="E83" s="24">
        <f t="shared" si="14"/>
        <v>1122</v>
      </c>
      <c r="F83" s="25">
        <v>720000</v>
      </c>
      <c r="G83" s="25">
        <f>F83*Parámetros!$B$12</f>
        <v>72000</v>
      </c>
      <c r="H83" s="25">
        <v>12000</v>
      </c>
      <c r="I83" s="26">
        <v>900000</v>
      </c>
      <c r="J83" s="25">
        <f>I83*(1+Parámetros!$B$10)</f>
        <v>1071000</v>
      </c>
      <c r="K83" s="25">
        <f>E83/Parámetros!$B$4*Parámetros!$B$5</f>
        <v>583440</v>
      </c>
      <c r="L83" s="25">
        <f>Parámetros!$B$6</f>
        <v>50000</v>
      </c>
      <c r="M83" s="27">
        <v>155600</v>
      </c>
      <c r="N83" s="25">
        <f>J83*Parámetros!$B$9</f>
        <v>32130</v>
      </c>
      <c r="O83" s="25">
        <f>Parámetros!$B$8</f>
        <v>30000</v>
      </c>
      <c r="P83" s="28"/>
      <c r="Q83" s="25">
        <f>IF(P83="",0,P83*Parámetros!$B$11)</f>
        <v>0</v>
      </c>
      <c r="R83" s="29">
        <f t="shared" si="15"/>
        <v>851170</v>
      </c>
      <c r="S83" s="25">
        <f t="shared" si="16"/>
        <v>758.61853832442068</v>
      </c>
      <c r="T83" s="25">
        <f t="shared" si="17"/>
        <v>802.13903743315507</v>
      </c>
      <c r="U83" s="25">
        <f t="shared" si="18"/>
        <v>48830</v>
      </c>
      <c r="V83" s="30">
        <f t="shared" si="19"/>
        <v>8.9955555555555552E-2</v>
      </c>
      <c r="W83" s="30">
        <f t="shared" si="20"/>
        <v>5.4255555555555557E-2</v>
      </c>
    </row>
    <row r="84" spans="1:23" x14ac:dyDescent="0.35">
      <c r="A84" s="15" t="s">
        <v>163</v>
      </c>
      <c r="B84" s="31" t="s">
        <v>172</v>
      </c>
      <c r="C84" s="32">
        <v>607</v>
      </c>
      <c r="D84" s="32">
        <v>568</v>
      </c>
      <c r="E84" s="33">
        <f t="shared" si="14"/>
        <v>1175</v>
      </c>
      <c r="F84" s="34">
        <v>750000</v>
      </c>
      <c r="G84" s="34">
        <f>F84*Parámetros!$B$12</f>
        <v>75000</v>
      </c>
      <c r="H84" s="34">
        <v>12000</v>
      </c>
      <c r="I84" s="26">
        <v>937500</v>
      </c>
      <c r="J84" s="34">
        <f>I84*(1+Parámetros!$B$10)</f>
        <v>1115625</v>
      </c>
      <c r="K84" s="34">
        <f>E84/Parámetros!$B$4*Parámetros!$B$5</f>
        <v>611000</v>
      </c>
      <c r="L84" s="34">
        <f>Parámetros!$B$6</f>
        <v>50000</v>
      </c>
      <c r="M84" s="27">
        <v>155600</v>
      </c>
      <c r="N84" s="34">
        <f>J84*Parámetros!$B$9</f>
        <v>33468.75</v>
      </c>
      <c r="O84" s="34">
        <f>Parámetros!$B$8</f>
        <v>30000</v>
      </c>
      <c r="P84" s="28"/>
      <c r="Q84" s="34">
        <f>IF(P84="",0,P84*Parámetros!$B$11)</f>
        <v>0</v>
      </c>
      <c r="R84" s="35">
        <f t="shared" si="15"/>
        <v>880068.75</v>
      </c>
      <c r="S84" s="34">
        <f t="shared" si="16"/>
        <v>748.99468085106378</v>
      </c>
      <c r="T84" s="34">
        <f t="shared" si="17"/>
        <v>797.87234042553189</v>
      </c>
      <c r="U84" s="34">
        <f t="shared" si="18"/>
        <v>57431.25</v>
      </c>
      <c r="V84" s="36">
        <f t="shared" si="19"/>
        <v>9.6960000000000005E-2</v>
      </c>
      <c r="W84" s="36">
        <f t="shared" si="20"/>
        <v>6.1260000000000002E-2</v>
      </c>
    </row>
    <row r="85" spans="1:23" x14ac:dyDescent="0.35">
      <c r="A85" s="18" t="s">
        <v>163</v>
      </c>
      <c r="B85" s="22" t="s">
        <v>173</v>
      </c>
      <c r="C85" s="23">
        <v>592</v>
      </c>
      <c r="D85" s="23">
        <v>554</v>
      </c>
      <c r="E85" s="24">
        <f t="shared" si="14"/>
        <v>1146</v>
      </c>
      <c r="F85" s="25">
        <v>720000</v>
      </c>
      <c r="G85" s="25">
        <f>F85*Parámetros!$B$12</f>
        <v>72000</v>
      </c>
      <c r="H85" s="25">
        <v>12000</v>
      </c>
      <c r="I85" s="26">
        <v>900000</v>
      </c>
      <c r="J85" s="25">
        <f>I85*(1+Parámetros!$B$10)</f>
        <v>1071000</v>
      </c>
      <c r="K85" s="25">
        <f>E85/Parámetros!$B$4*Parámetros!$B$5</f>
        <v>595920</v>
      </c>
      <c r="L85" s="25">
        <f>Parámetros!$B$6</f>
        <v>50000</v>
      </c>
      <c r="M85" s="27">
        <v>155600</v>
      </c>
      <c r="N85" s="25">
        <f>J85*Parámetros!$B$9</f>
        <v>32130</v>
      </c>
      <c r="O85" s="25">
        <f>Parámetros!$B$8</f>
        <v>30000</v>
      </c>
      <c r="P85" s="28"/>
      <c r="Q85" s="25">
        <f>IF(P85="",0,P85*Parámetros!$B$11)</f>
        <v>0</v>
      </c>
      <c r="R85" s="29">
        <f t="shared" si="15"/>
        <v>863650</v>
      </c>
      <c r="S85" s="25">
        <f t="shared" si="16"/>
        <v>753.62129144851656</v>
      </c>
      <c r="T85" s="25">
        <f t="shared" si="17"/>
        <v>785.3403141361257</v>
      </c>
      <c r="U85" s="25">
        <f t="shared" si="18"/>
        <v>36350</v>
      </c>
      <c r="V85" s="30">
        <f t="shared" si="19"/>
        <v>7.6088888888888886E-2</v>
      </c>
      <c r="W85" s="30">
        <f t="shared" si="20"/>
        <v>4.0388888888888891E-2</v>
      </c>
    </row>
    <row r="86" spans="1:23" x14ac:dyDescent="0.35">
      <c r="A86" s="15" t="s">
        <v>163</v>
      </c>
      <c r="B86" s="31" t="s">
        <v>174</v>
      </c>
      <c r="C86" s="32">
        <v>599</v>
      </c>
      <c r="D86" s="32">
        <v>561</v>
      </c>
      <c r="E86" s="33">
        <f t="shared" si="14"/>
        <v>1160</v>
      </c>
      <c r="F86" s="34">
        <v>750000</v>
      </c>
      <c r="G86" s="34">
        <f>F86*Parámetros!$B$12</f>
        <v>75000</v>
      </c>
      <c r="H86" s="34">
        <v>12000</v>
      </c>
      <c r="I86" s="26">
        <v>937500</v>
      </c>
      <c r="J86" s="34">
        <f>I86*(1+Parámetros!$B$10)</f>
        <v>1115625</v>
      </c>
      <c r="K86" s="34">
        <f>E86/Parámetros!$B$4*Parámetros!$B$5</f>
        <v>603200</v>
      </c>
      <c r="L86" s="34">
        <f>Parámetros!$B$6</f>
        <v>50000</v>
      </c>
      <c r="M86" s="27">
        <v>155600</v>
      </c>
      <c r="N86" s="34">
        <f>J86*Parámetros!$B$9</f>
        <v>33468.75</v>
      </c>
      <c r="O86" s="34">
        <f>Parámetros!$B$8</f>
        <v>30000</v>
      </c>
      <c r="P86" s="28"/>
      <c r="Q86" s="34">
        <f>IF(P86="",0,P86*Parámetros!$B$11)</f>
        <v>0</v>
      </c>
      <c r="R86" s="35">
        <f t="shared" si="15"/>
        <v>872268.75</v>
      </c>
      <c r="S86" s="34">
        <f t="shared" si="16"/>
        <v>751.95581896551721</v>
      </c>
      <c r="T86" s="34">
        <f t="shared" si="17"/>
        <v>808.18965517241384</v>
      </c>
      <c r="U86" s="34">
        <f t="shared" si="18"/>
        <v>65231.25</v>
      </c>
      <c r="V86" s="36">
        <f t="shared" si="19"/>
        <v>0.10528</v>
      </c>
      <c r="W86" s="36">
        <f t="shared" si="20"/>
        <v>6.9580000000000003E-2</v>
      </c>
    </row>
    <row r="87" spans="1:23" x14ac:dyDescent="0.35">
      <c r="A87" s="18" t="s">
        <v>163</v>
      </c>
      <c r="B87" s="22" t="s">
        <v>175</v>
      </c>
      <c r="C87" s="23">
        <v>606</v>
      </c>
      <c r="D87" s="23">
        <v>568</v>
      </c>
      <c r="E87" s="24">
        <f t="shared" si="14"/>
        <v>1174</v>
      </c>
      <c r="F87" s="25">
        <v>750000</v>
      </c>
      <c r="G87" s="25">
        <f>F87*Parámetros!$B$12</f>
        <v>75000</v>
      </c>
      <c r="H87" s="25">
        <v>12000</v>
      </c>
      <c r="I87" s="26">
        <v>937500</v>
      </c>
      <c r="J87" s="25">
        <f>I87*(1+Parámetros!$B$10)</f>
        <v>1115625</v>
      </c>
      <c r="K87" s="25">
        <f>E87/Parámetros!$B$4*Parámetros!$B$5</f>
        <v>610480</v>
      </c>
      <c r="L87" s="25">
        <f>Parámetros!$B$6</f>
        <v>50000</v>
      </c>
      <c r="M87" s="27">
        <v>155600</v>
      </c>
      <c r="N87" s="25">
        <f>J87*Parámetros!$B$9</f>
        <v>33468.75</v>
      </c>
      <c r="O87" s="25">
        <f>Parámetros!$B$8</f>
        <v>30000</v>
      </c>
      <c r="P87" s="28"/>
      <c r="Q87" s="25">
        <f>IF(P87="",0,P87*Parámetros!$B$11)</f>
        <v>0</v>
      </c>
      <c r="R87" s="29">
        <f t="shared" si="15"/>
        <v>879548.75</v>
      </c>
      <c r="S87" s="25">
        <f t="shared" si="16"/>
        <v>749.18973594548549</v>
      </c>
      <c r="T87" s="25">
        <f t="shared" si="17"/>
        <v>798.55195911413966</v>
      </c>
      <c r="U87" s="25">
        <f t="shared" si="18"/>
        <v>57951.25</v>
      </c>
      <c r="V87" s="30">
        <f t="shared" si="19"/>
        <v>9.7514666666666666E-2</v>
      </c>
      <c r="W87" s="30">
        <f t="shared" si="20"/>
        <v>6.1814666666666664E-2</v>
      </c>
    </row>
    <row r="88" spans="1:23" x14ac:dyDescent="0.35">
      <c r="A88" s="15" t="s">
        <v>163</v>
      </c>
      <c r="B88" s="31" t="s">
        <v>176</v>
      </c>
      <c r="C88" s="32">
        <v>610</v>
      </c>
      <c r="D88" s="32">
        <v>572</v>
      </c>
      <c r="E88" s="33">
        <f t="shared" si="14"/>
        <v>1182</v>
      </c>
      <c r="F88" s="34">
        <v>780000</v>
      </c>
      <c r="G88" s="34">
        <f>F88*Parámetros!$B$12</f>
        <v>78000</v>
      </c>
      <c r="H88" s="34">
        <v>12000</v>
      </c>
      <c r="I88" s="26">
        <v>975000</v>
      </c>
      <c r="J88" s="34">
        <f>I88*(1+Parámetros!$B$10)</f>
        <v>1160250</v>
      </c>
      <c r="K88" s="34">
        <f>E88/Parámetros!$B$4*Parámetros!$B$5</f>
        <v>614640</v>
      </c>
      <c r="L88" s="34">
        <f>Parámetros!$B$6</f>
        <v>50000</v>
      </c>
      <c r="M88" s="27">
        <v>155600</v>
      </c>
      <c r="N88" s="34">
        <f>J88*Parámetros!$B$9</f>
        <v>34807.5</v>
      </c>
      <c r="O88" s="34">
        <f>Parámetros!$B$8</f>
        <v>30000</v>
      </c>
      <c r="P88" s="28"/>
      <c r="Q88" s="34">
        <f>IF(P88="",0,P88*Parámetros!$B$11)</f>
        <v>0</v>
      </c>
      <c r="R88" s="35">
        <f t="shared" si="15"/>
        <v>885047.5</v>
      </c>
      <c r="S88" s="34">
        <f t="shared" si="16"/>
        <v>748.7711505922166</v>
      </c>
      <c r="T88" s="34">
        <f t="shared" si="17"/>
        <v>824.87309644670052</v>
      </c>
      <c r="U88" s="34">
        <f t="shared" si="18"/>
        <v>89952.5</v>
      </c>
      <c r="V88" s="36">
        <f t="shared" si="19"/>
        <v>0.12795897435897435</v>
      </c>
      <c r="W88" s="36">
        <f t="shared" si="20"/>
        <v>9.2258974358974358E-2</v>
      </c>
    </row>
    <row r="89" spans="1:23" x14ac:dyDescent="0.35">
      <c r="A89" s="18" t="s">
        <v>163</v>
      </c>
      <c r="B89" s="22" t="s">
        <v>177</v>
      </c>
      <c r="C89" s="23">
        <v>612</v>
      </c>
      <c r="D89" s="23">
        <v>574</v>
      </c>
      <c r="E89" s="24">
        <f t="shared" si="14"/>
        <v>1186</v>
      </c>
      <c r="F89" s="25">
        <v>780000</v>
      </c>
      <c r="G89" s="25">
        <f>F89*Parámetros!$B$12</f>
        <v>78000</v>
      </c>
      <c r="H89" s="25">
        <v>12000</v>
      </c>
      <c r="I89" s="26">
        <v>975000</v>
      </c>
      <c r="J89" s="25">
        <f>I89*(1+Parámetros!$B$10)</f>
        <v>1160250</v>
      </c>
      <c r="K89" s="25">
        <f>E89/Parámetros!$B$4*Parámetros!$B$5</f>
        <v>616720</v>
      </c>
      <c r="L89" s="25">
        <f>Parámetros!$B$6</f>
        <v>50000</v>
      </c>
      <c r="M89" s="27">
        <v>155600</v>
      </c>
      <c r="N89" s="25">
        <f>J89*Parámetros!$B$9</f>
        <v>34807.5</v>
      </c>
      <c r="O89" s="25">
        <f>Parámetros!$B$8</f>
        <v>30000</v>
      </c>
      <c r="P89" s="28"/>
      <c r="Q89" s="25">
        <f>IF(P89="",0,P89*Parámetros!$B$11)</f>
        <v>0</v>
      </c>
      <c r="R89" s="29">
        <f t="shared" si="15"/>
        <v>887127.5</v>
      </c>
      <c r="S89" s="25">
        <f t="shared" si="16"/>
        <v>747.99957841483979</v>
      </c>
      <c r="T89" s="25">
        <f t="shared" si="17"/>
        <v>822.09106239460368</v>
      </c>
      <c r="U89" s="25">
        <f t="shared" si="18"/>
        <v>87872.5</v>
      </c>
      <c r="V89" s="30">
        <f t="shared" si="19"/>
        <v>0.12582564102564103</v>
      </c>
      <c r="W89" s="30">
        <f t="shared" si="20"/>
        <v>9.0125641025641023E-2</v>
      </c>
    </row>
    <row r="90" spans="1:23" x14ac:dyDescent="0.35">
      <c r="A90" s="15" t="s">
        <v>163</v>
      </c>
      <c r="B90" s="31" t="s">
        <v>178</v>
      </c>
      <c r="C90" s="32">
        <v>620</v>
      </c>
      <c r="D90" s="32">
        <v>582</v>
      </c>
      <c r="E90" s="33">
        <f t="shared" si="14"/>
        <v>1202</v>
      </c>
      <c r="F90" s="34">
        <v>710000</v>
      </c>
      <c r="G90" s="34">
        <f>F90*Parámetros!$B$12</f>
        <v>71000</v>
      </c>
      <c r="H90" s="34">
        <v>12000</v>
      </c>
      <c r="I90" s="26">
        <v>887500</v>
      </c>
      <c r="J90" s="34">
        <f>I90*(1+Parámetros!$B$10)</f>
        <v>1056125</v>
      </c>
      <c r="K90" s="34">
        <f>E90/Parámetros!$B$4*Parámetros!$B$5</f>
        <v>625040</v>
      </c>
      <c r="L90" s="34">
        <f>Parámetros!$B$6</f>
        <v>50000</v>
      </c>
      <c r="M90" s="27">
        <v>155600</v>
      </c>
      <c r="N90" s="34">
        <f>J90*Parámetros!$B$9</f>
        <v>31683.75</v>
      </c>
      <c r="O90" s="34">
        <f>Parámetros!$B$8</f>
        <v>30000</v>
      </c>
      <c r="P90" s="28"/>
      <c r="Q90" s="34">
        <f>IF(P90="",0,P90*Parámetros!$B$11)</f>
        <v>0</v>
      </c>
      <c r="R90" s="35">
        <f t="shared" si="15"/>
        <v>892323.75</v>
      </c>
      <c r="S90" s="34">
        <f t="shared" si="16"/>
        <v>742.36584858569051</v>
      </c>
      <c r="T90" s="34">
        <f t="shared" si="17"/>
        <v>738.35274542429283</v>
      </c>
      <c r="U90" s="34">
        <f t="shared" si="18"/>
        <v>-4823.75</v>
      </c>
      <c r="V90" s="36">
        <f t="shared" si="19"/>
        <v>3.0264788732394365E-2</v>
      </c>
      <c r="W90" s="36">
        <f t="shared" si="20"/>
        <v>-5.4352112676056335E-3</v>
      </c>
    </row>
    <row r="91" spans="1:23" x14ac:dyDescent="0.35">
      <c r="A91" s="18" t="s">
        <v>163</v>
      </c>
      <c r="B91" s="22" t="s">
        <v>179</v>
      </c>
      <c r="C91" s="23">
        <v>641</v>
      </c>
      <c r="D91" s="23">
        <v>598</v>
      </c>
      <c r="E91" s="24">
        <f t="shared" si="14"/>
        <v>1239</v>
      </c>
      <c r="F91" s="25">
        <v>810000</v>
      </c>
      <c r="G91" s="25">
        <f>F91*Parámetros!$B$12</f>
        <v>81000</v>
      </c>
      <c r="H91" s="25">
        <v>12000</v>
      </c>
      <c r="I91" s="26">
        <v>1012500</v>
      </c>
      <c r="J91" s="25">
        <f>I91*(1+Parámetros!$B$10)</f>
        <v>1204875</v>
      </c>
      <c r="K91" s="25">
        <f>E91/Parámetros!$B$4*Parámetros!$B$5</f>
        <v>644280</v>
      </c>
      <c r="L91" s="25">
        <f>Parámetros!$B$6</f>
        <v>50000</v>
      </c>
      <c r="M91" s="27">
        <v>155600</v>
      </c>
      <c r="N91" s="25">
        <f>J91*Parámetros!$B$9</f>
        <v>36146.25</v>
      </c>
      <c r="O91" s="25">
        <f>Parámetros!$B$8</f>
        <v>30000</v>
      </c>
      <c r="P91" s="28"/>
      <c r="Q91" s="25">
        <f>IF(P91="",0,P91*Parámetros!$B$11)</f>
        <v>0</v>
      </c>
      <c r="R91" s="29">
        <f t="shared" si="15"/>
        <v>916026.25</v>
      </c>
      <c r="S91" s="25">
        <f t="shared" si="16"/>
        <v>739.32707828894274</v>
      </c>
      <c r="T91" s="25">
        <f t="shared" si="17"/>
        <v>817.19128329297826</v>
      </c>
      <c r="U91" s="25">
        <f t="shared" si="18"/>
        <v>96473.75</v>
      </c>
      <c r="V91" s="30">
        <f t="shared" si="19"/>
        <v>0.13098271604938272</v>
      </c>
      <c r="W91" s="30">
        <f t="shared" si="20"/>
        <v>9.528271604938271E-2</v>
      </c>
    </row>
    <row r="92" spans="1:23" x14ac:dyDescent="0.35">
      <c r="A92" s="15" t="s">
        <v>163</v>
      </c>
      <c r="B92" s="31" t="s">
        <v>180</v>
      </c>
      <c r="C92" s="32">
        <v>651</v>
      </c>
      <c r="D92" s="32">
        <v>613</v>
      </c>
      <c r="E92" s="33">
        <f t="shared" si="14"/>
        <v>1264</v>
      </c>
      <c r="F92" s="34">
        <v>790000</v>
      </c>
      <c r="G92" s="34">
        <f>F92*Parámetros!$B$12</f>
        <v>79000</v>
      </c>
      <c r="H92" s="34">
        <v>12000</v>
      </c>
      <c r="I92" s="26">
        <v>987500</v>
      </c>
      <c r="J92" s="34">
        <f>I92*(1+Parámetros!$B$10)</f>
        <v>1175125</v>
      </c>
      <c r="K92" s="34">
        <f>E92/Parámetros!$B$4*Parámetros!$B$5</f>
        <v>657280</v>
      </c>
      <c r="L92" s="34">
        <f>Parámetros!$B$6</f>
        <v>50000</v>
      </c>
      <c r="M92" s="27">
        <v>155600</v>
      </c>
      <c r="N92" s="34">
        <f>J92*Parámetros!$B$9</f>
        <v>35253.75</v>
      </c>
      <c r="O92" s="34">
        <f>Parámetros!$B$8</f>
        <v>30000</v>
      </c>
      <c r="P92" s="28"/>
      <c r="Q92" s="34">
        <f>IF(P92="",0,P92*Parámetros!$B$11)</f>
        <v>0</v>
      </c>
      <c r="R92" s="35">
        <f t="shared" si="15"/>
        <v>928133.75</v>
      </c>
      <c r="S92" s="34">
        <f t="shared" si="16"/>
        <v>734.28303006329111</v>
      </c>
      <c r="T92" s="34">
        <f t="shared" si="17"/>
        <v>781.25</v>
      </c>
      <c r="U92" s="34">
        <f t="shared" si="18"/>
        <v>59366.25</v>
      </c>
      <c r="V92" s="36">
        <f t="shared" si="19"/>
        <v>9.5817721518987348E-2</v>
      </c>
      <c r="W92" s="36">
        <f t="shared" si="20"/>
        <v>6.0117721518987345E-2</v>
      </c>
    </row>
    <row r="93" spans="1:23" x14ac:dyDescent="0.35">
      <c r="A93" s="18" t="s">
        <v>163</v>
      </c>
      <c r="B93" s="22" t="s">
        <v>181</v>
      </c>
      <c r="C93" s="23">
        <v>653</v>
      </c>
      <c r="D93" s="23">
        <v>615</v>
      </c>
      <c r="E93" s="24">
        <f t="shared" si="14"/>
        <v>1268</v>
      </c>
      <c r="F93" s="25">
        <v>830000</v>
      </c>
      <c r="G93" s="25">
        <f>F93*Parámetros!$B$12</f>
        <v>83000</v>
      </c>
      <c r="H93" s="25">
        <v>12000</v>
      </c>
      <c r="I93" s="26">
        <v>1037500</v>
      </c>
      <c r="J93" s="25">
        <f>I93*(1+Parámetros!$B$10)</f>
        <v>1234625</v>
      </c>
      <c r="K93" s="25">
        <f>E93/Parámetros!$B$4*Parámetros!$B$5</f>
        <v>659360</v>
      </c>
      <c r="L93" s="25">
        <f>Parámetros!$B$6</f>
        <v>50000</v>
      </c>
      <c r="M93" s="27">
        <v>155600</v>
      </c>
      <c r="N93" s="25">
        <f>J93*Parámetros!$B$9</f>
        <v>37038.75</v>
      </c>
      <c r="O93" s="25">
        <f>Parámetros!$B$8</f>
        <v>30000</v>
      </c>
      <c r="P93" s="28"/>
      <c r="Q93" s="25">
        <f>IF(P93="",0,P93*Parámetros!$B$11)</f>
        <v>0</v>
      </c>
      <c r="R93" s="29">
        <f t="shared" si="15"/>
        <v>931998.75</v>
      </c>
      <c r="S93" s="25">
        <f t="shared" si="16"/>
        <v>735.01478706624607</v>
      </c>
      <c r="T93" s="25">
        <f t="shared" si="17"/>
        <v>818.21766561514198</v>
      </c>
      <c r="U93" s="25">
        <f t="shared" si="18"/>
        <v>105501.25</v>
      </c>
      <c r="V93" s="30">
        <f t="shared" si="19"/>
        <v>0.1373879518072289</v>
      </c>
      <c r="W93" s="30">
        <f t="shared" si="20"/>
        <v>0.10168795180722892</v>
      </c>
    </row>
    <row r="94" spans="1:23" x14ac:dyDescent="0.35">
      <c r="A94" s="15" t="s">
        <v>163</v>
      </c>
      <c r="B94" s="31" t="s">
        <v>182</v>
      </c>
      <c r="C94" s="32">
        <v>665</v>
      </c>
      <c r="D94" s="32">
        <v>626</v>
      </c>
      <c r="E94" s="33">
        <f t="shared" si="14"/>
        <v>1291</v>
      </c>
      <c r="F94" s="34">
        <v>855000</v>
      </c>
      <c r="G94" s="34">
        <f>F94*Parámetros!$B$12</f>
        <v>85500</v>
      </c>
      <c r="H94" s="34">
        <v>12000</v>
      </c>
      <c r="I94" s="26">
        <v>1068750</v>
      </c>
      <c r="J94" s="34">
        <f>I94*(1+Parámetros!$B$10)</f>
        <v>1271812.5</v>
      </c>
      <c r="K94" s="34">
        <f>E94/Parámetros!$B$4*Parámetros!$B$5</f>
        <v>671320</v>
      </c>
      <c r="L94" s="34">
        <f>Parámetros!$B$6</f>
        <v>50000</v>
      </c>
      <c r="M94" s="27">
        <v>155600</v>
      </c>
      <c r="N94" s="34">
        <f>J94*Parámetros!$B$9</f>
        <v>38154.375</v>
      </c>
      <c r="O94" s="34">
        <f>Parámetros!$B$8</f>
        <v>30000</v>
      </c>
      <c r="P94" s="28"/>
      <c r="Q94" s="34">
        <f>IF(P94="",0,P94*Parámetros!$B$11)</f>
        <v>0</v>
      </c>
      <c r="R94" s="35">
        <f t="shared" si="15"/>
        <v>945074.375</v>
      </c>
      <c r="S94" s="34">
        <f t="shared" si="16"/>
        <v>732.04831525948873</v>
      </c>
      <c r="T94" s="34">
        <f t="shared" si="17"/>
        <v>827.84663051897758</v>
      </c>
      <c r="U94" s="34">
        <f t="shared" si="18"/>
        <v>123675.625</v>
      </c>
      <c r="V94" s="36">
        <f t="shared" si="19"/>
        <v>0.15141988304093568</v>
      </c>
      <c r="W94" s="36">
        <f t="shared" si="20"/>
        <v>0.11571988304093567</v>
      </c>
    </row>
    <row r="95" spans="1:23" x14ac:dyDescent="0.35">
      <c r="A95" s="18" t="s">
        <v>163</v>
      </c>
      <c r="B95" s="22" t="s">
        <v>183</v>
      </c>
      <c r="C95" s="23">
        <v>774</v>
      </c>
      <c r="D95" s="23">
        <v>703</v>
      </c>
      <c r="E95" s="24">
        <f t="shared" si="14"/>
        <v>1477</v>
      </c>
      <c r="F95" s="25">
        <v>950000</v>
      </c>
      <c r="G95" s="25">
        <f>F95*Parámetros!$B$12</f>
        <v>95000</v>
      </c>
      <c r="H95" s="25">
        <v>12000</v>
      </c>
      <c r="I95" s="26">
        <v>1187500</v>
      </c>
      <c r="J95" s="25">
        <f>I95*(1+Parámetros!$B$10)</f>
        <v>1413125</v>
      </c>
      <c r="K95" s="25">
        <f>E95/Parámetros!$B$4*Parámetros!$B$5</f>
        <v>768039.99999999988</v>
      </c>
      <c r="L95" s="25">
        <f>Parámetros!$B$6</f>
        <v>50000</v>
      </c>
      <c r="M95" s="27">
        <v>155600</v>
      </c>
      <c r="N95" s="25">
        <f>J95*Parámetros!$B$9</f>
        <v>42393.75</v>
      </c>
      <c r="O95" s="25">
        <f>Parámetros!$B$8</f>
        <v>30000</v>
      </c>
      <c r="P95" s="28"/>
      <c r="Q95" s="25">
        <f>IF(P95="",0,P95*Parámetros!$B$11)</f>
        <v>0</v>
      </c>
      <c r="R95" s="29">
        <f t="shared" si="15"/>
        <v>1046033.7499999999</v>
      </c>
      <c r="S95" s="25">
        <f t="shared" si="16"/>
        <v>708.2151320243737</v>
      </c>
      <c r="T95" s="25">
        <f t="shared" si="17"/>
        <v>803.99458361543668</v>
      </c>
      <c r="U95" s="25">
        <f t="shared" si="18"/>
        <v>141466.25000000012</v>
      </c>
      <c r="V95" s="30">
        <f t="shared" si="19"/>
        <v>0.15482947368421063</v>
      </c>
      <c r="W95" s="30">
        <f t="shared" si="20"/>
        <v>0.11912947368421062</v>
      </c>
    </row>
  </sheetData>
  <mergeCells count="23">
    <mergeCell ref="W3:W4"/>
    <mergeCell ref="H3:H4"/>
    <mergeCell ref="R3:R4"/>
    <mergeCell ref="S3:S4"/>
    <mergeCell ref="T3:T4"/>
    <mergeCell ref="U3:U4"/>
    <mergeCell ref="V3:V4"/>
    <mergeCell ref="A1:W1"/>
    <mergeCell ref="A2:W2"/>
    <mergeCell ref="A3:A4"/>
    <mergeCell ref="B3:B4"/>
    <mergeCell ref="C3:E3"/>
    <mergeCell ref="F3:F4"/>
    <mergeCell ref="G3:G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Parámetros</vt:lpstr>
      <vt:lpstr>Peajes Referencia</vt:lpstr>
      <vt:lpstr>RM</vt:lpstr>
      <vt:lpstr>V Valparaíso</vt:lpstr>
      <vt:lpstr>VI O'Higgins</vt:lpstr>
      <vt:lpstr>VII Maule</vt:lpstr>
      <vt:lpstr>XVI Ñuble – VIII BioBío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Torres</cp:lastModifiedBy>
  <cp:revision>0</cp:revision>
  <dcterms:created xsi:type="dcterms:W3CDTF">2026-04-25T22:52:33Z</dcterms:created>
  <dcterms:modified xsi:type="dcterms:W3CDTF">2026-04-26T00:12:35Z</dcterms:modified>
  <dc:language>en-US</dc:language>
</cp:coreProperties>
</file>