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645F492D-4CA9-436B-AA4B-6666CCEF3DA4}" xr6:coauthVersionLast="47" xr6:coauthVersionMax="47" xr10:uidLastSave="{00000000-0000-0000-0000-000000000000}"/>
  <bookViews>
    <workbookView xWindow="-110" yWindow="-110" windowWidth="19420" windowHeight="10300" xr2:uid="{048A7BEB-E76F-4AB5-87A9-AF45F0EAA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8" i="1" l="1"/>
  <c r="P108" i="1" s="1"/>
  <c r="L108" i="1"/>
  <c r="I108" i="1"/>
  <c r="O107" i="1"/>
  <c r="P107" i="1" s="1"/>
  <c r="L107" i="1"/>
  <c r="I107" i="1"/>
  <c r="O106" i="1"/>
  <c r="P106" i="1" s="1"/>
  <c r="L106" i="1"/>
  <c r="I106" i="1"/>
  <c r="O105" i="1"/>
  <c r="P105" i="1" s="1"/>
  <c r="L105" i="1"/>
  <c r="I105" i="1"/>
  <c r="O104" i="1"/>
  <c r="P104" i="1" s="1"/>
  <c r="L104" i="1"/>
  <c r="I104" i="1"/>
  <c r="O103" i="1"/>
  <c r="P103" i="1" s="1"/>
  <c r="L103" i="1"/>
  <c r="I103" i="1"/>
  <c r="O102" i="1"/>
  <c r="P102" i="1" s="1"/>
  <c r="L102" i="1"/>
  <c r="I102" i="1"/>
  <c r="O101" i="1"/>
  <c r="P101" i="1" s="1"/>
  <c r="L101" i="1"/>
  <c r="I101" i="1"/>
  <c r="O100" i="1"/>
  <c r="P100" i="1" s="1"/>
  <c r="L100" i="1"/>
  <c r="I100" i="1"/>
  <c r="O99" i="1"/>
  <c r="P99" i="1" s="1"/>
  <c r="L99" i="1"/>
  <c r="I99" i="1"/>
  <c r="O98" i="1"/>
  <c r="P98" i="1" s="1"/>
  <c r="L98" i="1"/>
  <c r="I98" i="1"/>
  <c r="O97" i="1"/>
  <c r="P97" i="1" s="1"/>
  <c r="L97" i="1"/>
  <c r="I97" i="1"/>
  <c r="O96" i="1"/>
  <c r="P96" i="1" s="1"/>
  <c r="L96" i="1"/>
  <c r="I96" i="1"/>
  <c r="O95" i="1"/>
  <c r="P95" i="1" s="1"/>
  <c r="L95" i="1"/>
  <c r="I95" i="1"/>
  <c r="O94" i="1"/>
  <c r="P94" i="1" s="1"/>
  <c r="L94" i="1"/>
  <c r="I94" i="1"/>
  <c r="O93" i="1"/>
  <c r="P93" i="1" s="1"/>
  <c r="L93" i="1"/>
  <c r="I93" i="1"/>
  <c r="O92" i="1"/>
  <c r="P92" i="1" s="1"/>
  <c r="L92" i="1"/>
  <c r="I92" i="1"/>
  <c r="O91" i="1"/>
  <c r="P91" i="1" s="1"/>
  <c r="L91" i="1"/>
  <c r="I91" i="1"/>
  <c r="O90" i="1"/>
  <c r="P90" i="1" s="1"/>
  <c r="L90" i="1"/>
  <c r="I90" i="1"/>
  <c r="O89" i="1"/>
  <c r="P89" i="1" s="1"/>
  <c r="L89" i="1"/>
  <c r="I89" i="1"/>
  <c r="O88" i="1"/>
  <c r="P88" i="1" s="1"/>
  <c r="L88" i="1"/>
  <c r="I88" i="1"/>
  <c r="O87" i="1"/>
  <c r="P87" i="1" s="1"/>
  <c r="L87" i="1"/>
  <c r="I87" i="1"/>
  <c r="O85" i="1"/>
  <c r="P85" i="1" s="1"/>
  <c r="L85" i="1"/>
  <c r="I85" i="1"/>
  <c r="J85" i="1" s="1"/>
  <c r="O84" i="1"/>
  <c r="P84" i="1" s="1"/>
  <c r="L84" i="1"/>
  <c r="I84" i="1"/>
  <c r="J84" i="1" s="1"/>
  <c r="O83" i="1"/>
  <c r="P83" i="1" s="1"/>
  <c r="L83" i="1"/>
  <c r="I83" i="1"/>
  <c r="J83" i="1" s="1"/>
  <c r="O82" i="1"/>
  <c r="P82" i="1" s="1"/>
  <c r="L82" i="1"/>
  <c r="I82" i="1"/>
  <c r="J82" i="1" s="1"/>
  <c r="O81" i="1"/>
  <c r="P81" i="1" s="1"/>
  <c r="L81" i="1"/>
  <c r="I81" i="1"/>
  <c r="J81" i="1" s="1"/>
  <c r="O80" i="1"/>
  <c r="P80" i="1" s="1"/>
  <c r="L80" i="1"/>
  <c r="I80" i="1"/>
  <c r="J80" i="1" s="1"/>
  <c r="O79" i="1"/>
  <c r="P79" i="1" s="1"/>
  <c r="L79" i="1"/>
  <c r="I79" i="1"/>
  <c r="J79" i="1" s="1"/>
  <c r="O78" i="1"/>
  <c r="P78" i="1" s="1"/>
  <c r="L78" i="1"/>
  <c r="I78" i="1"/>
  <c r="J78" i="1" s="1"/>
  <c r="O77" i="1"/>
  <c r="P77" i="1" s="1"/>
  <c r="L77" i="1"/>
  <c r="I77" i="1"/>
  <c r="J77" i="1" s="1"/>
  <c r="O76" i="1"/>
  <c r="P76" i="1" s="1"/>
  <c r="L76" i="1"/>
  <c r="I76" i="1"/>
  <c r="J76" i="1" s="1"/>
  <c r="O75" i="1"/>
  <c r="P75" i="1" s="1"/>
  <c r="L75" i="1"/>
  <c r="I75" i="1"/>
  <c r="J75" i="1" s="1"/>
  <c r="O74" i="1"/>
  <c r="P74" i="1" s="1"/>
  <c r="L74" i="1"/>
  <c r="I74" i="1"/>
  <c r="J74" i="1" s="1"/>
  <c r="O73" i="1"/>
  <c r="P73" i="1" s="1"/>
  <c r="L73" i="1"/>
  <c r="I73" i="1"/>
  <c r="J73" i="1" s="1"/>
  <c r="O72" i="1"/>
  <c r="P72" i="1" s="1"/>
  <c r="L72" i="1"/>
  <c r="I72" i="1"/>
  <c r="J72" i="1" s="1"/>
  <c r="O71" i="1"/>
  <c r="P71" i="1" s="1"/>
  <c r="L71" i="1"/>
  <c r="I71" i="1"/>
  <c r="J71" i="1" s="1"/>
  <c r="O70" i="1"/>
  <c r="P70" i="1" s="1"/>
  <c r="L70" i="1"/>
  <c r="I70" i="1"/>
  <c r="J70" i="1" s="1"/>
  <c r="O69" i="1"/>
  <c r="P69" i="1" s="1"/>
  <c r="L69" i="1"/>
  <c r="I69" i="1"/>
  <c r="J69" i="1" s="1"/>
  <c r="O68" i="1"/>
  <c r="P68" i="1" s="1"/>
  <c r="L68" i="1"/>
  <c r="I68" i="1"/>
  <c r="J68" i="1" s="1"/>
  <c r="O67" i="1"/>
  <c r="P67" i="1" s="1"/>
  <c r="L67" i="1"/>
  <c r="I67" i="1"/>
  <c r="J67" i="1" s="1"/>
  <c r="O66" i="1"/>
  <c r="P66" i="1" s="1"/>
  <c r="L66" i="1"/>
  <c r="I66" i="1"/>
  <c r="J66" i="1" s="1"/>
  <c r="O65" i="1"/>
  <c r="P65" i="1" s="1"/>
  <c r="L65" i="1"/>
  <c r="I65" i="1"/>
  <c r="J65" i="1" s="1"/>
  <c r="O64" i="1"/>
  <c r="P64" i="1" s="1"/>
  <c r="L64" i="1"/>
  <c r="I64" i="1"/>
  <c r="J64" i="1" s="1"/>
  <c r="O63" i="1"/>
  <c r="P63" i="1" s="1"/>
  <c r="L63" i="1"/>
  <c r="I63" i="1"/>
  <c r="J63" i="1" s="1"/>
  <c r="O62" i="1"/>
  <c r="P62" i="1" s="1"/>
  <c r="L62" i="1"/>
  <c r="I62" i="1"/>
  <c r="J62" i="1" s="1"/>
  <c r="O61" i="1"/>
  <c r="P61" i="1" s="1"/>
  <c r="L61" i="1"/>
  <c r="I61" i="1"/>
  <c r="J61" i="1" s="1"/>
  <c r="O59" i="1"/>
  <c r="P59" i="1" s="1"/>
  <c r="L59" i="1"/>
  <c r="I59" i="1"/>
  <c r="O58" i="1"/>
  <c r="P58" i="1" s="1"/>
  <c r="L58" i="1"/>
  <c r="I58" i="1"/>
  <c r="O57" i="1"/>
  <c r="P57" i="1" s="1"/>
  <c r="L57" i="1"/>
  <c r="I57" i="1"/>
  <c r="O56" i="1"/>
  <c r="P56" i="1" s="1"/>
  <c r="L56" i="1"/>
  <c r="I56" i="1"/>
  <c r="O55" i="1"/>
  <c r="P55" i="1" s="1"/>
  <c r="L55" i="1"/>
  <c r="I55" i="1"/>
  <c r="O54" i="1"/>
  <c r="P54" i="1" s="1"/>
  <c r="L54" i="1"/>
  <c r="I54" i="1"/>
  <c r="O53" i="1"/>
  <c r="P53" i="1" s="1"/>
  <c r="L53" i="1"/>
  <c r="I53" i="1"/>
  <c r="O52" i="1"/>
  <c r="P52" i="1" s="1"/>
  <c r="L52" i="1"/>
  <c r="I52" i="1"/>
  <c r="O51" i="1"/>
  <c r="P51" i="1" s="1"/>
  <c r="L51" i="1"/>
  <c r="I51" i="1"/>
  <c r="O50" i="1"/>
  <c r="P50" i="1" s="1"/>
  <c r="L50" i="1"/>
  <c r="I50" i="1"/>
  <c r="O49" i="1"/>
  <c r="P49" i="1" s="1"/>
  <c r="L49" i="1"/>
  <c r="I49" i="1"/>
  <c r="O48" i="1"/>
  <c r="P48" i="1" s="1"/>
  <c r="L48" i="1"/>
  <c r="I48" i="1"/>
  <c r="O47" i="1"/>
  <c r="P47" i="1" s="1"/>
  <c r="L47" i="1"/>
  <c r="I47" i="1"/>
  <c r="O46" i="1"/>
  <c r="P46" i="1" s="1"/>
  <c r="L46" i="1"/>
  <c r="I46" i="1"/>
  <c r="O45" i="1"/>
  <c r="P45" i="1" s="1"/>
  <c r="L45" i="1"/>
  <c r="I45" i="1"/>
  <c r="O44" i="1"/>
  <c r="P44" i="1" s="1"/>
  <c r="L44" i="1"/>
  <c r="I44" i="1"/>
  <c r="O43" i="1"/>
  <c r="P43" i="1" s="1"/>
  <c r="L43" i="1"/>
  <c r="I43" i="1"/>
  <c r="O42" i="1"/>
  <c r="P42" i="1" s="1"/>
  <c r="L42" i="1"/>
  <c r="I42" i="1"/>
  <c r="O40" i="1"/>
  <c r="P40" i="1" s="1"/>
  <c r="L40" i="1"/>
  <c r="I40" i="1"/>
  <c r="O39" i="1"/>
  <c r="P39" i="1" s="1"/>
  <c r="L39" i="1"/>
  <c r="I39" i="1"/>
  <c r="O38" i="1"/>
  <c r="P38" i="1" s="1"/>
  <c r="L38" i="1"/>
  <c r="I38" i="1"/>
  <c r="O37" i="1"/>
  <c r="P37" i="1" s="1"/>
  <c r="L37" i="1"/>
  <c r="I37" i="1"/>
  <c r="O36" i="1"/>
  <c r="P36" i="1" s="1"/>
  <c r="L36" i="1"/>
  <c r="I36" i="1"/>
  <c r="O35" i="1"/>
  <c r="P35" i="1" s="1"/>
  <c r="L35" i="1"/>
  <c r="I35" i="1"/>
  <c r="O34" i="1"/>
  <c r="P34" i="1" s="1"/>
  <c r="L34" i="1"/>
  <c r="I34" i="1"/>
  <c r="O33" i="1"/>
  <c r="P33" i="1" s="1"/>
  <c r="L33" i="1"/>
  <c r="I33" i="1"/>
  <c r="O32" i="1"/>
  <c r="P32" i="1" s="1"/>
  <c r="L32" i="1"/>
  <c r="I32" i="1"/>
  <c r="O31" i="1"/>
  <c r="P31" i="1" s="1"/>
  <c r="L31" i="1"/>
  <c r="I31" i="1"/>
  <c r="O30" i="1"/>
  <c r="P30" i="1" s="1"/>
  <c r="L30" i="1"/>
  <c r="I30" i="1"/>
  <c r="O29" i="1"/>
  <c r="P29" i="1" s="1"/>
  <c r="L29" i="1"/>
  <c r="I29" i="1"/>
  <c r="O28" i="1"/>
  <c r="P28" i="1" s="1"/>
  <c r="L28" i="1"/>
  <c r="I28" i="1"/>
  <c r="O27" i="1"/>
  <c r="P27" i="1" s="1"/>
  <c r="L27" i="1"/>
  <c r="I27" i="1"/>
  <c r="O26" i="1"/>
  <c r="P26" i="1" s="1"/>
  <c r="L26" i="1"/>
  <c r="I26" i="1"/>
  <c r="O25" i="1"/>
  <c r="P25" i="1" s="1"/>
  <c r="L25" i="1"/>
  <c r="I25" i="1"/>
  <c r="O24" i="1"/>
  <c r="P24" i="1" s="1"/>
  <c r="L24" i="1"/>
  <c r="I24" i="1"/>
  <c r="O23" i="1"/>
  <c r="P23" i="1" s="1"/>
  <c r="L23" i="1"/>
  <c r="I23" i="1"/>
  <c r="O22" i="1"/>
  <c r="P22" i="1" s="1"/>
  <c r="L22" i="1"/>
  <c r="I22" i="1"/>
  <c r="O20" i="1"/>
  <c r="P20" i="1" s="1"/>
  <c r="L20" i="1"/>
  <c r="I20" i="1"/>
  <c r="O19" i="1"/>
  <c r="P19" i="1" s="1"/>
  <c r="L19" i="1"/>
  <c r="I19" i="1"/>
  <c r="O18" i="1"/>
  <c r="P18" i="1" s="1"/>
  <c r="L18" i="1"/>
  <c r="I18" i="1"/>
  <c r="O17" i="1"/>
  <c r="P17" i="1" s="1"/>
  <c r="L17" i="1"/>
  <c r="I17" i="1"/>
  <c r="O16" i="1"/>
  <c r="P16" i="1" s="1"/>
  <c r="L16" i="1"/>
  <c r="I16" i="1"/>
  <c r="O15" i="1"/>
  <c r="P15" i="1" s="1"/>
  <c r="L15" i="1"/>
  <c r="I15" i="1"/>
  <c r="O14" i="1"/>
  <c r="P14" i="1" s="1"/>
  <c r="L14" i="1"/>
  <c r="I14" i="1"/>
  <c r="O13" i="1"/>
  <c r="P13" i="1" s="1"/>
  <c r="L13" i="1"/>
  <c r="I13" i="1"/>
  <c r="O12" i="1"/>
  <c r="P12" i="1" s="1"/>
  <c r="L12" i="1"/>
  <c r="I12" i="1"/>
  <c r="O10" i="1"/>
  <c r="P10" i="1" s="1"/>
  <c r="L10" i="1"/>
  <c r="I10" i="1"/>
  <c r="O9" i="1"/>
  <c r="P9" i="1" s="1"/>
  <c r="L9" i="1"/>
  <c r="I9" i="1"/>
  <c r="M108" i="1" l="1"/>
  <c r="N108" i="1" s="1"/>
  <c r="J108" i="1"/>
  <c r="J107" i="1"/>
  <c r="M107" i="1"/>
  <c r="N107" i="1" s="1"/>
  <c r="M106" i="1"/>
  <c r="N106" i="1" s="1"/>
  <c r="J106" i="1"/>
  <c r="M105" i="1"/>
  <c r="N105" i="1" s="1"/>
  <c r="J105" i="1"/>
  <c r="M104" i="1"/>
  <c r="N104" i="1" s="1"/>
  <c r="J104" i="1"/>
  <c r="M103" i="1"/>
  <c r="N103" i="1" s="1"/>
  <c r="J103" i="1"/>
  <c r="J102" i="1"/>
  <c r="M102" i="1"/>
  <c r="N102" i="1" s="1"/>
  <c r="J101" i="1"/>
  <c r="M101" i="1"/>
  <c r="N101" i="1" s="1"/>
  <c r="J100" i="1"/>
  <c r="M100" i="1"/>
  <c r="N100" i="1" s="1"/>
  <c r="M99" i="1"/>
  <c r="N99" i="1" s="1"/>
  <c r="J99" i="1"/>
  <c r="J98" i="1"/>
  <c r="M98" i="1"/>
  <c r="N98" i="1" s="1"/>
  <c r="M97" i="1"/>
  <c r="N97" i="1" s="1"/>
  <c r="J97" i="1"/>
  <c r="M96" i="1"/>
  <c r="N96" i="1" s="1"/>
  <c r="J96" i="1"/>
  <c r="M95" i="1"/>
  <c r="N95" i="1" s="1"/>
  <c r="J95" i="1"/>
  <c r="M94" i="1"/>
  <c r="N94" i="1" s="1"/>
  <c r="J94" i="1"/>
  <c r="M93" i="1"/>
  <c r="N93" i="1" s="1"/>
  <c r="J93" i="1"/>
  <c r="J92" i="1"/>
  <c r="M92" i="1"/>
  <c r="N92" i="1" s="1"/>
  <c r="J91" i="1"/>
  <c r="M91" i="1"/>
  <c r="N91" i="1" s="1"/>
  <c r="M90" i="1"/>
  <c r="N90" i="1" s="1"/>
  <c r="J90" i="1"/>
  <c r="M89" i="1"/>
  <c r="N89" i="1" s="1"/>
  <c r="J89" i="1"/>
  <c r="M88" i="1"/>
  <c r="N88" i="1" s="1"/>
  <c r="J88" i="1"/>
  <c r="M87" i="1"/>
  <c r="N87" i="1" s="1"/>
  <c r="J87" i="1"/>
  <c r="K85" i="1"/>
  <c r="S85" i="1"/>
  <c r="R85" i="1" s="1"/>
  <c r="K84" i="1"/>
  <c r="S84" i="1"/>
  <c r="R84" i="1" s="1"/>
  <c r="K83" i="1"/>
  <c r="S83" i="1"/>
  <c r="R83" i="1" s="1"/>
  <c r="K82" i="1"/>
  <c r="S82" i="1"/>
  <c r="R82" i="1" s="1"/>
  <c r="K81" i="1"/>
  <c r="S81" i="1"/>
  <c r="R81" i="1" s="1"/>
  <c r="K80" i="1"/>
  <c r="S80" i="1"/>
  <c r="R80" i="1" s="1"/>
  <c r="K79" i="1"/>
  <c r="S79" i="1"/>
  <c r="R79" i="1" s="1"/>
  <c r="K78" i="1"/>
  <c r="S78" i="1"/>
  <c r="R78" i="1" s="1"/>
  <c r="K77" i="1"/>
  <c r="S77" i="1"/>
  <c r="R77" i="1" s="1"/>
  <c r="K76" i="1"/>
  <c r="S76" i="1"/>
  <c r="R76" i="1" s="1"/>
  <c r="K75" i="1"/>
  <c r="S75" i="1"/>
  <c r="R75" i="1" s="1"/>
  <c r="K74" i="1"/>
  <c r="S74" i="1"/>
  <c r="R74" i="1" s="1"/>
  <c r="K73" i="1"/>
  <c r="S73" i="1"/>
  <c r="R73" i="1" s="1"/>
  <c r="K72" i="1"/>
  <c r="S72" i="1"/>
  <c r="R72" i="1" s="1"/>
  <c r="K71" i="1"/>
  <c r="S71" i="1"/>
  <c r="R71" i="1" s="1"/>
  <c r="K70" i="1"/>
  <c r="S70" i="1"/>
  <c r="R70" i="1" s="1"/>
  <c r="K69" i="1"/>
  <c r="S69" i="1"/>
  <c r="R69" i="1" s="1"/>
  <c r="K68" i="1"/>
  <c r="S68" i="1"/>
  <c r="R68" i="1" s="1"/>
  <c r="K67" i="1"/>
  <c r="S67" i="1"/>
  <c r="R67" i="1" s="1"/>
  <c r="K66" i="1"/>
  <c r="S66" i="1"/>
  <c r="R66" i="1" s="1"/>
  <c r="K65" i="1"/>
  <c r="S65" i="1"/>
  <c r="R65" i="1" s="1"/>
  <c r="K64" i="1"/>
  <c r="S64" i="1"/>
  <c r="R64" i="1" s="1"/>
  <c r="K63" i="1"/>
  <c r="S63" i="1"/>
  <c r="R63" i="1" s="1"/>
  <c r="K62" i="1"/>
  <c r="S62" i="1"/>
  <c r="R62" i="1" s="1"/>
  <c r="K61" i="1"/>
  <c r="S61" i="1"/>
  <c r="R61" i="1" s="1"/>
  <c r="J59" i="1"/>
  <c r="M59" i="1"/>
  <c r="N59" i="1" s="1"/>
  <c r="M58" i="1"/>
  <c r="N58" i="1" s="1"/>
  <c r="J58" i="1"/>
  <c r="M57" i="1"/>
  <c r="N57" i="1" s="1"/>
  <c r="J57" i="1"/>
  <c r="M56" i="1"/>
  <c r="N56" i="1" s="1"/>
  <c r="J56" i="1"/>
  <c r="J55" i="1"/>
  <c r="M55" i="1"/>
  <c r="N55" i="1" s="1"/>
  <c r="M54" i="1"/>
  <c r="N54" i="1" s="1"/>
  <c r="J54" i="1"/>
  <c r="J53" i="1"/>
  <c r="M53" i="1"/>
  <c r="N53" i="1" s="1"/>
  <c r="M52" i="1"/>
  <c r="N52" i="1" s="1"/>
  <c r="J52" i="1"/>
  <c r="M51" i="1"/>
  <c r="N51" i="1" s="1"/>
  <c r="J51" i="1"/>
  <c r="M50" i="1"/>
  <c r="N50" i="1" s="1"/>
  <c r="J50" i="1"/>
  <c r="J49" i="1"/>
  <c r="M49" i="1"/>
  <c r="N49" i="1" s="1"/>
  <c r="J48" i="1"/>
  <c r="M48" i="1"/>
  <c r="N48" i="1" s="1"/>
  <c r="M47" i="1"/>
  <c r="N47" i="1" s="1"/>
  <c r="J47" i="1"/>
  <c r="J46" i="1"/>
  <c r="M46" i="1"/>
  <c r="N46" i="1" s="1"/>
  <c r="J45" i="1"/>
  <c r="M45" i="1"/>
  <c r="N45" i="1" s="1"/>
  <c r="M44" i="1"/>
  <c r="N44" i="1" s="1"/>
  <c r="J44" i="1"/>
  <c r="J43" i="1"/>
  <c r="M43" i="1"/>
  <c r="N43" i="1" s="1"/>
  <c r="M42" i="1"/>
  <c r="N42" i="1" s="1"/>
  <c r="J42" i="1"/>
  <c r="M40" i="1"/>
  <c r="N40" i="1" s="1"/>
  <c r="J40" i="1"/>
  <c r="M39" i="1"/>
  <c r="N39" i="1" s="1"/>
  <c r="J39" i="1"/>
  <c r="M38" i="1"/>
  <c r="N38" i="1" s="1"/>
  <c r="J38" i="1"/>
  <c r="M37" i="1"/>
  <c r="N37" i="1" s="1"/>
  <c r="J37" i="1"/>
  <c r="M36" i="1"/>
  <c r="N36" i="1" s="1"/>
  <c r="J36" i="1"/>
  <c r="M35" i="1"/>
  <c r="N35" i="1" s="1"/>
  <c r="J35" i="1"/>
  <c r="M34" i="1"/>
  <c r="N34" i="1" s="1"/>
  <c r="J34" i="1"/>
  <c r="M33" i="1"/>
  <c r="N33" i="1" s="1"/>
  <c r="J33" i="1"/>
  <c r="M32" i="1"/>
  <c r="N32" i="1" s="1"/>
  <c r="J32" i="1"/>
  <c r="M31" i="1"/>
  <c r="N31" i="1" s="1"/>
  <c r="J31" i="1"/>
  <c r="M30" i="1"/>
  <c r="N30" i="1" s="1"/>
  <c r="J30" i="1"/>
  <c r="M29" i="1"/>
  <c r="N29" i="1" s="1"/>
  <c r="J29" i="1"/>
  <c r="M28" i="1"/>
  <c r="N28" i="1" s="1"/>
  <c r="J28" i="1"/>
  <c r="J27" i="1"/>
  <c r="M27" i="1"/>
  <c r="N27" i="1" s="1"/>
  <c r="J26" i="1"/>
  <c r="M26" i="1"/>
  <c r="N26" i="1" s="1"/>
  <c r="J25" i="1"/>
  <c r="M25" i="1"/>
  <c r="N25" i="1" s="1"/>
  <c r="J24" i="1"/>
  <c r="M24" i="1"/>
  <c r="N24" i="1" s="1"/>
  <c r="J23" i="1"/>
  <c r="M23" i="1"/>
  <c r="N23" i="1" s="1"/>
  <c r="M22" i="1"/>
  <c r="N22" i="1" s="1"/>
  <c r="J22" i="1"/>
  <c r="J20" i="1"/>
  <c r="M20" i="1"/>
  <c r="N20" i="1" s="1"/>
  <c r="M19" i="1"/>
  <c r="N19" i="1" s="1"/>
  <c r="J19" i="1"/>
  <c r="M18" i="1"/>
  <c r="N18" i="1" s="1"/>
  <c r="J18" i="1"/>
  <c r="M17" i="1"/>
  <c r="N17" i="1" s="1"/>
  <c r="J17" i="1"/>
  <c r="M16" i="1"/>
  <c r="N16" i="1" s="1"/>
  <c r="J16" i="1"/>
  <c r="M15" i="1"/>
  <c r="N15" i="1" s="1"/>
  <c r="J15" i="1"/>
  <c r="M14" i="1"/>
  <c r="N14" i="1" s="1"/>
  <c r="J14" i="1"/>
  <c r="M13" i="1"/>
  <c r="N13" i="1" s="1"/>
  <c r="J13" i="1"/>
  <c r="M12" i="1"/>
  <c r="N12" i="1" s="1"/>
  <c r="J12" i="1"/>
  <c r="J10" i="1"/>
  <c r="M10" i="1"/>
  <c r="N10" i="1" s="1"/>
  <c r="M9" i="1"/>
  <c r="N9" i="1" s="1"/>
  <c r="J9" i="1"/>
  <c r="K108" i="1" l="1"/>
  <c r="S108" i="1"/>
  <c r="R108" i="1" s="1"/>
  <c r="K107" i="1"/>
  <c r="S107" i="1"/>
  <c r="R107" i="1" s="1"/>
  <c r="K106" i="1"/>
  <c r="S106" i="1"/>
  <c r="R106" i="1" s="1"/>
  <c r="K105" i="1"/>
  <c r="S105" i="1"/>
  <c r="R105" i="1" s="1"/>
  <c r="K104" i="1"/>
  <c r="S104" i="1"/>
  <c r="R104" i="1" s="1"/>
  <c r="K103" i="1"/>
  <c r="S103" i="1"/>
  <c r="R103" i="1" s="1"/>
  <c r="K102" i="1"/>
  <c r="S102" i="1"/>
  <c r="R102" i="1" s="1"/>
  <c r="K101" i="1"/>
  <c r="S101" i="1"/>
  <c r="R101" i="1" s="1"/>
  <c r="K100" i="1"/>
  <c r="S100" i="1"/>
  <c r="R100" i="1" s="1"/>
  <c r="K99" i="1"/>
  <c r="S99" i="1"/>
  <c r="R99" i="1" s="1"/>
  <c r="K98" i="1"/>
  <c r="S98" i="1"/>
  <c r="R98" i="1" s="1"/>
  <c r="K97" i="1"/>
  <c r="S97" i="1"/>
  <c r="R97" i="1" s="1"/>
  <c r="K96" i="1"/>
  <c r="S96" i="1"/>
  <c r="R96" i="1" s="1"/>
  <c r="K95" i="1"/>
  <c r="S95" i="1"/>
  <c r="R95" i="1" s="1"/>
  <c r="K94" i="1"/>
  <c r="S94" i="1"/>
  <c r="R94" i="1" s="1"/>
  <c r="K93" i="1"/>
  <c r="S93" i="1"/>
  <c r="R93" i="1" s="1"/>
  <c r="K92" i="1"/>
  <c r="S92" i="1"/>
  <c r="R92" i="1" s="1"/>
  <c r="K91" i="1"/>
  <c r="S91" i="1"/>
  <c r="R91" i="1" s="1"/>
  <c r="K90" i="1"/>
  <c r="S90" i="1"/>
  <c r="R90" i="1" s="1"/>
  <c r="K89" i="1"/>
  <c r="S89" i="1"/>
  <c r="R89" i="1" s="1"/>
  <c r="K88" i="1"/>
  <c r="S88" i="1"/>
  <c r="R88" i="1" s="1"/>
  <c r="K87" i="1"/>
  <c r="S87" i="1"/>
  <c r="R87" i="1" s="1"/>
  <c r="T85" i="1"/>
  <c r="M85" i="1"/>
  <c r="N85" i="1" s="1"/>
  <c r="T84" i="1"/>
  <c r="M84" i="1"/>
  <c r="N84" i="1" s="1"/>
  <c r="T83" i="1"/>
  <c r="M83" i="1"/>
  <c r="N83" i="1" s="1"/>
  <c r="T82" i="1"/>
  <c r="M82" i="1"/>
  <c r="N82" i="1" s="1"/>
  <c r="T81" i="1"/>
  <c r="M81" i="1"/>
  <c r="N81" i="1" s="1"/>
  <c r="T80" i="1"/>
  <c r="M80" i="1"/>
  <c r="N80" i="1" s="1"/>
  <c r="T79" i="1"/>
  <c r="M79" i="1"/>
  <c r="N79" i="1" s="1"/>
  <c r="T78" i="1"/>
  <c r="M78" i="1"/>
  <c r="N78" i="1" s="1"/>
  <c r="T77" i="1"/>
  <c r="M77" i="1"/>
  <c r="N77" i="1" s="1"/>
  <c r="T76" i="1"/>
  <c r="M76" i="1"/>
  <c r="N76" i="1" s="1"/>
  <c r="T75" i="1"/>
  <c r="M75" i="1"/>
  <c r="N75" i="1" s="1"/>
  <c r="T74" i="1"/>
  <c r="M74" i="1"/>
  <c r="N74" i="1" s="1"/>
  <c r="T73" i="1"/>
  <c r="M73" i="1"/>
  <c r="N73" i="1" s="1"/>
  <c r="T72" i="1"/>
  <c r="M72" i="1"/>
  <c r="N72" i="1" s="1"/>
  <c r="T71" i="1"/>
  <c r="M71" i="1"/>
  <c r="N71" i="1" s="1"/>
  <c r="T70" i="1"/>
  <c r="M70" i="1"/>
  <c r="N70" i="1" s="1"/>
  <c r="T69" i="1"/>
  <c r="M69" i="1"/>
  <c r="N69" i="1" s="1"/>
  <c r="T68" i="1"/>
  <c r="M68" i="1"/>
  <c r="N68" i="1" s="1"/>
  <c r="T67" i="1"/>
  <c r="M67" i="1"/>
  <c r="N67" i="1" s="1"/>
  <c r="T66" i="1"/>
  <c r="M66" i="1"/>
  <c r="N66" i="1" s="1"/>
  <c r="T65" i="1"/>
  <c r="M65" i="1"/>
  <c r="N65" i="1" s="1"/>
  <c r="T64" i="1"/>
  <c r="M64" i="1"/>
  <c r="N64" i="1" s="1"/>
  <c r="T63" i="1"/>
  <c r="M63" i="1"/>
  <c r="N63" i="1" s="1"/>
  <c r="T62" i="1"/>
  <c r="M62" i="1"/>
  <c r="N62" i="1" s="1"/>
  <c r="T61" i="1"/>
  <c r="M61" i="1"/>
  <c r="N61" i="1" s="1"/>
  <c r="K59" i="1"/>
  <c r="S59" i="1"/>
  <c r="R59" i="1" s="1"/>
  <c r="T59" i="1" s="1"/>
  <c r="K58" i="1"/>
  <c r="S58" i="1"/>
  <c r="R58" i="1" s="1"/>
  <c r="T58" i="1" s="1"/>
  <c r="K57" i="1"/>
  <c r="S57" i="1"/>
  <c r="R57" i="1" s="1"/>
  <c r="T57" i="1" s="1"/>
  <c r="K56" i="1"/>
  <c r="S56" i="1"/>
  <c r="R56" i="1" s="1"/>
  <c r="T56" i="1" s="1"/>
  <c r="K55" i="1"/>
  <c r="S55" i="1"/>
  <c r="R55" i="1" s="1"/>
  <c r="T55" i="1" s="1"/>
  <c r="K54" i="1"/>
  <c r="S54" i="1"/>
  <c r="R54" i="1" s="1"/>
  <c r="T54" i="1" s="1"/>
  <c r="K53" i="1"/>
  <c r="S53" i="1"/>
  <c r="R53" i="1" s="1"/>
  <c r="T53" i="1" s="1"/>
  <c r="K52" i="1"/>
  <c r="S52" i="1"/>
  <c r="R52" i="1" s="1"/>
  <c r="T52" i="1" s="1"/>
  <c r="K51" i="1"/>
  <c r="S51" i="1"/>
  <c r="R51" i="1" s="1"/>
  <c r="T51" i="1" s="1"/>
  <c r="K50" i="1"/>
  <c r="S50" i="1"/>
  <c r="R50" i="1" s="1"/>
  <c r="T50" i="1" s="1"/>
  <c r="K49" i="1"/>
  <c r="S49" i="1"/>
  <c r="R49" i="1" s="1"/>
  <c r="T49" i="1" s="1"/>
  <c r="K48" i="1"/>
  <c r="S48" i="1"/>
  <c r="R48" i="1" s="1"/>
  <c r="T48" i="1" s="1"/>
  <c r="K47" i="1"/>
  <c r="S47" i="1"/>
  <c r="R47" i="1" s="1"/>
  <c r="T47" i="1" s="1"/>
  <c r="K46" i="1"/>
  <c r="S46" i="1"/>
  <c r="R46" i="1" s="1"/>
  <c r="T46" i="1" s="1"/>
  <c r="K45" i="1"/>
  <c r="S45" i="1"/>
  <c r="R45" i="1" s="1"/>
  <c r="T45" i="1" s="1"/>
  <c r="K44" i="1"/>
  <c r="S44" i="1"/>
  <c r="R44" i="1" s="1"/>
  <c r="T44" i="1" s="1"/>
  <c r="K43" i="1"/>
  <c r="S43" i="1"/>
  <c r="R43" i="1" s="1"/>
  <c r="T43" i="1" s="1"/>
  <c r="K42" i="1"/>
  <c r="S42" i="1"/>
  <c r="R42" i="1" s="1"/>
  <c r="T42" i="1" s="1"/>
  <c r="K40" i="1"/>
  <c r="S40" i="1"/>
  <c r="R40" i="1" s="1"/>
  <c r="T40" i="1" s="1"/>
  <c r="K39" i="1"/>
  <c r="S39" i="1"/>
  <c r="R39" i="1" s="1"/>
  <c r="T39" i="1" s="1"/>
  <c r="K38" i="1"/>
  <c r="S38" i="1"/>
  <c r="R38" i="1" s="1"/>
  <c r="T38" i="1" s="1"/>
  <c r="K37" i="1"/>
  <c r="S37" i="1"/>
  <c r="R37" i="1" s="1"/>
  <c r="T37" i="1" s="1"/>
  <c r="K36" i="1"/>
  <c r="S36" i="1"/>
  <c r="R36" i="1" s="1"/>
  <c r="T36" i="1" s="1"/>
  <c r="K35" i="1"/>
  <c r="S35" i="1"/>
  <c r="R35" i="1" s="1"/>
  <c r="T35" i="1" s="1"/>
  <c r="K34" i="1"/>
  <c r="S34" i="1"/>
  <c r="R34" i="1" s="1"/>
  <c r="T34" i="1" s="1"/>
  <c r="K33" i="1"/>
  <c r="S33" i="1"/>
  <c r="R33" i="1" s="1"/>
  <c r="T33" i="1" s="1"/>
  <c r="K32" i="1"/>
  <c r="S32" i="1"/>
  <c r="R32" i="1" s="1"/>
  <c r="T32" i="1" s="1"/>
  <c r="K31" i="1"/>
  <c r="S31" i="1"/>
  <c r="R31" i="1" s="1"/>
  <c r="T31" i="1" s="1"/>
  <c r="K30" i="1"/>
  <c r="S30" i="1"/>
  <c r="R30" i="1" s="1"/>
  <c r="T30" i="1" s="1"/>
  <c r="K29" i="1"/>
  <c r="S29" i="1"/>
  <c r="R29" i="1" s="1"/>
  <c r="T29" i="1" s="1"/>
  <c r="K28" i="1"/>
  <c r="S28" i="1"/>
  <c r="R28" i="1" s="1"/>
  <c r="T28" i="1" s="1"/>
  <c r="K27" i="1"/>
  <c r="S27" i="1"/>
  <c r="R27" i="1" s="1"/>
  <c r="T27" i="1" s="1"/>
  <c r="K26" i="1"/>
  <c r="S26" i="1"/>
  <c r="R26" i="1" s="1"/>
  <c r="T26" i="1" s="1"/>
  <c r="K25" i="1"/>
  <c r="S25" i="1"/>
  <c r="R25" i="1" s="1"/>
  <c r="T25" i="1" s="1"/>
  <c r="K24" i="1"/>
  <c r="S24" i="1"/>
  <c r="R24" i="1" s="1"/>
  <c r="T24" i="1" s="1"/>
  <c r="K23" i="1"/>
  <c r="S23" i="1"/>
  <c r="R23" i="1" s="1"/>
  <c r="T23" i="1" s="1"/>
  <c r="K22" i="1"/>
  <c r="S22" i="1"/>
  <c r="R22" i="1" s="1"/>
  <c r="T22" i="1" s="1"/>
  <c r="K20" i="1"/>
  <c r="S20" i="1"/>
  <c r="R20" i="1" s="1"/>
  <c r="T20" i="1" s="1"/>
  <c r="K19" i="1"/>
  <c r="S19" i="1"/>
  <c r="R19" i="1" s="1"/>
  <c r="T19" i="1" s="1"/>
  <c r="K18" i="1"/>
  <c r="S18" i="1"/>
  <c r="R18" i="1" s="1"/>
  <c r="T18" i="1" s="1"/>
  <c r="K17" i="1"/>
  <c r="S17" i="1"/>
  <c r="R17" i="1" s="1"/>
  <c r="T17" i="1" s="1"/>
  <c r="K16" i="1"/>
  <c r="S16" i="1"/>
  <c r="R16" i="1" s="1"/>
  <c r="T16" i="1" s="1"/>
  <c r="K15" i="1"/>
  <c r="S15" i="1"/>
  <c r="R15" i="1" s="1"/>
  <c r="T15" i="1" s="1"/>
  <c r="K14" i="1"/>
  <c r="S14" i="1"/>
  <c r="R14" i="1" s="1"/>
  <c r="T14" i="1" s="1"/>
  <c r="K13" i="1"/>
  <c r="S13" i="1"/>
  <c r="R13" i="1" s="1"/>
  <c r="T13" i="1" s="1"/>
  <c r="K12" i="1"/>
  <c r="S12" i="1"/>
  <c r="R12" i="1" s="1"/>
  <c r="T12" i="1" s="1"/>
  <c r="K10" i="1"/>
  <c r="S10" i="1"/>
  <c r="R10" i="1" s="1"/>
  <c r="T10" i="1" s="1"/>
  <c r="K9" i="1"/>
  <c r="S9" i="1"/>
  <c r="R9" i="1" s="1"/>
  <c r="T9" i="1" s="1"/>
  <c r="T108" i="1" l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</calcChain>
</file>

<file path=xl/sharedStrings.xml><?xml version="1.0" encoding="utf-8"?>
<sst xmlns="http://schemas.openxmlformats.org/spreadsheetml/2006/main" count="331" uniqueCount="150">
  <si>
    <t>TARIFARIO DE TRANSPORTE — ORIGEN: CASABLANCA</t>
  </si>
  <si>
    <t xml:space="preserve">  AZUL = dato fijo (KM, Tarifa Orig)  |  AMARILLO = SOLLEM (dato del archivo)  |  VERDE = Nueva Tarifa (= TarOrig × (1+Factor%))  |  AZUL CLARO = fórmula calculada  |  Factor% = porcentaje real del archivo original por cada destino</t>
  </si>
  <si>
    <t>IDENTIFICACIÓN</t>
  </si>
  <si>
    <t>DATOS BASE + FACTOR</t>
  </si>
  <si>
    <t>SOLLEM</t>
  </si>
  <si>
    <t>TARIFA NUEVA</t>
  </si>
  <si>
    <t>$/KM</t>
  </si>
  <si>
    <t>COMBUSTIBLE</t>
  </si>
  <si>
    <t>BAJA 20,86%</t>
  </si>
  <si>
    <t>KM</t>
  </si>
  <si>
    <t>Tarifa
Orig.</t>
  </si>
  <si>
    <t>Factor
%</t>
  </si>
  <si>
    <t>SOLLEM
(dato)</t>
  </si>
  <si>
    <t>Nueva Tarifa
= F×(1+G)</t>
  </si>
  <si>
    <t>Alza $
= I−F</t>
  </si>
  <si>
    <t>Var %
= J/F</t>
  </si>
  <si>
    <t>$/KM Orig
= F/E</t>
  </si>
  <si>
    <t>$/KM Nueva
= I/E</t>
  </si>
  <si>
    <t>Alza $/KM
= M−L</t>
  </si>
  <si>
    <t>Litros
= E/2.2</t>
  </si>
  <si>
    <t>Alza Comb
= O×580</t>
  </si>
  <si>
    <t>Factor Baja 47,59%
= 20,86% fijo</t>
  </si>
  <si>
    <t>Nueva Tarifa Final 20,86%
= I×(1-T)</t>
  </si>
  <si>
    <t>N°</t>
  </si>
  <si>
    <t>REG.</t>
  </si>
  <si>
    <t>REGIÓN</t>
  </si>
  <si>
    <t>DESTINO</t>
  </si>
  <si>
    <t>TARIFA ORIGINAL</t>
  </si>
  <si>
    <t>FACTOR %</t>
  </si>
  <si>
    <t>NUEVA TARIFA</t>
  </si>
  <si>
    <t>ALZA ($)</t>
  </si>
  <si>
    <t>VARIACIÓN %</t>
  </si>
  <si>
    <t>$/KM ORIGINAL</t>
  </si>
  <si>
    <t>$/KM NUEVA</t>
  </si>
  <si>
    <t>ALZA $/KM</t>
  </si>
  <si>
    <t>LITROS</t>
  </si>
  <si>
    <t>ALZA COMBUSTIBLE $</t>
  </si>
  <si>
    <t>FACTOR BAJA 47,59%</t>
  </si>
  <si>
    <t>NUEVA TARIFA FINAL (20,86%)</t>
  </si>
  <si>
    <t xml:space="preserve">  ▶  None  COPIAPO</t>
  </si>
  <si>
    <t>COPIAPO</t>
  </si>
  <si>
    <t>TIERRA AMARILLA</t>
  </si>
  <si>
    <t>VALLENAR</t>
  </si>
  <si>
    <t xml:space="preserve">  ▶  IV  COQUIMBO</t>
  </si>
  <si>
    <t>IV</t>
  </si>
  <si>
    <t>COQUIMBO</t>
  </si>
  <si>
    <t>HUENTELAUQUEN</t>
  </si>
  <si>
    <t>ILLAPEL</t>
  </si>
  <si>
    <t>LA SERENA</t>
  </si>
  <si>
    <t>MONTE PATRIA</t>
  </si>
  <si>
    <t>OVALLE</t>
  </si>
  <si>
    <t>PAN DE AZUCAR</t>
  </si>
  <si>
    <t>VALLE DEL ELQUI</t>
  </si>
  <si>
    <t>VICUÑA</t>
  </si>
  <si>
    <t xml:space="preserve">  ▶  V  VALPARAISO</t>
  </si>
  <si>
    <t>V</t>
  </si>
  <si>
    <t>VALPARAISO</t>
  </si>
  <si>
    <t>CABILDO</t>
  </si>
  <si>
    <t>CALLE LARGA</t>
  </si>
  <si>
    <t>CASABLANCA</t>
  </si>
  <si>
    <t>HIJUELA</t>
  </si>
  <si>
    <t>LA LIGUA</t>
  </si>
  <si>
    <t>LLAILLAY</t>
  </si>
  <si>
    <t>LOS ANDES</t>
  </si>
  <si>
    <t>PANQUEHUE</t>
  </si>
  <si>
    <t>PETORCA</t>
  </si>
  <si>
    <t>POCOCHAY-LA CRUZ</t>
  </si>
  <si>
    <t>PUTAENDO</t>
  </si>
  <si>
    <t>QUILLOTA</t>
  </si>
  <si>
    <t>RINCONADA</t>
  </si>
  <si>
    <t>SAN ANTONIO</t>
  </si>
  <si>
    <t>SAN ESTEBAN</t>
  </si>
  <si>
    <t>SAN FELIPE</t>
  </si>
  <si>
    <t>SANTA MARIA</t>
  </si>
  <si>
    <t>SANTO DOMINGO</t>
  </si>
  <si>
    <t xml:space="preserve">  ▶  RM  METROPOLITANA</t>
  </si>
  <si>
    <t>RM</t>
  </si>
  <si>
    <t>METROPOLITANA</t>
  </si>
  <si>
    <t>ALHUE</t>
  </si>
  <si>
    <t>BUIN</t>
  </si>
  <si>
    <t>CALERA DE TANGA</t>
  </si>
  <si>
    <t>COLINA</t>
  </si>
  <si>
    <t>CURACAVI</t>
  </si>
  <si>
    <t>EL MONTE</t>
  </si>
  <si>
    <t>ESTACION CENTRAL</t>
  </si>
  <si>
    <t>ISLA MAIPO</t>
  </si>
  <si>
    <t>LAMPA</t>
  </si>
  <si>
    <t>MARIA PINTO</t>
  </si>
  <si>
    <t>MELIPILLA</t>
  </si>
  <si>
    <t>PADRE HURTADO</t>
  </si>
  <si>
    <t>PAINE</t>
  </si>
  <si>
    <t>PEÑAFLOR</t>
  </si>
  <si>
    <t>POMAIRE</t>
  </si>
  <si>
    <t>SAN BERNARDO</t>
  </si>
  <si>
    <t>TALAGANTE</t>
  </si>
  <si>
    <t>TILTIL</t>
  </si>
  <si>
    <t xml:space="preserve">  ▶  VI  OHIGGINS</t>
  </si>
  <si>
    <t>VI</t>
  </si>
  <si>
    <t>OHIGGINS</t>
  </si>
  <si>
    <t>CHIMBARONGO</t>
  </si>
  <si>
    <t>CODEGUA</t>
  </si>
  <si>
    <t>GRANEROS</t>
  </si>
  <si>
    <t>LA ESTRELLA</t>
  </si>
  <si>
    <t>LAS CABRAS</t>
  </si>
  <si>
    <t>LITUECHE</t>
  </si>
  <si>
    <t>LOLOL</t>
  </si>
  <si>
    <t>MACHALI</t>
  </si>
  <si>
    <t>MALLOA</t>
  </si>
  <si>
    <t>MARCHIGUE</t>
  </si>
  <si>
    <t>MOSTAZAL</t>
  </si>
  <si>
    <t>NANCAGUA</t>
  </si>
  <si>
    <t>PALMILLA</t>
  </si>
  <si>
    <t>PERALILLO</t>
  </si>
  <si>
    <t>PEUMO</t>
  </si>
  <si>
    <t>PICHIDEGUA</t>
  </si>
  <si>
    <t>PLACILLA</t>
  </si>
  <si>
    <t>QUINTA DE TILCOCO</t>
  </si>
  <si>
    <t>RANCAGUA</t>
  </si>
  <si>
    <t>RENGO</t>
  </si>
  <si>
    <t>REQUINOA</t>
  </si>
  <si>
    <t>ROSARIO</t>
  </si>
  <si>
    <t>SAN FERNANDO</t>
  </si>
  <si>
    <t>SAN VICENTE</t>
  </si>
  <si>
    <t>SANTA CRUZ</t>
  </si>
  <si>
    <t xml:space="preserve">  ▶  VII  MAULE</t>
  </si>
  <si>
    <t>VII</t>
  </si>
  <si>
    <t>MAULE</t>
  </si>
  <si>
    <t>CAUQUENES</t>
  </si>
  <si>
    <t>COLBUN</t>
  </si>
  <si>
    <t>CUMPEO</t>
  </si>
  <si>
    <t>CURICO</t>
  </si>
  <si>
    <t>HUALAÑE</t>
  </si>
  <si>
    <t>LINARES</t>
  </si>
  <si>
    <t>LONAVI</t>
  </si>
  <si>
    <t>MOLINA</t>
  </si>
  <si>
    <t>PARRAL</t>
  </si>
  <si>
    <t>PELARCO</t>
  </si>
  <si>
    <t>PENCAHUE</t>
  </si>
  <si>
    <t>RAUCO</t>
  </si>
  <si>
    <t>RETIRO</t>
  </si>
  <si>
    <t>RIO CLARO</t>
  </si>
  <si>
    <t>ROMERAL</t>
  </si>
  <si>
    <t>SAGRADA FAMILA</t>
  </si>
  <si>
    <t>SAN CLEMENTE</t>
  </si>
  <si>
    <t>SAN RAFAEL</t>
  </si>
  <si>
    <t>TALCA</t>
  </si>
  <si>
    <t>TENO</t>
  </si>
  <si>
    <t>VILLA ALEGRE</t>
  </si>
  <si>
    <t>YERBAS BUENAS</t>
  </si>
  <si>
    <t xml:space="preserve">  ▶  VII  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</si>
</sst>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.0%"/>
    <numFmt numFmtId="165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8"/>
      <color rgb="FF2E75B6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B3D91"/>
      <name val="Arial"/>
      <family val="2"/>
    </font>
    <font>
      <b/>
      <sz val="9"/>
      <color rgb="FF7B3F00"/>
      <name val="Arial"/>
      <family val="2"/>
    </font>
    <font>
      <i/>
      <sz val="9"/>
      <color rgb="FF7B6B00"/>
      <name val="Arial"/>
      <family val="2"/>
    </font>
    <font>
      <b/>
      <sz val="9"/>
      <color rgb="FF1E5631"/>
      <name val="Arial"/>
      <family val="2"/>
    </font>
    <font>
      <i/>
      <sz val="9"/>
      <color rgb="FF1A5276"/>
      <name val="Arial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7B6B00"/>
        <bgColor rgb="FF7B6B00"/>
      </patternFill>
    </fill>
    <fill>
      <patternFill patternType="solid">
        <fgColor rgb="FF1A5276"/>
        <bgColor rgb="FF1A5276"/>
      </patternFill>
    </fill>
    <fill>
      <patternFill patternType="solid">
        <fgColor rgb="FF1E6B4B"/>
        <bgColor rgb="FF1E6B4B"/>
      </patternFill>
    </fill>
    <fill>
      <patternFill patternType="solid">
        <fgColor rgb="FF1E5631"/>
        <bgColor rgb="FF1E5631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EBF3FB"/>
        <bgColor rgb="FFEBF3FB"/>
      </patternFill>
    </fill>
    <fill>
      <patternFill patternType="solid">
        <fgColor rgb="FFF2F7FB"/>
        <bgColor rgb="FFF2F7FB"/>
      </patternFill>
    </fill>
    <fill>
      <patternFill patternType="solid">
        <fgColor rgb="FFFFFF00"/>
        <bgColor rgb="FFEBF3FB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3" borderId="5" xfId="0" applyFont="1" applyFill="1" applyBorder="1" applyAlignment="1">
      <alignment horizontal="left" vertical="center"/>
    </xf>
    <xf numFmtId="0" fontId="3" fillId="0" borderId="6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3" fillId="0" borderId="0" xfId="0" applyFont="1"/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/>
    </xf>
    <xf numFmtId="0" fontId="8" fillId="9" borderId="8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3" fontId="10" fillId="10" borderId="8" xfId="0" applyNumberFormat="1" applyFont="1" applyFill="1" applyBorder="1" applyAlignment="1">
      <alignment horizontal="center" vertical="center"/>
    </xf>
    <xf numFmtId="164" fontId="11" fillId="11" borderId="8" xfId="0" applyNumberFormat="1" applyFont="1" applyFill="1" applyBorder="1" applyAlignment="1">
      <alignment horizontal="center" vertical="center"/>
    </xf>
    <xf numFmtId="3" fontId="12" fillId="12" borderId="8" xfId="0" applyNumberFormat="1" applyFont="1" applyFill="1" applyBorder="1" applyAlignment="1">
      <alignment horizontal="center" vertical="center"/>
    </xf>
    <xf numFmtId="3" fontId="13" fillId="13" borderId="8" xfId="0" applyNumberFormat="1" applyFont="1" applyFill="1" applyBorder="1" applyAlignment="1">
      <alignment horizontal="center" vertical="center"/>
    </xf>
    <xf numFmtId="3" fontId="14" fillId="14" borderId="8" xfId="0" applyNumberFormat="1" applyFont="1" applyFill="1" applyBorder="1" applyAlignment="1">
      <alignment horizontal="center" vertical="center"/>
    </xf>
    <xf numFmtId="164" fontId="14" fillId="14" borderId="8" xfId="0" applyNumberFormat="1" applyFont="1" applyFill="1" applyBorder="1" applyAlignment="1">
      <alignment horizontal="center" vertical="center"/>
    </xf>
    <xf numFmtId="165" fontId="14" fillId="14" borderId="8" xfId="0" applyNumberFormat="1" applyFont="1" applyFill="1" applyBorder="1" applyAlignment="1">
      <alignment horizontal="center" vertical="center"/>
    </xf>
    <xf numFmtId="164" fontId="14" fillId="14" borderId="0" xfId="0" applyNumberFormat="1" applyFont="1" applyFill="1"/>
    <xf numFmtId="3" fontId="13" fillId="13" borderId="0" xfId="0" applyNumberFormat="1" applyFont="1" applyFill="1"/>
    <xf numFmtId="3" fontId="15" fillId="0" borderId="0" xfId="0" applyNumberFormat="1" applyFont="1"/>
    <xf numFmtId="0" fontId="8" fillId="15" borderId="8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left" vertical="center" wrapText="1"/>
    </xf>
    <xf numFmtId="0" fontId="9" fillId="15" borderId="8" xfId="0" applyFont="1" applyFill="1" applyBorder="1" applyAlignment="1">
      <alignment horizontal="left" vertical="center" wrapText="1"/>
    </xf>
    <xf numFmtId="3" fontId="0" fillId="0" borderId="0" xfId="0" applyNumberFormat="1"/>
    <xf numFmtId="3" fontId="14" fillId="16" borderId="8" xfId="0" applyNumberFormat="1" applyFont="1" applyFill="1" applyBorder="1" applyAlignment="1">
      <alignment horizontal="center" vertical="center"/>
    </xf>
    <xf numFmtId="0" fontId="1" fillId="0" borderId="0" xfId="0" applyFont="1"/>
    <xf numFmtId="42" fontId="0" fillId="0" borderId="0" xfId="1" applyFont="1"/>
    <xf numFmtId="9" fontId="0" fillId="0" borderId="0" xfId="2" applyFont="1"/>
    <xf numFmtId="42" fontId="0" fillId="0" borderId="0" xfId="0" applyNumberFormat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3972-8E90-42C1-9678-F7EA098E2CBE}">
  <dimension ref="A1:AF1000"/>
  <sheetViews>
    <sheetView tabSelected="1" topLeftCell="E1" workbookViewId="0">
      <selection activeCell="R1" sqref="R1"/>
    </sheetView>
  </sheetViews>
  <sheetFormatPr baseColWidth="10" defaultColWidth="14.453125" defaultRowHeight="14.5" x14ac:dyDescent="0.35"/>
  <cols>
    <col min="1" max="1" width="5" customWidth="1"/>
    <col min="2" max="2" width="6" customWidth="1"/>
    <col min="3" max="3" width="20" customWidth="1"/>
    <col min="4" max="4" width="26" customWidth="1"/>
    <col min="5" max="5" width="7" customWidth="1"/>
    <col min="6" max="6" width="14" customWidth="1"/>
    <col min="7" max="7" width="8" customWidth="1"/>
    <col min="8" max="8" width="13" customWidth="1"/>
    <col min="9" max="9" width="14" customWidth="1"/>
    <col min="10" max="10" width="12" customWidth="1"/>
    <col min="11" max="11" width="9" customWidth="1"/>
    <col min="12" max="13" width="11" customWidth="1"/>
    <col min="14" max="14" width="10" customWidth="1"/>
    <col min="15" max="15" width="9" customWidth="1"/>
    <col min="16" max="16" width="15" customWidth="1"/>
    <col min="17" max="17" width="10.36328125" customWidth="1"/>
    <col min="18" max="18" width="13.453125" customWidth="1"/>
    <col min="19" max="21" width="8.6328125" hidden="1" customWidth="1"/>
    <col min="22" max="22" width="14.36328125" customWidth="1"/>
    <col min="23" max="23" width="8.6328125" customWidth="1"/>
    <col min="24" max="24" width="11.26953125" customWidth="1"/>
    <col min="25" max="25" width="11.54296875" customWidth="1"/>
    <col min="26" max="26" width="10.54296875" customWidth="1"/>
  </cols>
  <sheetData>
    <row r="1" spans="1:20" ht="27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0" ht="3.75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0" ht="13.5" customHeigh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0" ht="18" customHeight="1" x14ac:dyDescent="0.35">
      <c r="A4" s="7" t="s">
        <v>2</v>
      </c>
      <c r="B4" s="6"/>
      <c r="C4" s="6"/>
      <c r="D4" s="8"/>
      <c r="E4" s="9" t="s">
        <v>3</v>
      </c>
      <c r="F4" s="6"/>
      <c r="G4" s="8"/>
      <c r="H4" s="10" t="s">
        <v>4</v>
      </c>
      <c r="I4" s="11" t="s">
        <v>5</v>
      </c>
      <c r="J4" s="6"/>
      <c r="K4" s="8"/>
      <c r="L4" s="12" t="s">
        <v>6</v>
      </c>
      <c r="M4" s="6"/>
      <c r="N4" s="8"/>
      <c r="O4" s="13" t="s">
        <v>7</v>
      </c>
      <c r="P4" s="8"/>
      <c r="Q4" s="14" t="s">
        <v>8</v>
      </c>
      <c r="R4" s="15"/>
    </row>
    <row r="5" spans="1:20" ht="39.75" customHeight="1" x14ac:dyDescent="0.35">
      <c r="A5" s="16"/>
      <c r="B5" s="16"/>
      <c r="C5" s="16"/>
      <c r="D5" s="16"/>
      <c r="E5" s="16" t="s">
        <v>9</v>
      </c>
      <c r="F5" s="16" t="s">
        <v>10</v>
      </c>
      <c r="G5" s="16" t="s">
        <v>11</v>
      </c>
      <c r="H5" s="16" t="s">
        <v>12</v>
      </c>
      <c r="I5" s="16" t="s">
        <v>13</v>
      </c>
      <c r="J5" s="16" t="s">
        <v>14</v>
      </c>
      <c r="K5" s="16" t="s">
        <v>15</v>
      </c>
      <c r="L5" s="16" t="s">
        <v>16</v>
      </c>
      <c r="M5" s="16" t="s">
        <v>17</v>
      </c>
      <c r="N5" s="16" t="s">
        <v>18</v>
      </c>
      <c r="O5" s="16" t="s">
        <v>19</v>
      </c>
      <c r="P5" s="16" t="s">
        <v>20</v>
      </c>
      <c r="Q5" s="17" t="s">
        <v>21</v>
      </c>
      <c r="R5" s="17" t="s">
        <v>22</v>
      </c>
    </row>
    <row r="6" spans="1:20" ht="27.75" customHeight="1" x14ac:dyDescent="0.35">
      <c r="A6" s="18" t="s">
        <v>23</v>
      </c>
      <c r="B6" s="18" t="s">
        <v>24</v>
      </c>
      <c r="C6" s="18" t="s">
        <v>25</v>
      </c>
      <c r="D6" s="18" t="s">
        <v>26</v>
      </c>
      <c r="E6" s="18" t="s">
        <v>9</v>
      </c>
      <c r="F6" s="18" t="s">
        <v>27</v>
      </c>
      <c r="G6" s="18" t="s">
        <v>28</v>
      </c>
      <c r="H6" s="18" t="s">
        <v>4</v>
      </c>
      <c r="I6" s="18" t="s">
        <v>29</v>
      </c>
      <c r="J6" s="18" t="s">
        <v>30</v>
      </c>
      <c r="K6" s="18" t="s">
        <v>31</v>
      </c>
      <c r="L6" s="18" t="s">
        <v>32</v>
      </c>
      <c r="M6" s="18" t="s">
        <v>33</v>
      </c>
      <c r="N6" s="18" t="s">
        <v>34</v>
      </c>
      <c r="O6" s="18" t="s">
        <v>35</v>
      </c>
      <c r="P6" s="18" t="s">
        <v>36</v>
      </c>
      <c r="Q6" s="19" t="s">
        <v>37</v>
      </c>
      <c r="R6" s="19" t="s">
        <v>38</v>
      </c>
    </row>
    <row r="7" spans="1:20" ht="3.75" customHeight="1" x14ac:dyDescent="0.35"/>
    <row r="8" spans="1:20" ht="18" customHeight="1" x14ac:dyDescent="0.35">
      <c r="A8" s="20" t="s">
        <v>39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20" ht="15.75" customHeight="1" x14ac:dyDescent="0.35">
      <c r="A9" s="21">
        <v>1</v>
      </c>
      <c r="B9" s="21"/>
      <c r="C9" s="22" t="s">
        <v>40</v>
      </c>
      <c r="D9" s="23" t="s">
        <v>41</v>
      </c>
      <c r="E9" s="24">
        <v>780</v>
      </c>
      <c r="F9" s="24">
        <v>1250000</v>
      </c>
      <c r="G9" s="25">
        <v>0.24</v>
      </c>
      <c r="H9" s="26">
        <v>1455636.36363636</v>
      </c>
      <c r="I9" s="27">
        <f t="shared" ref="I9:I10" si="0">F9*(1+G9)</f>
        <v>1550000</v>
      </c>
      <c r="J9" s="28">
        <f t="shared" ref="J9:J10" si="1">I9-F9</f>
        <v>300000</v>
      </c>
      <c r="K9" s="29">
        <f t="shared" ref="K9:K10" si="2">J9/F9</f>
        <v>0.24</v>
      </c>
      <c r="L9" s="28">
        <f t="shared" ref="L9:L10" si="3">F9/E9</f>
        <v>1602.5641025641025</v>
      </c>
      <c r="M9" s="28">
        <f t="shared" ref="M9:M10" si="4">I9/E9</f>
        <v>1987.1794871794871</v>
      </c>
      <c r="N9" s="28">
        <f t="shared" ref="N9:N10" si="5">M9-L9</f>
        <v>384.61538461538453</v>
      </c>
      <c r="O9" s="30">
        <f t="shared" ref="O9:O10" si="6">E9/2.2</f>
        <v>354.5454545454545</v>
      </c>
      <c r="P9" s="28">
        <f t="shared" ref="P9:P10" si="7">O9*580</f>
        <v>205636.36363636362</v>
      </c>
      <c r="Q9" s="31">
        <v>0.47589999999999999</v>
      </c>
      <c r="R9" s="32">
        <f t="shared" ref="R9:R10" si="8">+F9+S9</f>
        <v>1407230</v>
      </c>
      <c r="S9" s="32">
        <f t="shared" ref="S9:S10" si="9">J9*(1-Q9)</f>
        <v>157230</v>
      </c>
      <c r="T9" s="33">
        <f t="shared" ref="T9:T10" si="10">+R9-I9</f>
        <v>-142770</v>
      </c>
    </row>
    <row r="10" spans="1:20" ht="15.75" customHeight="1" x14ac:dyDescent="0.35">
      <c r="A10" s="34">
        <v>2</v>
      </c>
      <c r="B10" s="34"/>
      <c r="C10" s="35" t="s">
        <v>40</v>
      </c>
      <c r="D10" s="36" t="s">
        <v>42</v>
      </c>
      <c r="E10" s="24">
        <v>636</v>
      </c>
      <c r="F10" s="24">
        <v>980000</v>
      </c>
      <c r="G10" s="25">
        <v>0.24</v>
      </c>
      <c r="H10" s="26">
        <v>1147672.7272727301</v>
      </c>
      <c r="I10" s="27">
        <f t="shared" si="0"/>
        <v>1215200</v>
      </c>
      <c r="J10" s="28">
        <f t="shared" si="1"/>
        <v>235200</v>
      </c>
      <c r="K10" s="29">
        <f t="shared" si="2"/>
        <v>0.24</v>
      </c>
      <c r="L10" s="28">
        <f t="shared" si="3"/>
        <v>1540.8805031446541</v>
      </c>
      <c r="M10" s="28">
        <f t="shared" si="4"/>
        <v>1910.691823899371</v>
      </c>
      <c r="N10" s="28">
        <f t="shared" si="5"/>
        <v>369.81132075471692</v>
      </c>
      <c r="O10" s="30">
        <f t="shared" si="6"/>
        <v>289.09090909090907</v>
      </c>
      <c r="P10" s="28">
        <f t="shared" si="7"/>
        <v>167672.72727272726</v>
      </c>
      <c r="Q10" s="31">
        <v>0.47589999999999999</v>
      </c>
      <c r="R10" s="32">
        <f t="shared" si="8"/>
        <v>1103268.32</v>
      </c>
      <c r="S10" s="32">
        <f t="shared" si="9"/>
        <v>123268.32</v>
      </c>
      <c r="T10" s="33">
        <f t="shared" si="10"/>
        <v>-111931.67999999993</v>
      </c>
    </row>
    <row r="11" spans="1:20" ht="18" customHeight="1" x14ac:dyDescent="0.35">
      <c r="A11" s="20" t="s">
        <v>43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0" ht="15.75" customHeight="1" x14ac:dyDescent="0.35">
      <c r="A12" s="34">
        <v>3</v>
      </c>
      <c r="B12" s="34" t="s">
        <v>44</v>
      </c>
      <c r="C12" s="35" t="s">
        <v>45</v>
      </c>
      <c r="D12" s="36" t="s">
        <v>45</v>
      </c>
      <c r="E12" s="24">
        <v>434</v>
      </c>
      <c r="F12" s="24">
        <v>650000</v>
      </c>
      <c r="G12" s="25">
        <v>0.24</v>
      </c>
      <c r="H12" s="26">
        <v>764418.181818182</v>
      </c>
      <c r="I12" s="27">
        <f t="shared" ref="I12:I20" si="11">F12*(1+G12)</f>
        <v>806000</v>
      </c>
      <c r="J12" s="28">
        <f t="shared" ref="J12:J20" si="12">I12-F12</f>
        <v>156000</v>
      </c>
      <c r="K12" s="29">
        <f t="shared" ref="K12:K20" si="13">J12/F12</f>
        <v>0.24</v>
      </c>
      <c r="L12" s="28">
        <f t="shared" ref="L12:L20" si="14">F12/E12</f>
        <v>1497.6958525345622</v>
      </c>
      <c r="M12" s="28">
        <f t="shared" ref="M12:M20" si="15">I12/E12</f>
        <v>1857.1428571428571</v>
      </c>
      <c r="N12" s="28">
        <f t="shared" ref="N12:N20" si="16">M12-L12</f>
        <v>359.44700460829495</v>
      </c>
      <c r="O12" s="30">
        <f t="shared" ref="O12:O20" si="17">E12/2.2</f>
        <v>197.27272727272725</v>
      </c>
      <c r="P12" s="28">
        <f t="shared" ref="P12:P20" si="18">O12*580</f>
        <v>114418.18181818181</v>
      </c>
      <c r="Q12" s="31">
        <v>0.47589999999999999</v>
      </c>
      <c r="R12" s="32">
        <f t="shared" ref="R12:R20" si="19">+F12+S12</f>
        <v>731759.6</v>
      </c>
      <c r="S12" s="32">
        <f t="shared" ref="S12:S20" si="20">J12*(1-Q12)</f>
        <v>81759.600000000006</v>
      </c>
      <c r="T12" s="33">
        <f t="shared" ref="T12:T20" si="21">+R12-I12</f>
        <v>-74240.400000000023</v>
      </c>
    </row>
    <row r="13" spans="1:20" ht="15.75" customHeight="1" x14ac:dyDescent="0.35">
      <c r="A13" s="21">
        <v>4</v>
      </c>
      <c r="B13" s="21" t="s">
        <v>44</v>
      </c>
      <c r="C13" s="22" t="s">
        <v>45</v>
      </c>
      <c r="D13" s="23" t="s">
        <v>46</v>
      </c>
      <c r="E13" s="24">
        <v>234</v>
      </c>
      <c r="F13" s="24">
        <v>650000</v>
      </c>
      <c r="G13" s="25">
        <v>0.24</v>
      </c>
      <c r="H13" s="26">
        <v>711690.90909090894</v>
      </c>
      <c r="I13" s="27">
        <f t="shared" si="11"/>
        <v>806000</v>
      </c>
      <c r="J13" s="28">
        <f t="shared" si="12"/>
        <v>156000</v>
      </c>
      <c r="K13" s="29">
        <f t="shared" si="13"/>
        <v>0.24</v>
      </c>
      <c r="L13" s="28">
        <f t="shared" si="14"/>
        <v>2777.7777777777778</v>
      </c>
      <c r="M13" s="28">
        <f t="shared" si="15"/>
        <v>3444.4444444444443</v>
      </c>
      <c r="N13" s="28">
        <f t="shared" si="16"/>
        <v>666.66666666666652</v>
      </c>
      <c r="O13" s="30">
        <f t="shared" si="17"/>
        <v>106.36363636363636</v>
      </c>
      <c r="P13" s="28">
        <f t="shared" si="18"/>
        <v>61690.909090909088</v>
      </c>
      <c r="Q13" s="31">
        <v>0.47589999999999999</v>
      </c>
      <c r="R13" s="32">
        <f t="shared" si="19"/>
        <v>731759.6</v>
      </c>
      <c r="S13" s="32">
        <f t="shared" si="20"/>
        <v>81759.600000000006</v>
      </c>
      <c r="T13" s="33">
        <f t="shared" si="21"/>
        <v>-74240.400000000023</v>
      </c>
    </row>
    <row r="14" spans="1:20" ht="15.75" customHeight="1" x14ac:dyDescent="0.35">
      <c r="A14" s="34">
        <v>5</v>
      </c>
      <c r="B14" s="34" t="s">
        <v>44</v>
      </c>
      <c r="C14" s="35" t="s">
        <v>45</v>
      </c>
      <c r="D14" s="36" t="s">
        <v>47</v>
      </c>
      <c r="E14" s="24">
        <v>255</v>
      </c>
      <c r="F14" s="24">
        <v>650000</v>
      </c>
      <c r="G14" s="25">
        <v>0.24</v>
      </c>
      <c r="H14" s="26">
        <v>717227.27272727306</v>
      </c>
      <c r="I14" s="27">
        <f t="shared" si="11"/>
        <v>806000</v>
      </c>
      <c r="J14" s="28">
        <f t="shared" si="12"/>
        <v>156000</v>
      </c>
      <c r="K14" s="29">
        <f t="shared" si="13"/>
        <v>0.24</v>
      </c>
      <c r="L14" s="28">
        <f t="shared" si="14"/>
        <v>2549.0196078431372</v>
      </c>
      <c r="M14" s="28">
        <f t="shared" si="15"/>
        <v>3160.7843137254904</v>
      </c>
      <c r="N14" s="28">
        <f t="shared" si="16"/>
        <v>611.76470588235316</v>
      </c>
      <c r="O14" s="30">
        <f t="shared" si="17"/>
        <v>115.90909090909091</v>
      </c>
      <c r="P14" s="28">
        <f t="shared" si="18"/>
        <v>67227.272727272721</v>
      </c>
      <c r="Q14" s="31">
        <v>0.47589999999999999</v>
      </c>
      <c r="R14" s="32">
        <f t="shared" si="19"/>
        <v>731759.6</v>
      </c>
      <c r="S14" s="32">
        <f t="shared" si="20"/>
        <v>81759.600000000006</v>
      </c>
      <c r="T14" s="33">
        <f t="shared" si="21"/>
        <v>-74240.400000000023</v>
      </c>
    </row>
    <row r="15" spans="1:20" ht="15.75" customHeight="1" x14ac:dyDescent="0.35">
      <c r="A15" s="21">
        <v>6</v>
      </c>
      <c r="B15" s="21" t="s">
        <v>44</v>
      </c>
      <c r="C15" s="22" t="s">
        <v>45</v>
      </c>
      <c r="D15" s="23" t="s">
        <v>48</v>
      </c>
      <c r="E15" s="24">
        <v>444</v>
      </c>
      <c r="F15" s="24">
        <v>650000</v>
      </c>
      <c r="G15" s="25">
        <v>0.24</v>
      </c>
      <c r="H15" s="26">
        <v>767054.54545454495</v>
      </c>
      <c r="I15" s="27">
        <f t="shared" si="11"/>
        <v>806000</v>
      </c>
      <c r="J15" s="28">
        <f t="shared" si="12"/>
        <v>156000</v>
      </c>
      <c r="K15" s="29">
        <f t="shared" si="13"/>
        <v>0.24</v>
      </c>
      <c r="L15" s="28">
        <f t="shared" si="14"/>
        <v>1463.963963963964</v>
      </c>
      <c r="M15" s="28">
        <f t="shared" si="15"/>
        <v>1815.3153153153153</v>
      </c>
      <c r="N15" s="28">
        <f t="shared" si="16"/>
        <v>351.35135135135124</v>
      </c>
      <c r="O15" s="30">
        <f t="shared" si="17"/>
        <v>201.81818181818181</v>
      </c>
      <c r="P15" s="28">
        <f t="shared" si="18"/>
        <v>117054.54545454546</v>
      </c>
      <c r="Q15" s="31">
        <v>0.47589999999999999</v>
      </c>
      <c r="R15" s="32">
        <f t="shared" si="19"/>
        <v>731759.6</v>
      </c>
      <c r="S15" s="32">
        <f t="shared" si="20"/>
        <v>81759.600000000006</v>
      </c>
      <c r="T15" s="33">
        <f t="shared" si="21"/>
        <v>-74240.400000000023</v>
      </c>
    </row>
    <row r="16" spans="1:20" ht="15.75" customHeight="1" x14ac:dyDescent="0.35">
      <c r="A16" s="34">
        <v>7</v>
      </c>
      <c r="B16" s="34" t="s">
        <v>44</v>
      </c>
      <c r="C16" s="35" t="s">
        <v>45</v>
      </c>
      <c r="D16" s="36" t="s">
        <v>49</v>
      </c>
      <c r="E16" s="24">
        <v>408</v>
      </c>
      <c r="F16" s="24">
        <v>650000</v>
      </c>
      <c r="G16" s="25">
        <v>0.24</v>
      </c>
      <c r="H16" s="26">
        <v>757563.636363636</v>
      </c>
      <c r="I16" s="27">
        <f t="shared" si="11"/>
        <v>806000</v>
      </c>
      <c r="J16" s="28">
        <f t="shared" si="12"/>
        <v>156000</v>
      </c>
      <c r="K16" s="29">
        <f t="shared" si="13"/>
        <v>0.24</v>
      </c>
      <c r="L16" s="28">
        <f t="shared" si="14"/>
        <v>1593.1372549019609</v>
      </c>
      <c r="M16" s="28">
        <f t="shared" si="15"/>
        <v>1975.4901960784314</v>
      </c>
      <c r="N16" s="28">
        <f t="shared" si="16"/>
        <v>382.35294117647049</v>
      </c>
      <c r="O16" s="30">
        <f t="shared" si="17"/>
        <v>185.45454545454544</v>
      </c>
      <c r="P16" s="28">
        <f t="shared" si="18"/>
        <v>107563.63636363635</v>
      </c>
      <c r="Q16" s="31">
        <v>0.47589999999999999</v>
      </c>
      <c r="R16" s="32">
        <f t="shared" si="19"/>
        <v>731759.6</v>
      </c>
      <c r="S16" s="32">
        <f t="shared" si="20"/>
        <v>81759.600000000006</v>
      </c>
      <c r="T16" s="33">
        <f t="shared" si="21"/>
        <v>-74240.400000000023</v>
      </c>
    </row>
    <row r="17" spans="1:25" ht="15.75" customHeight="1" x14ac:dyDescent="0.35">
      <c r="A17" s="21">
        <v>8</v>
      </c>
      <c r="B17" s="21" t="s">
        <v>44</v>
      </c>
      <c r="C17" s="22" t="s">
        <v>45</v>
      </c>
      <c r="D17" s="23" t="s">
        <v>50</v>
      </c>
      <c r="E17" s="24">
        <v>377</v>
      </c>
      <c r="F17" s="24">
        <v>650000</v>
      </c>
      <c r="G17" s="25">
        <v>0.24</v>
      </c>
      <c r="H17" s="26">
        <v>749390.90909090894</v>
      </c>
      <c r="I17" s="27">
        <f t="shared" si="11"/>
        <v>806000</v>
      </c>
      <c r="J17" s="28">
        <f t="shared" si="12"/>
        <v>156000</v>
      </c>
      <c r="K17" s="29">
        <f t="shared" si="13"/>
        <v>0.24</v>
      </c>
      <c r="L17" s="28">
        <f t="shared" si="14"/>
        <v>1724.1379310344828</v>
      </c>
      <c r="M17" s="28">
        <f t="shared" si="15"/>
        <v>2137.9310344827586</v>
      </c>
      <c r="N17" s="28">
        <f t="shared" si="16"/>
        <v>413.79310344827582</v>
      </c>
      <c r="O17" s="30">
        <f t="shared" si="17"/>
        <v>171.36363636363635</v>
      </c>
      <c r="P17" s="28">
        <f t="shared" si="18"/>
        <v>99390.909090909074</v>
      </c>
      <c r="Q17" s="31">
        <v>0.47589999999999999</v>
      </c>
      <c r="R17" s="32">
        <f t="shared" si="19"/>
        <v>731759.6</v>
      </c>
      <c r="S17" s="32">
        <f t="shared" si="20"/>
        <v>81759.600000000006</v>
      </c>
      <c r="T17" s="33">
        <f t="shared" si="21"/>
        <v>-74240.400000000023</v>
      </c>
    </row>
    <row r="18" spans="1:25" ht="15.75" customHeight="1" x14ac:dyDescent="0.35">
      <c r="A18" s="34">
        <v>9</v>
      </c>
      <c r="B18" s="34" t="s">
        <v>44</v>
      </c>
      <c r="C18" s="35" t="s">
        <v>45</v>
      </c>
      <c r="D18" s="36" t="s">
        <v>51</v>
      </c>
      <c r="E18" s="24">
        <v>464</v>
      </c>
      <c r="F18" s="24">
        <v>680000</v>
      </c>
      <c r="G18" s="25">
        <v>0.24</v>
      </c>
      <c r="H18" s="26">
        <v>802327.27272727306</v>
      </c>
      <c r="I18" s="27">
        <f t="shared" si="11"/>
        <v>843200</v>
      </c>
      <c r="J18" s="28">
        <f t="shared" si="12"/>
        <v>163200</v>
      </c>
      <c r="K18" s="29">
        <f t="shared" si="13"/>
        <v>0.24</v>
      </c>
      <c r="L18" s="28">
        <f t="shared" si="14"/>
        <v>1465.5172413793102</v>
      </c>
      <c r="M18" s="28">
        <f t="shared" si="15"/>
        <v>1817.2413793103449</v>
      </c>
      <c r="N18" s="28">
        <f t="shared" si="16"/>
        <v>351.72413793103465</v>
      </c>
      <c r="O18" s="30">
        <f t="shared" si="17"/>
        <v>210.90909090909088</v>
      </c>
      <c r="P18" s="28">
        <f t="shared" si="18"/>
        <v>122327.27272727271</v>
      </c>
      <c r="Q18" s="31">
        <v>0.20860000000000001</v>
      </c>
      <c r="R18" s="32">
        <f t="shared" si="19"/>
        <v>809156.48</v>
      </c>
      <c r="S18" s="32">
        <f t="shared" si="20"/>
        <v>129156.48</v>
      </c>
      <c r="T18" s="33">
        <f t="shared" si="21"/>
        <v>-34043.520000000019</v>
      </c>
    </row>
    <row r="19" spans="1:25" ht="15.75" customHeight="1" x14ac:dyDescent="0.35">
      <c r="A19" s="21">
        <v>10</v>
      </c>
      <c r="B19" s="21" t="s">
        <v>44</v>
      </c>
      <c r="C19" s="22" t="s">
        <v>45</v>
      </c>
      <c r="D19" s="23" t="s">
        <v>52</v>
      </c>
      <c r="E19" s="24">
        <v>271</v>
      </c>
      <c r="F19" s="24">
        <v>650000</v>
      </c>
      <c r="G19" s="25">
        <v>0.24</v>
      </c>
      <c r="H19" s="26">
        <v>721445.45454545505</v>
      </c>
      <c r="I19" s="27">
        <f t="shared" si="11"/>
        <v>806000</v>
      </c>
      <c r="J19" s="28">
        <f t="shared" si="12"/>
        <v>156000</v>
      </c>
      <c r="K19" s="29">
        <f t="shared" si="13"/>
        <v>0.24</v>
      </c>
      <c r="L19" s="28">
        <f t="shared" si="14"/>
        <v>2398.5239852398522</v>
      </c>
      <c r="M19" s="28">
        <f t="shared" si="15"/>
        <v>2974.1697416974171</v>
      </c>
      <c r="N19" s="28">
        <f t="shared" si="16"/>
        <v>575.64575645756486</v>
      </c>
      <c r="O19" s="30">
        <f t="shared" si="17"/>
        <v>123.18181818181817</v>
      </c>
      <c r="P19" s="28">
        <f t="shared" si="18"/>
        <v>71445.454545454544</v>
      </c>
      <c r="Q19" s="31">
        <v>0.47589999999999999</v>
      </c>
      <c r="R19" s="32">
        <f t="shared" si="19"/>
        <v>731759.6</v>
      </c>
      <c r="S19" s="32">
        <f t="shared" si="20"/>
        <v>81759.600000000006</v>
      </c>
      <c r="T19" s="33">
        <f t="shared" si="21"/>
        <v>-74240.400000000023</v>
      </c>
    </row>
    <row r="20" spans="1:25" ht="15.75" customHeight="1" x14ac:dyDescent="0.35">
      <c r="A20" s="34">
        <v>11</v>
      </c>
      <c r="B20" s="34" t="s">
        <v>44</v>
      </c>
      <c r="C20" s="35" t="s">
        <v>45</v>
      </c>
      <c r="D20" s="36" t="s">
        <v>53</v>
      </c>
      <c r="E20" s="24">
        <v>507</v>
      </c>
      <c r="F20" s="24">
        <v>750000</v>
      </c>
      <c r="G20" s="25">
        <v>0.24</v>
      </c>
      <c r="H20" s="26">
        <v>883663.636363636</v>
      </c>
      <c r="I20" s="27">
        <f t="shared" si="11"/>
        <v>930000</v>
      </c>
      <c r="J20" s="28">
        <f t="shared" si="12"/>
        <v>180000</v>
      </c>
      <c r="K20" s="29">
        <f t="shared" si="13"/>
        <v>0.24</v>
      </c>
      <c r="L20" s="28">
        <f t="shared" si="14"/>
        <v>1479.2899408284025</v>
      </c>
      <c r="M20" s="28">
        <f t="shared" si="15"/>
        <v>1834.3195266272189</v>
      </c>
      <c r="N20" s="28">
        <f t="shared" si="16"/>
        <v>355.02958579881647</v>
      </c>
      <c r="O20" s="30">
        <f t="shared" si="17"/>
        <v>230.45454545454544</v>
      </c>
      <c r="P20" s="28">
        <f t="shared" si="18"/>
        <v>133663.63636363635</v>
      </c>
      <c r="Q20" s="31">
        <v>0.47589999999999999</v>
      </c>
      <c r="R20" s="32">
        <f t="shared" si="19"/>
        <v>844338</v>
      </c>
      <c r="S20" s="32">
        <f t="shared" si="20"/>
        <v>94338</v>
      </c>
      <c r="T20" s="33">
        <f t="shared" si="21"/>
        <v>-85662</v>
      </c>
    </row>
    <row r="21" spans="1:25" ht="18" customHeight="1" x14ac:dyDescent="0.35">
      <c r="A21" s="20" t="s">
        <v>54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25" ht="15.75" customHeight="1" x14ac:dyDescent="0.35">
      <c r="A22" s="34">
        <v>12</v>
      </c>
      <c r="B22" s="34" t="s">
        <v>55</v>
      </c>
      <c r="C22" s="35" t="s">
        <v>56</v>
      </c>
      <c r="D22" s="36" t="s">
        <v>57</v>
      </c>
      <c r="E22" s="24">
        <v>144</v>
      </c>
      <c r="F22" s="24">
        <v>380000</v>
      </c>
      <c r="G22" s="25">
        <v>0.18</v>
      </c>
      <c r="H22" s="26">
        <v>417963.636363636</v>
      </c>
      <c r="I22" s="27">
        <f t="shared" ref="I22:I40" si="22">F22*(1+G22)</f>
        <v>448400</v>
      </c>
      <c r="J22" s="28">
        <f t="shared" ref="J22:J40" si="23">I22-F22</f>
        <v>68400</v>
      </c>
      <c r="K22" s="29">
        <f t="shared" ref="K22:K40" si="24">J22/F22</f>
        <v>0.18</v>
      </c>
      <c r="L22" s="28">
        <f t="shared" ref="L22:L40" si="25">F22/E22</f>
        <v>2638.8888888888887</v>
      </c>
      <c r="M22" s="28">
        <f t="shared" ref="M22:M40" si="26">I22/E22</f>
        <v>3113.8888888888887</v>
      </c>
      <c r="N22" s="28">
        <f t="shared" ref="N22:N40" si="27">M22-L22</f>
        <v>475</v>
      </c>
      <c r="O22" s="30">
        <f t="shared" ref="O22:O40" si="28">E22/2.2</f>
        <v>65.454545454545453</v>
      </c>
      <c r="P22" s="28">
        <f t="shared" ref="P22:P40" si="29">O22*580</f>
        <v>37963.63636363636</v>
      </c>
      <c r="Q22" s="31">
        <v>0.47589999999999999</v>
      </c>
      <c r="R22" s="32">
        <f t="shared" ref="R22:R40" si="30">+F22+S22</f>
        <v>415848.44</v>
      </c>
      <c r="S22" s="32">
        <f t="shared" ref="S22:S40" si="31">J22*(1-Q22)</f>
        <v>35848.44</v>
      </c>
      <c r="T22" s="33">
        <f t="shared" ref="T22:T40" si="32">+R22-I22</f>
        <v>-32551.559999999998</v>
      </c>
      <c r="Y22" s="33"/>
    </row>
    <row r="23" spans="1:25" ht="15.75" customHeight="1" x14ac:dyDescent="0.35">
      <c r="A23" s="21">
        <v>13</v>
      </c>
      <c r="B23" s="21" t="s">
        <v>55</v>
      </c>
      <c r="C23" s="22" t="s">
        <v>56</v>
      </c>
      <c r="D23" s="23" t="s">
        <v>58</v>
      </c>
      <c r="E23" s="24">
        <v>147</v>
      </c>
      <c r="F23" s="24">
        <v>380000</v>
      </c>
      <c r="G23" s="25">
        <v>0.18</v>
      </c>
      <c r="H23" s="26">
        <v>418754.54545454599</v>
      </c>
      <c r="I23" s="27">
        <f t="shared" si="22"/>
        <v>448400</v>
      </c>
      <c r="J23" s="28">
        <f t="shared" si="23"/>
        <v>68400</v>
      </c>
      <c r="K23" s="29">
        <f t="shared" si="24"/>
        <v>0.18</v>
      </c>
      <c r="L23" s="28">
        <f t="shared" si="25"/>
        <v>2585.0340136054424</v>
      </c>
      <c r="M23" s="28">
        <f t="shared" si="26"/>
        <v>3050.3401360544217</v>
      </c>
      <c r="N23" s="28">
        <f t="shared" si="27"/>
        <v>465.30612244897929</v>
      </c>
      <c r="O23" s="30">
        <f t="shared" si="28"/>
        <v>66.818181818181813</v>
      </c>
      <c r="P23" s="28">
        <f t="shared" si="29"/>
        <v>38754.545454545449</v>
      </c>
      <c r="Q23" s="31">
        <v>0.47589999999999999</v>
      </c>
      <c r="R23" s="32">
        <f t="shared" si="30"/>
        <v>415848.44</v>
      </c>
      <c r="S23" s="32">
        <f t="shared" si="31"/>
        <v>35848.44</v>
      </c>
      <c r="T23" s="33">
        <f t="shared" si="32"/>
        <v>-32551.559999999998</v>
      </c>
    </row>
    <row r="24" spans="1:25" ht="15.75" customHeight="1" x14ac:dyDescent="0.35">
      <c r="A24" s="34">
        <v>14</v>
      </c>
      <c r="B24" s="34" t="s">
        <v>55</v>
      </c>
      <c r="C24" s="35" t="s">
        <v>56</v>
      </c>
      <c r="D24" s="36" t="s">
        <v>59</v>
      </c>
      <c r="E24" s="24">
        <v>40</v>
      </c>
      <c r="F24" s="24">
        <v>280000</v>
      </c>
      <c r="G24" s="25">
        <v>0.18</v>
      </c>
      <c r="H24" s="26">
        <v>290545.454545455</v>
      </c>
      <c r="I24" s="27">
        <f t="shared" si="22"/>
        <v>330400</v>
      </c>
      <c r="J24" s="28">
        <f t="shared" si="23"/>
        <v>50400</v>
      </c>
      <c r="K24" s="29">
        <f t="shared" si="24"/>
        <v>0.18</v>
      </c>
      <c r="L24" s="28">
        <f t="shared" si="25"/>
        <v>7000</v>
      </c>
      <c r="M24" s="28">
        <f t="shared" si="26"/>
        <v>8260</v>
      </c>
      <c r="N24" s="28">
        <f t="shared" si="27"/>
        <v>1260</v>
      </c>
      <c r="O24" s="30">
        <f t="shared" si="28"/>
        <v>18.18181818181818</v>
      </c>
      <c r="P24" s="28">
        <f t="shared" si="29"/>
        <v>10545.454545454544</v>
      </c>
      <c r="Q24" s="31">
        <v>0.47589999999999999</v>
      </c>
      <c r="R24" s="32">
        <f t="shared" si="30"/>
        <v>306414.64</v>
      </c>
      <c r="S24" s="32">
        <f t="shared" si="31"/>
        <v>26414.639999999999</v>
      </c>
      <c r="T24" s="33">
        <f t="shared" si="32"/>
        <v>-23985.359999999986</v>
      </c>
    </row>
    <row r="25" spans="1:25" ht="15.75" customHeight="1" x14ac:dyDescent="0.35">
      <c r="A25" s="21">
        <v>15</v>
      </c>
      <c r="B25" s="21" t="s">
        <v>55</v>
      </c>
      <c r="C25" s="22" t="s">
        <v>56</v>
      </c>
      <c r="D25" s="23" t="s">
        <v>60</v>
      </c>
      <c r="E25" s="24">
        <v>83</v>
      </c>
      <c r="F25" s="24">
        <v>380000</v>
      </c>
      <c r="G25" s="25">
        <v>0.18</v>
      </c>
      <c r="H25" s="26">
        <v>401881.818181818</v>
      </c>
      <c r="I25" s="27">
        <f t="shared" si="22"/>
        <v>448400</v>
      </c>
      <c r="J25" s="28">
        <f t="shared" si="23"/>
        <v>68400</v>
      </c>
      <c r="K25" s="29">
        <f t="shared" si="24"/>
        <v>0.18</v>
      </c>
      <c r="L25" s="28">
        <f t="shared" si="25"/>
        <v>4578.3132530120483</v>
      </c>
      <c r="M25" s="28">
        <f t="shared" si="26"/>
        <v>5402.4096385542171</v>
      </c>
      <c r="N25" s="28">
        <f t="shared" si="27"/>
        <v>824.09638554216872</v>
      </c>
      <c r="O25" s="30">
        <f t="shared" si="28"/>
        <v>37.727272727272727</v>
      </c>
      <c r="P25" s="28">
        <f t="shared" si="29"/>
        <v>21881.81818181818</v>
      </c>
      <c r="Q25" s="31">
        <v>0.47589999999999999</v>
      </c>
      <c r="R25" s="32">
        <f t="shared" si="30"/>
        <v>415848.44</v>
      </c>
      <c r="S25" s="32">
        <f t="shared" si="31"/>
        <v>35848.44</v>
      </c>
      <c r="T25" s="33">
        <f t="shared" si="32"/>
        <v>-32551.559999999998</v>
      </c>
    </row>
    <row r="26" spans="1:25" ht="15.75" customHeight="1" x14ac:dyDescent="0.35">
      <c r="A26" s="34">
        <v>16</v>
      </c>
      <c r="B26" s="34" t="s">
        <v>55</v>
      </c>
      <c r="C26" s="35" t="s">
        <v>56</v>
      </c>
      <c r="D26" s="36" t="s">
        <v>61</v>
      </c>
      <c r="E26" s="24">
        <v>124</v>
      </c>
      <c r="F26" s="24">
        <v>380000</v>
      </c>
      <c r="G26" s="25">
        <v>0.18</v>
      </c>
      <c r="H26" s="26">
        <v>412690.909090909</v>
      </c>
      <c r="I26" s="27">
        <f t="shared" si="22"/>
        <v>448400</v>
      </c>
      <c r="J26" s="28">
        <f t="shared" si="23"/>
        <v>68400</v>
      </c>
      <c r="K26" s="29">
        <f t="shared" si="24"/>
        <v>0.18</v>
      </c>
      <c r="L26" s="28">
        <f t="shared" si="25"/>
        <v>3064.516129032258</v>
      </c>
      <c r="M26" s="28">
        <f t="shared" si="26"/>
        <v>3616.1290322580644</v>
      </c>
      <c r="N26" s="28">
        <f t="shared" si="27"/>
        <v>551.61290322580635</v>
      </c>
      <c r="O26" s="30">
        <f t="shared" si="28"/>
        <v>56.36363636363636</v>
      </c>
      <c r="P26" s="28">
        <f t="shared" si="29"/>
        <v>32690.909090909088</v>
      </c>
      <c r="Q26" s="31">
        <v>0.47589999999999999</v>
      </c>
      <c r="R26" s="32">
        <f t="shared" si="30"/>
        <v>415848.44</v>
      </c>
      <c r="S26" s="32">
        <f t="shared" si="31"/>
        <v>35848.44</v>
      </c>
      <c r="T26" s="33">
        <f t="shared" si="32"/>
        <v>-32551.559999999998</v>
      </c>
    </row>
    <row r="27" spans="1:25" ht="15.75" customHeight="1" x14ac:dyDescent="0.35">
      <c r="A27" s="21">
        <v>17</v>
      </c>
      <c r="B27" s="21" t="s">
        <v>55</v>
      </c>
      <c r="C27" s="22" t="s">
        <v>56</v>
      </c>
      <c r="D27" s="23" t="s">
        <v>62</v>
      </c>
      <c r="E27" s="24">
        <v>104</v>
      </c>
      <c r="F27" s="24">
        <v>380000</v>
      </c>
      <c r="G27" s="25">
        <v>0.18</v>
      </c>
      <c r="H27" s="26">
        <v>407418.181818182</v>
      </c>
      <c r="I27" s="27">
        <f t="shared" si="22"/>
        <v>448400</v>
      </c>
      <c r="J27" s="28">
        <f t="shared" si="23"/>
        <v>68400</v>
      </c>
      <c r="K27" s="29">
        <f t="shared" si="24"/>
        <v>0.18</v>
      </c>
      <c r="L27" s="28">
        <f t="shared" si="25"/>
        <v>3653.8461538461538</v>
      </c>
      <c r="M27" s="28">
        <f t="shared" si="26"/>
        <v>4311.5384615384619</v>
      </c>
      <c r="N27" s="28">
        <f t="shared" si="27"/>
        <v>657.69230769230808</v>
      </c>
      <c r="O27" s="30">
        <f t="shared" si="28"/>
        <v>47.272727272727266</v>
      </c>
      <c r="P27" s="28">
        <f t="shared" si="29"/>
        <v>27418.181818181816</v>
      </c>
      <c r="Q27" s="31">
        <v>0.47589999999999999</v>
      </c>
      <c r="R27" s="32">
        <f t="shared" si="30"/>
        <v>415848.44</v>
      </c>
      <c r="S27" s="32">
        <f t="shared" si="31"/>
        <v>35848.44</v>
      </c>
      <c r="T27" s="33">
        <f t="shared" si="32"/>
        <v>-32551.559999999998</v>
      </c>
    </row>
    <row r="28" spans="1:25" ht="15.75" customHeight="1" x14ac:dyDescent="0.35">
      <c r="A28" s="34">
        <v>18</v>
      </c>
      <c r="B28" s="34" t="s">
        <v>55</v>
      </c>
      <c r="C28" s="35" t="s">
        <v>56</v>
      </c>
      <c r="D28" s="36" t="s">
        <v>63</v>
      </c>
      <c r="E28" s="24">
        <v>151</v>
      </c>
      <c r="F28" s="24">
        <v>380000</v>
      </c>
      <c r="G28" s="25">
        <v>0.18</v>
      </c>
      <c r="H28" s="26">
        <v>419809.090909091</v>
      </c>
      <c r="I28" s="27">
        <f t="shared" si="22"/>
        <v>448400</v>
      </c>
      <c r="J28" s="28">
        <f t="shared" si="23"/>
        <v>68400</v>
      </c>
      <c r="K28" s="29">
        <f t="shared" si="24"/>
        <v>0.18</v>
      </c>
      <c r="L28" s="28">
        <f t="shared" si="25"/>
        <v>2516.5562913907283</v>
      </c>
      <c r="M28" s="28">
        <f t="shared" si="26"/>
        <v>2969.5364238410598</v>
      </c>
      <c r="N28" s="28">
        <f t="shared" si="27"/>
        <v>452.98013245033144</v>
      </c>
      <c r="O28" s="30">
        <f t="shared" si="28"/>
        <v>68.636363636363626</v>
      </c>
      <c r="P28" s="28">
        <f t="shared" si="29"/>
        <v>39809.090909090904</v>
      </c>
      <c r="Q28" s="31">
        <v>0.47589999999999999</v>
      </c>
      <c r="R28" s="32">
        <f t="shared" si="30"/>
        <v>415848.44</v>
      </c>
      <c r="S28" s="32">
        <f t="shared" si="31"/>
        <v>35848.44</v>
      </c>
      <c r="T28" s="33">
        <f t="shared" si="32"/>
        <v>-32551.559999999998</v>
      </c>
    </row>
    <row r="29" spans="1:25" ht="15.75" customHeight="1" x14ac:dyDescent="0.35">
      <c r="A29" s="21">
        <v>19</v>
      </c>
      <c r="B29" s="21" t="s">
        <v>55</v>
      </c>
      <c r="C29" s="22" t="s">
        <v>56</v>
      </c>
      <c r="D29" s="23" t="s">
        <v>64</v>
      </c>
      <c r="E29" s="24">
        <v>119</v>
      </c>
      <c r="F29" s="24">
        <v>380000</v>
      </c>
      <c r="G29" s="25">
        <v>0.18</v>
      </c>
      <c r="H29" s="26">
        <v>411372.727272727</v>
      </c>
      <c r="I29" s="27">
        <f t="shared" si="22"/>
        <v>448400</v>
      </c>
      <c r="J29" s="28">
        <f t="shared" si="23"/>
        <v>68400</v>
      </c>
      <c r="K29" s="29">
        <f t="shared" si="24"/>
        <v>0.18</v>
      </c>
      <c r="L29" s="28">
        <f t="shared" si="25"/>
        <v>3193.2773109243699</v>
      </c>
      <c r="M29" s="28">
        <f t="shared" si="26"/>
        <v>3768.0672268907565</v>
      </c>
      <c r="N29" s="28">
        <f t="shared" si="27"/>
        <v>574.78991596638662</v>
      </c>
      <c r="O29" s="30">
        <f t="shared" si="28"/>
        <v>54.090909090909086</v>
      </c>
      <c r="P29" s="28">
        <f t="shared" si="29"/>
        <v>31372.727272727268</v>
      </c>
      <c r="Q29" s="31">
        <v>0.47589999999999999</v>
      </c>
      <c r="R29" s="32">
        <f t="shared" si="30"/>
        <v>415848.44</v>
      </c>
      <c r="S29" s="32">
        <f t="shared" si="31"/>
        <v>35848.44</v>
      </c>
      <c r="T29" s="33">
        <f t="shared" si="32"/>
        <v>-32551.559999999998</v>
      </c>
    </row>
    <row r="30" spans="1:25" ht="15.75" customHeight="1" x14ac:dyDescent="0.35">
      <c r="A30" s="34">
        <v>20</v>
      </c>
      <c r="B30" s="34" t="s">
        <v>55</v>
      </c>
      <c r="C30" s="35" t="s">
        <v>56</v>
      </c>
      <c r="D30" s="36" t="s">
        <v>65</v>
      </c>
      <c r="E30" s="24">
        <v>177</v>
      </c>
      <c r="F30" s="24">
        <v>400000</v>
      </c>
      <c r="G30" s="25">
        <v>0.18</v>
      </c>
      <c r="H30" s="26">
        <v>446663.636363636</v>
      </c>
      <c r="I30" s="27">
        <f t="shared" si="22"/>
        <v>472000</v>
      </c>
      <c r="J30" s="28">
        <f t="shared" si="23"/>
        <v>72000</v>
      </c>
      <c r="K30" s="29">
        <f t="shared" si="24"/>
        <v>0.18</v>
      </c>
      <c r="L30" s="28">
        <f t="shared" si="25"/>
        <v>2259.8870056497176</v>
      </c>
      <c r="M30" s="28">
        <f t="shared" si="26"/>
        <v>2666.6666666666665</v>
      </c>
      <c r="N30" s="28">
        <f t="shared" si="27"/>
        <v>406.77966101694892</v>
      </c>
      <c r="O30" s="30">
        <f t="shared" si="28"/>
        <v>80.454545454545453</v>
      </c>
      <c r="P30" s="28">
        <f t="shared" si="29"/>
        <v>46663.63636363636</v>
      </c>
      <c r="Q30" s="31">
        <v>0.47589999999999999</v>
      </c>
      <c r="R30" s="32">
        <f t="shared" si="30"/>
        <v>437735.2</v>
      </c>
      <c r="S30" s="32">
        <f t="shared" si="31"/>
        <v>37735.200000000004</v>
      </c>
      <c r="T30" s="33">
        <f t="shared" si="32"/>
        <v>-34264.799999999988</v>
      </c>
    </row>
    <row r="31" spans="1:25" ht="15.75" customHeight="1" x14ac:dyDescent="0.35">
      <c r="A31" s="21">
        <v>21</v>
      </c>
      <c r="B31" s="21" t="s">
        <v>55</v>
      </c>
      <c r="C31" s="22" t="s">
        <v>56</v>
      </c>
      <c r="D31" s="23" t="s">
        <v>66</v>
      </c>
      <c r="E31" s="24">
        <v>74</v>
      </c>
      <c r="F31" s="24">
        <v>380000</v>
      </c>
      <c r="G31" s="25">
        <v>0.18</v>
      </c>
      <c r="H31" s="26">
        <v>399509.090909091</v>
      </c>
      <c r="I31" s="27">
        <f t="shared" si="22"/>
        <v>448400</v>
      </c>
      <c r="J31" s="28">
        <f t="shared" si="23"/>
        <v>68400</v>
      </c>
      <c r="K31" s="29">
        <f t="shared" si="24"/>
        <v>0.18</v>
      </c>
      <c r="L31" s="28">
        <f t="shared" si="25"/>
        <v>5135.135135135135</v>
      </c>
      <c r="M31" s="28">
        <f t="shared" si="26"/>
        <v>6059.4594594594591</v>
      </c>
      <c r="N31" s="28">
        <f t="shared" si="27"/>
        <v>924.32432432432415</v>
      </c>
      <c r="O31" s="30">
        <f t="shared" si="28"/>
        <v>33.636363636363633</v>
      </c>
      <c r="P31" s="28">
        <f t="shared" si="29"/>
        <v>19509.090909090908</v>
      </c>
      <c r="Q31" s="31">
        <v>0.47589999999999999</v>
      </c>
      <c r="R31" s="32">
        <f t="shared" si="30"/>
        <v>415848.44</v>
      </c>
      <c r="S31" s="32">
        <f t="shared" si="31"/>
        <v>35848.44</v>
      </c>
      <c r="T31" s="33">
        <f t="shared" si="32"/>
        <v>-32551.559999999998</v>
      </c>
    </row>
    <row r="32" spans="1:25" ht="15.75" customHeight="1" x14ac:dyDescent="0.35">
      <c r="A32" s="34">
        <v>22</v>
      </c>
      <c r="B32" s="34" t="s">
        <v>55</v>
      </c>
      <c r="C32" s="35" t="s">
        <v>56</v>
      </c>
      <c r="D32" s="36" t="s">
        <v>67</v>
      </c>
      <c r="E32" s="24">
        <v>154</v>
      </c>
      <c r="F32" s="24">
        <v>380000</v>
      </c>
      <c r="G32" s="25">
        <v>0.18</v>
      </c>
      <c r="H32" s="26">
        <v>420600</v>
      </c>
      <c r="I32" s="27">
        <f t="shared" si="22"/>
        <v>448400</v>
      </c>
      <c r="J32" s="28">
        <f t="shared" si="23"/>
        <v>68400</v>
      </c>
      <c r="K32" s="29">
        <f t="shared" si="24"/>
        <v>0.18</v>
      </c>
      <c r="L32" s="28">
        <f t="shared" si="25"/>
        <v>2467.5324675324673</v>
      </c>
      <c r="M32" s="28">
        <f t="shared" si="26"/>
        <v>2911.6883116883118</v>
      </c>
      <c r="N32" s="28">
        <f t="shared" si="27"/>
        <v>444.15584415584453</v>
      </c>
      <c r="O32" s="30">
        <f t="shared" si="28"/>
        <v>70</v>
      </c>
      <c r="P32" s="28">
        <f t="shared" si="29"/>
        <v>40600</v>
      </c>
      <c r="Q32" s="31">
        <v>0.47589999999999999</v>
      </c>
      <c r="R32" s="32">
        <f t="shared" si="30"/>
        <v>415848.44</v>
      </c>
      <c r="S32" s="32">
        <f t="shared" si="31"/>
        <v>35848.44</v>
      </c>
      <c r="T32" s="33">
        <f t="shared" si="32"/>
        <v>-32551.559999999998</v>
      </c>
    </row>
    <row r="33" spans="1:23" ht="15.75" customHeight="1" x14ac:dyDescent="0.35">
      <c r="A33" s="21">
        <v>23</v>
      </c>
      <c r="B33" s="21" t="s">
        <v>55</v>
      </c>
      <c r="C33" s="22" t="s">
        <v>56</v>
      </c>
      <c r="D33" s="23" t="s">
        <v>68</v>
      </c>
      <c r="E33" s="24">
        <v>67</v>
      </c>
      <c r="F33" s="24">
        <v>380000</v>
      </c>
      <c r="G33" s="25">
        <v>0.18</v>
      </c>
      <c r="H33" s="26">
        <v>397663.636363636</v>
      </c>
      <c r="I33" s="27">
        <f t="shared" si="22"/>
        <v>448400</v>
      </c>
      <c r="J33" s="28">
        <f t="shared" si="23"/>
        <v>68400</v>
      </c>
      <c r="K33" s="29">
        <f t="shared" si="24"/>
        <v>0.18</v>
      </c>
      <c r="L33" s="28">
        <f t="shared" si="25"/>
        <v>5671.6417910447763</v>
      </c>
      <c r="M33" s="28">
        <f t="shared" si="26"/>
        <v>6692.5373134328356</v>
      </c>
      <c r="N33" s="28">
        <f t="shared" si="27"/>
        <v>1020.8955223880594</v>
      </c>
      <c r="O33" s="30">
        <f t="shared" si="28"/>
        <v>30.454545454545453</v>
      </c>
      <c r="P33" s="28">
        <f t="shared" si="29"/>
        <v>17663.636363636364</v>
      </c>
      <c r="Q33" s="31">
        <v>0.47589999999999999</v>
      </c>
      <c r="R33" s="32">
        <f t="shared" si="30"/>
        <v>415848.44</v>
      </c>
      <c r="S33" s="32">
        <f t="shared" si="31"/>
        <v>35848.44</v>
      </c>
      <c r="T33" s="33">
        <f t="shared" si="32"/>
        <v>-32551.559999999998</v>
      </c>
    </row>
    <row r="34" spans="1:23" ht="15.75" customHeight="1" x14ac:dyDescent="0.35">
      <c r="A34" s="34">
        <v>24</v>
      </c>
      <c r="B34" s="34" t="s">
        <v>55</v>
      </c>
      <c r="C34" s="35" t="s">
        <v>56</v>
      </c>
      <c r="D34" s="36" t="s">
        <v>69</v>
      </c>
      <c r="E34" s="24">
        <v>148</v>
      </c>
      <c r="F34" s="24">
        <v>380000</v>
      </c>
      <c r="G34" s="25">
        <v>0.18</v>
      </c>
      <c r="H34" s="26">
        <v>419018.181818182</v>
      </c>
      <c r="I34" s="27">
        <f t="shared" si="22"/>
        <v>448400</v>
      </c>
      <c r="J34" s="28">
        <f t="shared" si="23"/>
        <v>68400</v>
      </c>
      <c r="K34" s="29">
        <f t="shared" si="24"/>
        <v>0.18</v>
      </c>
      <c r="L34" s="28">
        <f t="shared" si="25"/>
        <v>2567.5675675675675</v>
      </c>
      <c r="M34" s="28">
        <f t="shared" si="26"/>
        <v>3029.7297297297296</v>
      </c>
      <c r="N34" s="28">
        <f t="shared" si="27"/>
        <v>462.16216216216208</v>
      </c>
      <c r="O34" s="30">
        <f t="shared" si="28"/>
        <v>67.272727272727266</v>
      </c>
      <c r="P34" s="28">
        <f t="shared" si="29"/>
        <v>39018.181818181816</v>
      </c>
      <c r="Q34" s="31">
        <v>0.47589999999999999</v>
      </c>
      <c r="R34" s="32">
        <f t="shared" si="30"/>
        <v>415848.44</v>
      </c>
      <c r="S34" s="32">
        <f t="shared" si="31"/>
        <v>35848.44</v>
      </c>
      <c r="T34" s="33">
        <f t="shared" si="32"/>
        <v>-32551.559999999998</v>
      </c>
    </row>
    <row r="35" spans="1:23" ht="15.75" customHeight="1" x14ac:dyDescent="0.35">
      <c r="A35" s="21">
        <v>25</v>
      </c>
      <c r="B35" s="21" t="s">
        <v>55</v>
      </c>
      <c r="C35" s="22" t="s">
        <v>56</v>
      </c>
      <c r="D35" s="23" t="s">
        <v>70</v>
      </c>
      <c r="E35" s="24">
        <v>53</v>
      </c>
      <c r="F35" s="24">
        <v>280000</v>
      </c>
      <c r="G35" s="25">
        <v>0.18</v>
      </c>
      <c r="H35" s="26">
        <v>293972.727272727</v>
      </c>
      <c r="I35" s="27">
        <f t="shared" si="22"/>
        <v>330400</v>
      </c>
      <c r="J35" s="28">
        <f t="shared" si="23"/>
        <v>50400</v>
      </c>
      <c r="K35" s="29">
        <f t="shared" si="24"/>
        <v>0.18</v>
      </c>
      <c r="L35" s="28">
        <f t="shared" si="25"/>
        <v>5283.0188679245284</v>
      </c>
      <c r="M35" s="28">
        <f t="shared" si="26"/>
        <v>6233.9622641509432</v>
      </c>
      <c r="N35" s="28">
        <f t="shared" si="27"/>
        <v>950.94339622641473</v>
      </c>
      <c r="O35" s="30">
        <f t="shared" si="28"/>
        <v>24.09090909090909</v>
      </c>
      <c r="P35" s="28">
        <f t="shared" si="29"/>
        <v>13972.727272727272</v>
      </c>
      <c r="Q35" s="31">
        <v>0.47589999999999999</v>
      </c>
      <c r="R35" s="32">
        <f t="shared" si="30"/>
        <v>306414.64</v>
      </c>
      <c r="S35" s="32">
        <f t="shared" si="31"/>
        <v>26414.639999999999</v>
      </c>
      <c r="T35" s="33">
        <f t="shared" si="32"/>
        <v>-23985.359999999986</v>
      </c>
    </row>
    <row r="36" spans="1:23" ht="15.75" customHeight="1" x14ac:dyDescent="0.35">
      <c r="A36" s="34">
        <v>26</v>
      </c>
      <c r="B36" s="34" t="s">
        <v>55</v>
      </c>
      <c r="C36" s="35" t="s">
        <v>56</v>
      </c>
      <c r="D36" s="36" t="s">
        <v>71</v>
      </c>
      <c r="E36" s="24">
        <v>149</v>
      </c>
      <c r="F36" s="24">
        <v>380000</v>
      </c>
      <c r="G36" s="25">
        <v>0.18</v>
      </c>
      <c r="H36" s="26">
        <v>419281.818181818</v>
      </c>
      <c r="I36" s="27">
        <f t="shared" si="22"/>
        <v>448400</v>
      </c>
      <c r="J36" s="28">
        <f t="shared" si="23"/>
        <v>68400</v>
      </c>
      <c r="K36" s="29">
        <f t="shared" si="24"/>
        <v>0.18</v>
      </c>
      <c r="L36" s="28">
        <f t="shared" si="25"/>
        <v>2550.3355704697988</v>
      </c>
      <c r="M36" s="28">
        <f t="shared" si="26"/>
        <v>3009.3959731543623</v>
      </c>
      <c r="N36" s="28">
        <f t="shared" si="27"/>
        <v>459.06040268456354</v>
      </c>
      <c r="O36" s="30">
        <f t="shared" si="28"/>
        <v>67.72727272727272</v>
      </c>
      <c r="P36" s="28">
        <f t="shared" si="29"/>
        <v>39281.818181818177</v>
      </c>
      <c r="Q36" s="31">
        <v>0.47589999999999999</v>
      </c>
      <c r="R36" s="32">
        <f t="shared" si="30"/>
        <v>415848.44</v>
      </c>
      <c r="S36" s="32">
        <f t="shared" si="31"/>
        <v>35848.44</v>
      </c>
      <c r="T36" s="33">
        <f t="shared" si="32"/>
        <v>-32551.559999999998</v>
      </c>
    </row>
    <row r="37" spans="1:23" ht="15.75" customHeight="1" x14ac:dyDescent="0.35">
      <c r="A37" s="21">
        <v>27</v>
      </c>
      <c r="B37" s="21" t="s">
        <v>55</v>
      </c>
      <c r="C37" s="22" t="s">
        <v>56</v>
      </c>
      <c r="D37" s="23" t="s">
        <v>72</v>
      </c>
      <c r="E37" s="24">
        <v>137</v>
      </c>
      <c r="F37" s="24">
        <v>380000</v>
      </c>
      <c r="G37" s="25">
        <v>0.18</v>
      </c>
      <c r="H37" s="26">
        <v>416118.181818182</v>
      </c>
      <c r="I37" s="27">
        <f t="shared" si="22"/>
        <v>448400</v>
      </c>
      <c r="J37" s="28">
        <f t="shared" si="23"/>
        <v>68400</v>
      </c>
      <c r="K37" s="29">
        <f t="shared" si="24"/>
        <v>0.18</v>
      </c>
      <c r="L37" s="28">
        <f t="shared" si="25"/>
        <v>2773.7226277372265</v>
      </c>
      <c r="M37" s="28">
        <f t="shared" si="26"/>
        <v>3272.992700729927</v>
      </c>
      <c r="N37" s="28">
        <f t="shared" si="27"/>
        <v>499.27007299270053</v>
      </c>
      <c r="O37" s="30">
        <f t="shared" si="28"/>
        <v>62.272727272727266</v>
      </c>
      <c r="P37" s="28">
        <f t="shared" si="29"/>
        <v>36118.181818181816</v>
      </c>
      <c r="Q37" s="31">
        <v>0.47589999999999999</v>
      </c>
      <c r="R37" s="32">
        <f t="shared" si="30"/>
        <v>415848.44</v>
      </c>
      <c r="S37" s="32">
        <f t="shared" si="31"/>
        <v>35848.44</v>
      </c>
      <c r="T37" s="33">
        <f t="shared" si="32"/>
        <v>-32551.559999999998</v>
      </c>
    </row>
    <row r="38" spans="1:23" ht="15.75" customHeight="1" x14ac:dyDescent="0.35">
      <c r="A38" s="34">
        <v>28</v>
      </c>
      <c r="B38" s="34" t="s">
        <v>55</v>
      </c>
      <c r="C38" s="35" t="s">
        <v>56</v>
      </c>
      <c r="D38" s="36" t="s">
        <v>73</v>
      </c>
      <c r="E38" s="24">
        <v>85</v>
      </c>
      <c r="F38" s="24">
        <v>380000</v>
      </c>
      <c r="G38" s="25">
        <v>0.18</v>
      </c>
      <c r="H38" s="26">
        <v>402409.090909091</v>
      </c>
      <c r="I38" s="27">
        <f t="shared" si="22"/>
        <v>448400</v>
      </c>
      <c r="J38" s="28">
        <f t="shared" si="23"/>
        <v>68400</v>
      </c>
      <c r="K38" s="29">
        <f t="shared" si="24"/>
        <v>0.18</v>
      </c>
      <c r="L38" s="28">
        <f t="shared" si="25"/>
        <v>4470.588235294118</v>
      </c>
      <c r="M38" s="28">
        <f t="shared" si="26"/>
        <v>5275.2941176470586</v>
      </c>
      <c r="N38" s="28">
        <f t="shared" si="27"/>
        <v>804.70588235294053</v>
      </c>
      <c r="O38" s="30">
        <f t="shared" si="28"/>
        <v>38.636363636363633</v>
      </c>
      <c r="P38" s="28">
        <f t="shared" si="29"/>
        <v>22409.090909090908</v>
      </c>
      <c r="Q38" s="31">
        <v>0.20860000000000001</v>
      </c>
      <c r="R38" s="32">
        <f t="shared" si="30"/>
        <v>434131.76</v>
      </c>
      <c r="S38" s="32">
        <f t="shared" si="31"/>
        <v>54131.76</v>
      </c>
      <c r="T38" s="33">
        <f t="shared" si="32"/>
        <v>-14268.239999999991</v>
      </c>
    </row>
    <row r="39" spans="1:23" ht="15.75" customHeight="1" x14ac:dyDescent="0.35">
      <c r="A39" s="21">
        <v>29</v>
      </c>
      <c r="B39" s="21" t="s">
        <v>55</v>
      </c>
      <c r="C39" s="22" t="s">
        <v>56</v>
      </c>
      <c r="D39" s="23" t="s">
        <v>74</v>
      </c>
      <c r="E39" s="24">
        <v>60</v>
      </c>
      <c r="F39" s="24">
        <v>280000</v>
      </c>
      <c r="G39" s="25">
        <v>0.18</v>
      </c>
      <c r="H39" s="26">
        <v>295818.181818182</v>
      </c>
      <c r="I39" s="27">
        <f t="shared" si="22"/>
        <v>330400</v>
      </c>
      <c r="J39" s="28">
        <f t="shared" si="23"/>
        <v>50400</v>
      </c>
      <c r="K39" s="29">
        <f t="shared" si="24"/>
        <v>0.18</v>
      </c>
      <c r="L39" s="28">
        <f t="shared" si="25"/>
        <v>4666.666666666667</v>
      </c>
      <c r="M39" s="28">
        <f t="shared" si="26"/>
        <v>5506.666666666667</v>
      </c>
      <c r="N39" s="28">
        <f t="shared" si="27"/>
        <v>840</v>
      </c>
      <c r="O39" s="30">
        <f t="shared" si="28"/>
        <v>27.27272727272727</v>
      </c>
      <c r="P39" s="28">
        <f t="shared" si="29"/>
        <v>15818.181818181816</v>
      </c>
      <c r="Q39" s="31">
        <v>0.47589999999999999</v>
      </c>
      <c r="R39" s="32">
        <f t="shared" si="30"/>
        <v>306414.64</v>
      </c>
      <c r="S39" s="32">
        <f t="shared" si="31"/>
        <v>26414.639999999999</v>
      </c>
      <c r="T39" s="33">
        <f t="shared" si="32"/>
        <v>-23985.359999999986</v>
      </c>
    </row>
    <row r="40" spans="1:23" ht="15.75" customHeight="1" x14ac:dyDescent="0.35">
      <c r="A40" s="34">
        <v>30</v>
      </c>
      <c r="B40" s="34" t="s">
        <v>55</v>
      </c>
      <c r="C40" s="35" t="s">
        <v>56</v>
      </c>
      <c r="D40" s="36" t="s">
        <v>56</v>
      </c>
      <c r="E40" s="24">
        <v>42</v>
      </c>
      <c r="F40" s="24">
        <v>280000</v>
      </c>
      <c r="G40" s="25">
        <v>0.18</v>
      </c>
      <c r="H40" s="26">
        <v>291072.727272727</v>
      </c>
      <c r="I40" s="27">
        <f t="shared" si="22"/>
        <v>330400</v>
      </c>
      <c r="J40" s="28">
        <f t="shared" si="23"/>
        <v>50400</v>
      </c>
      <c r="K40" s="29">
        <f t="shared" si="24"/>
        <v>0.18</v>
      </c>
      <c r="L40" s="28">
        <f t="shared" si="25"/>
        <v>6666.666666666667</v>
      </c>
      <c r="M40" s="28">
        <f t="shared" si="26"/>
        <v>7866.666666666667</v>
      </c>
      <c r="N40" s="28">
        <f t="shared" si="27"/>
        <v>1200</v>
      </c>
      <c r="O40" s="30">
        <f t="shared" si="28"/>
        <v>19.09090909090909</v>
      </c>
      <c r="P40" s="28">
        <f t="shared" si="29"/>
        <v>11072.727272727272</v>
      </c>
      <c r="Q40" s="31">
        <v>0.47589999999999999</v>
      </c>
      <c r="R40" s="32">
        <f t="shared" si="30"/>
        <v>306414.64</v>
      </c>
      <c r="S40" s="32">
        <f t="shared" si="31"/>
        <v>26414.639999999999</v>
      </c>
      <c r="T40" s="33">
        <f t="shared" si="32"/>
        <v>-23985.359999999986</v>
      </c>
    </row>
    <row r="41" spans="1:23" ht="18" customHeight="1" x14ac:dyDescent="0.35">
      <c r="A41" s="20" t="s">
        <v>75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23" ht="15.75" customHeight="1" x14ac:dyDescent="0.35">
      <c r="A42" s="34">
        <v>31</v>
      </c>
      <c r="B42" s="34" t="s">
        <v>76</v>
      </c>
      <c r="C42" s="35" t="s">
        <v>77</v>
      </c>
      <c r="D42" s="36" t="s">
        <v>78</v>
      </c>
      <c r="E42" s="24">
        <v>147</v>
      </c>
      <c r="F42" s="24">
        <v>300000</v>
      </c>
      <c r="G42" s="25">
        <v>0.18</v>
      </c>
      <c r="H42" s="26">
        <v>338754.54545454599</v>
      </c>
      <c r="I42" s="27">
        <f t="shared" ref="I42:I59" si="33">F42*(1+G42)</f>
        <v>354000</v>
      </c>
      <c r="J42" s="28">
        <f t="shared" ref="J42:J59" si="34">I42-F42</f>
        <v>54000</v>
      </c>
      <c r="K42" s="29">
        <f t="shared" ref="K42:K59" si="35">J42/F42</f>
        <v>0.18</v>
      </c>
      <c r="L42" s="28">
        <f t="shared" ref="L42:L59" si="36">F42/E42</f>
        <v>2040.8163265306123</v>
      </c>
      <c r="M42" s="28">
        <f t="shared" ref="M42:M59" si="37">I42/E42</f>
        <v>2408.1632653061224</v>
      </c>
      <c r="N42" s="28">
        <f t="shared" ref="N42:N59" si="38">M42-L42</f>
        <v>367.34693877551013</v>
      </c>
      <c r="O42" s="30">
        <f t="shared" ref="O42:O59" si="39">E42/2.2</f>
        <v>66.818181818181813</v>
      </c>
      <c r="P42" s="28">
        <f t="shared" ref="P42:P59" si="40">O42*580</f>
        <v>38754.545454545449</v>
      </c>
      <c r="Q42" s="31">
        <v>0.47589999999999999</v>
      </c>
      <c r="R42" s="32">
        <f t="shared" ref="R42:R59" si="41">+F42+S42</f>
        <v>328301.40000000002</v>
      </c>
      <c r="S42" s="32">
        <f t="shared" ref="S42:S59" si="42">J42*(1-Q42)</f>
        <v>28301.4</v>
      </c>
      <c r="T42" s="33">
        <f t="shared" ref="T42:T59" si="43">+R42-I42</f>
        <v>-25698.599999999977</v>
      </c>
    </row>
    <row r="43" spans="1:23" ht="15.75" customHeight="1" x14ac:dyDescent="0.35">
      <c r="A43" s="21">
        <v>32</v>
      </c>
      <c r="B43" s="21" t="s">
        <v>76</v>
      </c>
      <c r="C43" s="22" t="s">
        <v>77</v>
      </c>
      <c r="D43" s="23" t="s">
        <v>79</v>
      </c>
      <c r="E43" s="24">
        <v>103</v>
      </c>
      <c r="F43" s="24">
        <v>300000</v>
      </c>
      <c r="G43" s="25">
        <v>0.18</v>
      </c>
      <c r="H43" s="26">
        <v>327154.54545454599</v>
      </c>
      <c r="I43" s="27">
        <f t="shared" si="33"/>
        <v>354000</v>
      </c>
      <c r="J43" s="28">
        <f t="shared" si="34"/>
        <v>54000</v>
      </c>
      <c r="K43" s="29">
        <f t="shared" si="35"/>
        <v>0.18</v>
      </c>
      <c r="L43" s="28">
        <f t="shared" si="36"/>
        <v>2912.6213592233012</v>
      </c>
      <c r="M43" s="28">
        <f t="shared" si="37"/>
        <v>3436.8932038834951</v>
      </c>
      <c r="N43" s="28">
        <f t="shared" si="38"/>
        <v>524.27184466019389</v>
      </c>
      <c r="O43" s="30">
        <f t="shared" si="39"/>
        <v>46.818181818181813</v>
      </c>
      <c r="P43" s="28">
        <f t="shared" si="40"/>
        <v>27154.545454545452</v>
      </c>
      <c r="Q43" s="31">
        <v>0.47589999999999999</v>
      </c>
      <c r="R43" s="32">
        <f t="shared" si="41"/>
        <v>328301.40000000002</v>
      </c>
      <c r="S43" s="32">
        <f t="shared" si="42"/>
        <v>28301.4</v>
      </c>
      <c r="T43" s="33">
        <f t="shared" si="43"/>
        <v>-25698.599999999977</v>
      </c>
    </row>
    <row r="44" spans="1:23" ht="15.75" customHeight="1" x14ac:dyDescent="0.35">
      <c r="A44" s="34">
        <v>33</v>
      </c>
      <c r="B44" s="34" t="s">
        <v>76</v>
      </c>
      <c r="C44" s="35" t="s">
        <v>77</v>
      </c>
      <c r="D44" s="36" t="s">
        <v>80</v>
      </c>
      <c r="E44" s="24">
        <v>97</v>
      </c>
      <c r="F44" s="24">
        <v>300000</v>
      </c>
      <c r="G44" s="25">
        <v>0.18</v>
      </c>
      <c r="H44" s="26">
        <v>325572.727272727</v>
      </c>
      <c r="I44" s="27">
        <f t="shared" si="33"/>
        <v>354000</v>
      </c>
      <c r="J44" s="28">
        <f t="shared" si="34"/>
        <v>54000</v>
      </c>
      <c r="K44" s="29">
        <f t="shared" si="35"/>
        <v>0.18</v>
      </c>
      <c r="L44" s="28">
        <f t="shared" si="36"/>
        <v>3092.783505154639</v>
      </c>
      <c r="M44" s="28">
        <f t="shared" si="37"/>
        <v>3649.4845360824743</v>
      </c>
      <c r="N44" s="28">
        <f t="shared" si="38"/>
        <v>556.70103092783529</v>
      </c>
      <c r="O44" s="30">
        <f t="shared" si="39"/>
        <v>44.090909090909086</v>
      </c>
      <c r="P44" s="28">
        <f t="shared" si="40"/>
        <v>25572.727272727268</v>
      </c>
      <c r="Q44" s="31">
        <v>0.47589999999999999</v>
      </c>
      <c r="R44" s="32">
        <f t="shared" si="41"/>
        <v>328301.40000000002</v>
      </c>
      <c r="S44" s="32">
        <f t="shared" si="42"/>
        <v>28301.4</v>
      </c>
      <c r="T44" s="33">
        <f t="shared" si="43"/>
        <v>-25698.599999999977</v>
      </c>
    </row>
    <row r="45" spans="1:23" ht="15.75" customHeight="1" x14ac:dyDescent="0.35">
      <c r="A45" s="21">
        <v>34</v>
      </c>
      <c r="B45" s="21" t="s">
        <v>76</v>
      </c>
      <c r="C45" s="22" t="s">
        <v>77</v>
      </c>
      <c r="D45" s="23" t="s">
        <v>81</v>
      </c>
      <c r="E45" s="24">
        <v>104</v>
      </c>
      <c r="F45" s="24">
        <v>300000</v>
      </c>
      <c r="G45" s="25">
        <v>0.18</v>
      </c>
      <c r="H45" s="26">
        <v>327418.181818182</v>
      </c>
      <c r="I45" s="27">
        <f t="shared" si="33"/>
        <v>354000</v>
      </c>
      <c r="J45" s="28">
        <f t="shared" si="34"/>
        <v>54000</v>
      </c>
      <c r="K45" s="29">
        <f t="shared" si="35"/>
        <v>0.18</v>
      </c>
      <c r="L45" s="28">
        <f t="shared" si="36"/>
        <v>2884.6153846153848</v>
      </c>
      <c r="M45" s="28">
        <f t="shared" si="37"/>
        <v>3403.8461538461538</v>
      </c>
      <c r="N45" s="28">
        <f t="shared" si="38"/>
        <v>519.23076923076906</v>
      </c>
      <c r="O45" s="30">
        <f t="shared" si="39"/>
        <v>47.272727272727266</v>
      </c>
      <c r="P45" s="28">
        <f t="shared" si="40"/>
        <v>27418.181818181816</v>
      </c>
      <c r="Q45" s="31">
        <v>0.47589999999999999</v>
      </c>
      <c r="R45" s="32">
        <f t="shared" si="41"/>
        <v>328301.40000000002</v>
      </c>
      <c r="S45" s="32">
        <f t="shared" si="42"/>
        <v>28301.4</v>
      </c>
      <c r="T45" s="33">
        <f t="shared" si="43"/>
        <v>-25698.599999999977</v>
      </c>
    </row>
    <row r="46" spans="1:23" ht="15.75" customHeight="1" x14ac:dyDescent="0.35">
      <c r="A46" s="34">
        <v>35</v>
      </c>
      <c r="B46" s="34" t="s">
        <v>76</v>
      </c>
      <c r="C46" s="35" t="s">
        <v>77</v>
      </c>
      <c r="D46" s="36" t="s">
        <v>82</v>
      </c>
      <c r="E46" s="24">
        <v>35</v>
      </c>
      <c r="F46" s="24">
        <v>280000</v>
      </c>
      <c r="G46" s="25">
        <v>0.18</v>
      </c>
      <c r="H46" s="26">
        <v>289227.272727273</v>
      </c>
      <c r="I46" s="27">
        <f t="shared" si="33"/>
        <v>330400</v>
      </c>
      <c r="J46" s="28">
        <f t="shared" si="34"/>
        <v>50400</v>
      </c>
      <c r="K46" s="29">
        <f t="shared" si="35"/>
        <v>0.18</v>
      </c>
      <c r="L46" s="28">
        <f t="shared" si="36"/>
        <v>8000</v>
      </c>
      <c r="M46" s="28">
        <f t="shared" si="37"/>
        <v>9440</v>
      </c>
      <c r="N46" s="28">
        <f t="shared" si="38"/>
        <v>1440</v>
      </c>
      <c r="O46" s="30">
        <f t="shared" si="39"/>
        <v>15.909090909090908</v>
      </c>
      <c r="P46" s="28">
        <f t="shared" si="40"/>
        <v>9227.2727272727261</v>
      </c>
      <c r="Q46" s="31">
        <v>0.47589999999999999</v>
      </c>
      <c r="R46" s="32">
        <f t="shared" si="41"/>
        <v>306414.64</v>
      </c>
      <c r="S46" s="32">
        <f t="shared" si="42"/>
        <v>26414.639999999999</v>
      </c>
      <c r="T46" s="33">
        <f t="shared" si="43"/>
        <v>-23985.359999999986</v>
      </c>
      <c r="W46" s="37"/>
    </row>
    <row r="47" spans="1:23" ht="15.75" customHeight="1" x14ac:dyDescent="0.35">
      <c r="A47" s="21">
        <v>36</v>
      </c>
      <c r="B47" s="21" t="s">
        <v>76</v>
      </c>
      <c r="C47" s="22" t="s">
        <v>77</v>
      </c>
      <c r="D47" s="23" t="s">
        <v>83</v>
      </c>
      <c r="E47" s="24">
        <v>111</v>
      </c>
      <c r="F47" s="24">
        <v>300000</v>
      </c>
      <c r="G47" s="25">
        <v>0.18</v>
      </c>
      <c r="H47" s="26">
        <v>329263.636363636</v>
      </c>
      <c r="I47" s="27">
        <f t="shared" si="33"/>
        <v>354000</v>
      </c>
      <c r="J47" s="28">
        <f t="shared" si="34"/>
        <v>54000</v>
      </c>
      <c r="K47" s="29">
        <f t="shared" si="35"/>
        <v>0.18</v>
      </c>
      <c r="L47" s="28">
        <f t="shared" si="36"/>
        <v>2702.7027027027025</v>
      </c>
      <c r="M47" s="28">
        <f t="shared" si="37"/>
        <v>3189.1891891891892</v>
      </c>
      <c r="N47" s="28">
        <f t="shared" si="38"/>
        <v>486.48648648648668</v>
      </c>
      <c r="O47" s="30">
        <f t="shared" si="39"/>
        <v>50.454545454545453</v>
      </c>
      <c r="P47" s="28">
        <f t="shared" si="40"/>
        <v>29263.636363636364</v>
      </c>
      <c r="Q47" s="31">
        <v>0.47589999999999999</v>
      </c>
      <c r="R47" s="32">
        <f t="shared" si="41"/>
        <v>328301.40000000002</v>
      </c>
      <c r="S47" s="32">
        <f t="shared" si="42"/>
        <v>28301.4</v>
      </c>
      <c r="T47" s="33">
        <f t="shared" si="43"/>
        <v>-25698.599999999977</v>
      </c>
    </row>
    <row r="48" spans="1:23" ht="15.75" customHeight="1" x14ac:dyDescent="0.35">
      <c r="A48" s="34">
        <v>37</v>
      </c>
      <c r="B48" s="34" t="s">
        <v>76</v>
      </c>
      <c r="C48" s="35" t="s">
        <v>77</v>
      </c>
      <c r="D48" s="36" t="s">
        <v>84</v>
      </c>
      <c r="E48" s="24">
        <v>76</v>
      </c>
      <c r="F48" s="24">
        <v>280000</v>
      </c>
      <c r="G48" s="25">
        <v>0.18</v>
      </c>
      <c r="H48" s="26">
        <v>300036.363636364</v>
      </c>
      <c r="I48" s="27">
        <f t="shared" si="33"/>
        <v>330400</v>
      </c>
      <c r="J48" s="28">
        <f t="shared" si="34"/>
        <v>50400</v>
      </c>
      <c r="K48" s="29">
        <f t="shared" si="35"/>
        <v>0.18</v>
      </c>
      <c r="L48" s="28">
        <f t="shared" si="36"/>
        <v>3684.2105263157896</v>
      </c>
      <c r="M48" s="28">
        <f t="shared" si="37"/>
        <v>4347.3684210526317</v>
      </c>
      <c r="N48" s="28">
        <f t="shared" si="38"/>
        <v>663.15789473684208</v>
      </c>
      <c r="O48" s="30">
        <f t="shared" si="39"/>
        <v>34.54545454545454</v>
      </c>
      <c r="P48" s="28">
        <f t="shared" si="40"/>
        <v>20036.363636363632</v>
      </c>
      <c r="Q48" s="31">
        <v>0.47589999999999999</v>
      </c>
      <c r="R48" s="32">
        <f t="shared" si="41"/>
        <v>306414.64</v>
      </c>
      <c r="S48" s="32">
        <f t="shared" si="42"/>
        <v>26414.639999999999</v>
      </c>
      <c r="T48" s="33">
        <f t="shared" si="43"/>
        <v>-23985.359999999986</v>
      </c>
    </row>
    <row r="49" spans="1:32" ht="15.75" customHeight="1" x14ac:dyDescent="0.35">
      <c r="A49" s="21">
        <v>38</v>
      </c>
      <c r="B49" s="21" t="s">
        <v>76</v>
      </c>
      <c r="C49" s="22" t="s">
        <v>77</v>
      </c>
      <c r="D49" s="23" t="s">
        <v>85</v>
      </c>
      <c r="E49" s="24">
        <v>113</v>
      </c>
      <c r="F49" s="24">
        <v>300000</v>
      </c>
      <c r="G49" s="25">
        <v>0.18</v>
      </c>
      <c r="H49" s="26">
        <v>329790.909090909</v>
      </c>
      <c r="I49" s="27">
        <f t="shared" si="33"/>
        <v>354000</v>
      </c>
      <c r="J49" s="28">
        <f t="shared" si="34"/>
        <v>54000</v>
      </c>
      <c r="K49" s="29">
        <f t="shared" si="35"/>
        <v>0.18</v>
      </c>
      <c r="L49" s="28">
        <f t="shared" si="36"/>
        <v>2654.8672566371683</v>
      </c>
      <c r="M49" s="28">
        <f t="shared" si="37"/>
        <v>3132.7433628318586</v>
      </c>
      <c r="N49" s="28">
        <f t="shared" si="38"/>
        <v>477.87610619469024</v>
      </c>
      <c r="O49" s="30">
        <f t="shared" si="39"/>
        <v>51.36363636363636</v>
      </c>
      <c r="P49" s="28">
        <f t="shared" si="40"/>
        <v>29790.909090909088</v>
      </c>
      <c r="Q49" s="31">
        <v>0.47589999999999999</v>
      </c>
      <c r="R49" s="32">
        <f t="shared" si="41"/>
        <v>328301.40000000002</v>
      </c>
      <c r="S49" s="32">
        <f t="shared" si="42"/>
        <v>28301.4</v>
      </c>
      <c r="T49" s="33">
        <f t="shared" si="43"/>
        <v>-25698.599999999977</v>
      </c>
    </row>
    <row r="50" spans="1:32" ht="15.75" customHeight="1" x14ac:dyDescent="0.35">
      <c r="A50" s="34">
        <v>39</v>
      </c>
      <c r="B50" s="34" t="s">
        <v>76</v>
      </c>
      <c r="C50" s="35" t="s">
        <v>77</v>
      </c>
      <c r="D50" s="36" t="s">
        <v>86</v>
      </c>
      <c r="E50" s="24">
        <v>89</v>
      </c>
      <c r="F50" s="24">
        <v>280000</v>
      </c>
      <c r="G50" s="25">
        <v>0.18</v>
      </c>
      <c r="H50" s="26">
        <v>303463.636363636</v>
      </c>
      <c r="I50" s="27">
        <f t="shared" si="33"/>
        <v>330400</v>
      </c>
      <c r="J50" s="28">
        <f t="shared" si="34"/>
        <v>50400</v>
      </c>
      <c r="K50" s="29">
        <f t="shared" si="35"/>
        <v>0.18</v>
      </c>
      <c r="L50" s="28">
        <f t="shared" si="36"/>
        <v>3146.067415730337</v>
      </c>
      <c r="M50" s="28">
        <f t="shared" si="37"/>
        <v>3712.3595505617977</v>
      </c>
      <c r="N50" s="28">
        <f t="shared" si="38"/>
        <v>566.29213483146077</v>
      </c>
      <c r="O50" s="30">
        <f t="shared" si="39"/>
        <v>40.454545454545453</v>
      </c>
      <c r="P50" s="28">
        <f t="shared" si="40"/>
        <v>23463.636363636364</v>
      </c>
      <c r="Q50" s="31">
        <v>0.47589999999999999</v>
      </c>
      <c r="R50" s="32">
        <f t="shared" si="41"/>
        <v>306414.64</v>
      </c>
      <c r="S50" s="32">
        <f t="shared" si="42"/>
        <v>26414.639999999999</v>
      </c>
      <c r="T50" s="33">
        <f t="shared" si="43"/>
        <v>-23985.359999999986</v>
      </c>
    </row>
    <row r="51" spans="1:32" ht="15.75" customHeight="1" x14ac:dyDescent="0.35">
      <c r="A51" s="21">
        <v>40</v>
      </c>
      <c r="B51" s="21" t="s">
        <v>76</v>
      </c>
      <c r="C51" s="22" t="s">
        <v>77</v>
      </c>
      <c r="D51" s="23" t="s">
        <v>87</v>
      </c>
      <c r="E51" s="24">
        <v>56</v>
      </c>
      <c r="F51" s="24">
        <v>280000</v>
      </c>
      <c r="G51" s="25">
        <v>0.18</v>
      </c>
      <c r="H51" s="26">
        <v>294763.636363636</v>
      </c>
      <c r="I51" s="27">
        <f t="shared" si="33"/>
        <v>330400</v>
      </c>
      <c r="J51" s="28">
        <f t="shared" si="34"/>
        <v>50400</v>
      </c>
      <c r="K51" s="29">
        <f t="shared" si="35"/>
        <v>0.18</v>
      </c>
      <c r="L51" s="28">
        <f t="shared" si="36"/>
        <v>5000</v>
      </c>
      <c r="M51" s="28">
        <f t="shared" si="37"/>
        <v>5900</v>
      </c>
      <c r="N51" s="28">
        <f t="shared" si="38"/>
        <v>900</v>
      </c>
      <c r="O51" s="30">
        <f t="shared" si="39"/>
        <v>25.454545454545453</v>
      </c>
      <c r="P51" s="28">
        <f t="shared" si="40"/>
        <v>14763.636363636362</v>
      </c>
      <c r="Q51" s="31">
        <v>0.47589999999999999</v>
      </c>
      <c r="R51" s="32">
        <f t="shared" si="41"/>
        <v>306414.64</v>
      </c>
      <c r="S51" s="32">
        <f t="shared" si="42"/>
        <v>26414.639999999999</v>
      </c>
      <c r="T51" s="33">
        <f t="shared" si="43"/>
        <v>-23985.359999999986</v>
      </c>
    </row>
    <row r="52" spans="1:32" ht="15.75" customHeight="1" x14ac:dyDescent="0.35">
      <c r="A52" s="34">
        <v>41</v>
      </c>
      <c r="B52" s="34" t="s">
        <v>76</v>
      </c>
      <c r="C52" s="35" t="s">
        <v>77</v>
      </c>
      <c r="D52" s="36" t="s">
        <v>88</v>
      </c>
      <c r="E52" s="24">
        <v>59</v>
      </c>
      <c r="F52" s="24">
        <v>280000</v>
      </c>
      <c r="G52" s="25">
        <v>0.18</v>
      </c>
      <c r="H52" s="26">
        <v>295554.54545454599</v>
      </c>
      <c r="I52" s="27">
        <f t="shared" si="33"/>
        <v>330400</v>
      </c>
      <c r="J52" s="28">
        <f t="shared" si="34"/>
        <v>50400</v>
      </c>
      <c r="K52" s="29">
        <f t="shared" si="35"/>
        <v>0.18</v>
      </c>
      <c r="L52" s="28">
        <f t="shared" si="36"/>
        <v>4745.7627118644068</v>
      </c>
      <c r="M52" s="28">
        <f t="shared" si="37"/>
        <v>5600</v>
      </c>
      <c r="N52" s="28">
        <f t="shared" si="38"/>
        <v>854.23728813559319</v>
      </c>
      <c r="O52" s="30">
        <f t="shared" si="39"/>
        <v>26.818181818181817</v>
      </c>
      <c r="P52" s="28">
        <f t="shared" si="40"/>
        <v>15554.545454545454</v>
      </c>
      <c r="Q52" s="31">
        <v>0.47589999999999999</v>
      </c>
      <c r="R52" s="32">
        <f t="shared" si="41"/>
        <v>306414.64</v>
      </c>
      <c r="S52" s="32">
        <f t="shared" si="42"/>
        <v>26414.639999999999</v>
      </c>
      <c r="T52" s="33">
        <f t="shared" si="43"/>
        <v>-23985.359999999986</v>
      </c>
    </row>
    <row r="53" spans="1:32" ht="15.75" customHeight="1" x14ac:dyDescent="0.35">
      <c r="A53" s="21">
        <v>42</v>
      </c>
      <c r="B53" s="21" t="s">
        <v>76</v>
      </c>
      <c r="C53" s="22" t="s">
        <v>77</v>
      </c>
      <c r="D53" s="23" t="s">
        <v>89</v>
      </c>
      <c r="E53" s="24">
        <v>90</v>
      </c>
      <c r="F53" s="24">
        <v>300000</v>
      </c>
      <c r="G53" s="25">
        <v>0.18</v>
      </c>
      <c r="H53" s="26">
        <v>323727.272727273</v>
      </c>
      <c r="I53" s="27">
        <f t="shared" si="33"/>
        <v>354000</v>
      </c>
      <c r="J53" s="28">
        <f t="shared" si="34"/>
        <v>54000</v>
      </c>
      <c r="K53" s="29">
        <f t="shared" si="35"/>
        <v>0.18</v>
      </c>
      <c r="L53" s="28">
        <f t="shared" si="36"/>
        <v>3333.3333333333335</v>
      </c>
      <c r="M53" s="28">
        <f t="shared" si="37"/>
        <v>3933.3333333333335</v>
      </c>
      <c r="N53" s="28">
        <f t="shared" si="38"/>
        <v>600</v>
      </c>
      <c r="O53" s="30">
        <f t="shared" si="39"/>
        <v>40.909090909090907</v>
      </c>
      <c r="P53" s="28">
        <f t="shared" si="40"/>
        <v>23727.272727272724</v>
      </c>
      <c r="Q53" s="31">
        <v>0.47589999999999999</v>
      </c>
      <c r="R53" s="32">
        <f t="shared" si="41"/>
        <v>328301.40000000002</v>
      </c>
      <c r="S53" s="32">
        <f t="shared" si="42"/>
        <v>28301.4</v>
      </c>
      <c r="T53" s="33">
        <f t="shared" si="43"/>
        <v>-25698.599999999977</v>
      </c>
    </row>
    <row r="54" spans="1:32" ht="15.75" customHeight="1" x14ac:dyDescent="0.35">
      <c r="A54" s="34">
        <v>43</v>
      </c>
      <c r="B54" s="34" t="s">
        <v>76</v>
      </c>
      <c r="C54" s="35" t="s">
        <v>77</v>
      </c>
      <c r="D54" s="36" t="s">
        <v>90</v>
      </c>
      <c r="E54" s="24">
        <v>113</v>
      </c>
      <c r="F54" s="24">
        <v>300000</v>
      </c>
      <c r="G54" s="25">
        <v>0.18</v>
      </c>
      <c r="H54" s="26">
        <v>329790.909090909</v>
      </c>
      <c r="I54" s="27">
        <f t="shared" si="33"/>
        <v>354000</v>
      </c>
      <c r="J54" s="28">
        <f t="shared" si="34"/>
        <v>54000</v>
      </c>
      <c r="K54" s="29">
        <f t="shared" si="35"/>
        <v>0.18</v>
      </c>
      <c r="L54" s="28">
        <f t="shared" si="36"/>
        <v>2654.8672566371683</v>
      </c>
      <c r="M54" s="28">
        <f t="shared" si="37"/>
        <v>3132.7433628318586</v>
      </c>
      <c r="N54" s="28">
        <f t="shared" si="38"/>
        <v>477.87610619469024</v>
      </c>
      <c r="O54" s="30">
        <f t="shared" si="39"/>
        <v>51.36363636363636</v>
      </c>
      <c r="P54" s="28">
        <f t="shared" si="40"/>
        <v>29790.909090909088</v>
      </c>
      <c r="Q54" s="31">
        <v>0.47589999999999999</v>
      </c>
      <c r="R54" s="32">
        <f t="shared" si="41"/>
        <v>328301.40000000002</v>
      </c>
      <c r="S54" s="32">
        <f t="shared" si="42"/>
        <v>28301.4</v>
      </c>
      <c r="T54" s="33">
        <f t="shared" si="43"/>
        <v>-25698.599999999977</v>
      </c>
    </row>
    <row r="55" spans="1:32" ht="15.75" customHeight="1" x14ac:dyDescent="0.35">
      <c r="A55" s="21">
        <v>44</v>
      </c>
      <c r="B55" s="21" t="s">
        <v>76</v>
      </c>
      <c r="C55" s="22" t="s">
        <v>77</v>
      </c>
      <c r="D55" s="23" t="s">
        <v>91</v>
      </c>
      <c r="E55" s="24">
        <v>95</v>
      </c>
      <c r="F55" s="24">
        <v>300000</v>
      </c>
      <c r="G55" s="25">
        <v>0.18</v>
      </c>
      <c r="H55" s="26">
        <v>325045.454545455</v>
      </c>
      <c r="I55" s="27">
        <f t="shared" si="33"/>
        <v>354000</v>
      </c>
      <c r="J55" s="28">
        <f t="shared" si="34"/>
        <v>54000</v>
      </c>
      <c r="K55" s="29">
        <f t="shared" si="35"/>
        <v>0.18</v>
      </c>
      <c r="L55" s="28">
        <f t="shared" si="36"/>
        <v>3157.8947368421054</v>
      </c>
      <c r="M55" s="28">
        <f t="shared" si="37"/>
        <v>3726.3157894736842</v>
      </c>
      <c r="N55" s="28">
        <f t="shared" si="38"/>
        <v>568.42105263157873</v>
      </c>
      <c r="O55" s="30">
        <f t="shared" si="39"/>
        <v>43.18181818181818</v>
      </c>
      <c r="P55" s="28">
        <f t="shared" si="40"/>
        <v>25045.454545454544</v>
      </c>
      <c r="Q55" s="31">
        <v>0.47589999999999999</v>
      </c>
      <c r="R55" s="32">
        <f t="shared" si="41"/>
        <v>328301.40000000002</v>
      </c>
      <c r="S55" s="32">
        <f t="shared" si="42"/>
        <v>28301.4</v>
      </c>
      <c r="T55" s="33">
        <f t="shared" si="43"/>
        <v>-25698.599999999977</v>
      </c>
    </row>
    <row r="56" spans="1:32" ht="15.75" customHeight="1" x14ac:dyDescent="0.35">
      <c r="A56" s="34">
        <v>45</v>
      </c>
      <c r="B56" s="34" t="s">
        <v>76</v>
      </c>
      <c r="C56" s="35" t="s">
        <v>77</v>
      </c>
      <c r="D56" s="36" t="s">
        <v>92</v>
      </c>
      <c r="E56" s="24">
        <v>87</v>
      </c>
      <c r="F56" s="24">
        <v>280000</v>
      </c>
      <c r="G56" s="25">
        <v>0.18</v>
      </c>
      <c r="H56" s="26">
        <v>302936.363636364</v>
      </c>
      <c r="I56" s="27">
        <f t="shared" si="33"/>
        <v>330400</v>
      </c>
      <c r="J56" s="28">
        <f t="shared" si="34"/>
        <v>50400</v>
      </c>
      <c r="K56" s="29">
        <f t="shared" si="35"/>
        <v>0.18</v>
      </c>
      <c r="L56" s="28">
        <f t="shared" si="36"/>
        <v>3218.3908045977009</v>
      </c>
      <c r="M56" s="28">
        <f t="shared" si="37"/>
        <v>3797.7011494252874</v>
      </c>
      <c r="N56" s="28">
        <f t="shared" si="38"/>
        <v>579.3103448275865</v>
      </c>
      <c r="O56" s="30">
        <f t="shared" si="39"/>
        <v>39.54545454545454</v>
      </c>
      <c r="P56" s="28">
        <f t="shared" si="40"/>
        <v>22936.363636363632</v>
      </c>
      <c r="Q56" s="31">
        <v>0.47589999999999999</v>
      </c>
      <c r="R56" s="32">
        <f t="shared" si="41"/>
        <v>306414.64</v>
      </c>
      <c r="S56" s="32">
        <f t="shared" si="42"/>
        <v>26414.639999999999</v>
      </c>
      <c r="T56" s="33">
        <f t="shared" si="43"/>
        <v>-23985.359999999986</v>
      </c>
    </row>
    <row r="57" spans="1:32" ht="15.75" customHeight="1" x14ac:dyDescent="0.35">
      <c r="A57" s="21">
        <v>46</v>
      </c>
      <c r="B57" s="21" t="s">
        <v>76</v>
      </c>
      <c r="C57" s="22" t="s">
        <v>77</v>
      </c>
      <c r="D57" s="23" t="s">
        <v>93</v>
      </c>
      <c r="E57" s="24">
        <v>81</v>
      </c>
      <c r="F57" s="24">
        <v>280000</v>
      </c>
      <c r="G57" s="25">
        <v>0.18</v>
      </c>
      <c r="H57" s="26">
        <v>301354.54545454599</v>
      </c>
      <c r="I57" s="27">
        <f t="shared" si="33"/>
        <v>330400</v>
      </c>
      <c r="J57" s="28">
        <f t="shared" si="34"/>
        <v>50400</v>
      </c>
      <c r="K57" s="29">
        <f t="shared" si="35"/>
        <v>0.18</v>
      </c>
      <c r="L57" s="28">
        <f t="shared" si="36"/>
        <v>3456.7901234567903</v>
      </c>
      <c r="M57" s="28">
        <f t="shared" si="37"/>
        <v>4079.0123456790125</v>
      </c>
      <c r="N57" s="28">
        <f t="shared" si="38"/>
        <v>622.22222222222217</v>
      </c>
      <c r="O57" s="30">
        <f t="shared" si="39"/>
        <v>36.818181818181813</v>
      </c>
      <c r="P57" s="28">
        <f t="shared" si="40"/>
        <v>21354.545454545452</v>
      </c>
      <c r="Q57" s="31">
        <v>0.20860000000000001</v>
      </c>
      <c r="R57" s="32">
        <f t="shared" si="41"/>
        <v>319886.56</v>
      </c>
      <c r="S57" s="32">
        <f t="shared" si="42"/>
        <v>39886.559999999998</v>
      </c>
      <c r="T57" s="33">
        <f t="shared" si="43"/>
        <v>-10513.440000000002</v>
      </c>
    </row>
    <row r="58" spans="1:32" ht="15.75" customHeight="1" x14ac:dyDescent="0.35">
      <c r="A58" s="34">
        <v>47</v>
      </c>
      <c r="B58" s="34" t="s">
        <v>76</v>
      </c>
      <c r="C58" s="35" t="s">
        <v>77</v>
      </c>
      <c r="D58" s="36" t="s">
        <v>94</v>
      </c>
      <c r="E58" s="24">
        <v>105</v>
      </c>
      <c r="F58" s="24">
        <v>300000</v>
      </c>
      <c r="G58" s="25">
        <v>0.18</v>
      </c>
      <c r="H58" s="26">
        <v>327681.818181818</v>
      </c>
      <c r="I58" s="27">
        <f t="shared" si="33"/>
        <v>354000</v>
      </c>
      <c r="J58" s="28">
        <f t="shared" si="34"/>
        <v>54000</v>
      </c>
      <c r="K58" s="29">
        <f t="shared" si="35"/>
        <v>0.18</v>
      </c>
      <c r="L58" s="28">
        <f t="shared" si="36"/>
        <v>2857.1428571428573</v>
      </c>
      <c r="M58" s="28">
        <f t="shared" si="37"/>
        <v>3371.4285714285716</v>
      </c>
      <c r="N58" s="28">
        <f t="shared" si="38"/>
        <v>514.28571428571422</v>
      </c>
      <c r="O58" s="30">
        <f t="shared" si="39"/>
        <v>47.727272727272727</v>
      </c>
      <c r="P58" s="28">
        <f t="shared" si="40"/>
        <v>27681.81818181818</v>
      </c>
      <c r="Q58" s="31">
        <v>0.47589999999999999</v>
      </c>
      <c r="R58" s="32">
        <f t="shared" si="41"/>
        <v>328301.40000000002</v>
      </c>
      <c r="S58" s="32">
        <f t="shared" si="42"/>
        <v>28301.4</v>
      </c>
      <c r="T58" s="33">
        <f t="shared" si="43"/>
        <v>-25698.599999999977</v>
      </c>
    </row>
    <row r="59" spans="1:32" ht="15.75" customHeight="1" x14ac:dyDescent="0.35">
      <c r="A59" s="21">
        <v>48</v>
      </c>
      <c r="B59" s="21" t="s">
        <v>76</v>
      </c>
      <c r="C59" s="22" t="s">
        <v>77</v>
      </c>
      <c r="D59" s="23" t="s">
        <v>95</v>
      </c>
      <c r="E59" s="24">
        <v>94</v>
      </c>
      <c r="F59" s="24">
        <v>300000</v>
      </c>
      <c r="G59" s="25">
        <v>0.18</v>
      </c>
      <c r="H59" s="26">
        <v>324781.818181818</v>
      </c>
      <c r="I59" s="27">
        <f t="shared" si="33"/>
        <v>354000</v>
      </c>
      <c r="J59" s="28">
        <f t="shared" si="34"/>
        <v>54000</v>
      </c>
      <c r="K59" s="29">
        <f t="shared" si="35"/>
        <v>0.18</v>
      </c>
      <c r="L59" s="28">
        <f t="shared" si="36"/>
        <v>3191.4893617021276</v>
      </c>
      <c r="M59" s="28">
        <f t="shared" si="37"/>
        <v>3765.9574468085107</v>
      </c>
      <c r="N59" s="28">
        <f t="shared" si="38"/>
        <v>574.46808510638311</v>
      </c>
      <c r="O59" s="30">
        <f t="shared" si="39"/>
        <v>42.727272727272727</v>
      </c>
      <c r="P59" s="28">
        <f t="shared" si="40"/>
        <v>24781.81818181818</v>
      </c>
      <c r="Q59" s="31">
        <v>0.47589999999999999</v>
      </c>
      <c r="R59" s="32">
        <f t="shared" si="41"/>
        <v>328301.40000000002</v>
      </c>
      <c r="S59" s="32">
        <f t="shared" si="42"/>
        <v>28301.4</v>
      </c>
      <c r="T59" s="33">
        <f t="shared" si="43"/>
        <v>-25698.599999999977</v>
      </c>
    </row>
    <row r="60" spans="1:32" ht="18" customHeight="1" x14ac:dyDescent="0.35">
      <c r="A60" s="20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32" ht="15.75" customHeight="1" x14ac:dyDescent="0.35">
      <c r="A61" s="21">
        <v>49</v>
      </c>
      <c r="B61" s="21" t="s">
        <v>97</v>
      </c>
      <c r="C61" s="22" t="s">
        <v>98</v>
      </c>
      <c r="D61" s="23" t="s">
        <v>99</v>
      </c>
      <c r="E61" s="24">
        <v>224</v>
      </c>
      <c r="F61" s="24">
        <v>490000</v>
      </c>
      <c r="G61" s="25">
        <v>0.28000000000000003</v>
      </c>
      <c r="H61" s="26">
        <v>429054.54545454599</v>
      </c>
      <c r="I61" s="27">
        <f t="shared" ref="I61:I85" si="44">F61*(1+G61)</f>
        <v>627200</v>
      </c>
      <c r="J61" s="28">
        <f t="shared" ref="J61:J85" si="45">I61-F61</f>
        <v>137200</v>
      </c>
      <c r="K61" s="29">
        <f t="shared" ref="K61:K85" si="46">J61/F61</f>
        <v>0.28000000000000003</v>
      </c>
      <c r="L61" s="28">
        <f t="shared" ref="L61:L85" si="47">F61/E61</f>
        <v>2187.5</v>
      </c>
      <c r="M61" s="38">
        <f>R61/E61</f>
        <v>2508.51125</v>
      </c>
      <c r="N61" s="28">
        <f t="shared" ref="N61:N85" si="48">M61-L61</f>
        <v>321.01125000000002</v>
      </c>
      <c r="O61" s="30">
        <f t="shared" ref="O61:O85" si="49">E61/2.2</f>
        <v>101.81818181818181</v>
      </c>
      <c r="P61" s="28">
        <f t="shared" ref="P61:P85" si="50">O61*580</f>
        <v>59054.545454545449</v>
      </c>
      <c r="Q61" s="31">
        <v>0.47589999999999999</v>
      </c>
      <c r="R61" s="32">
        <f>+F61+S61</f>
        <v>561906.52</v>
      </c>
      <c r="S61" s="32">
        <f t="shared" ref="S61:S85" si="51">J61*(1-Q61)</f>
        <v>71906.52</v>
      </c>
      <c r="T61" s="33">
        <f t="shared" ref="T61:T85" si="52">+R61-I61</f>
        <v>-65293.479999999981</v>
      </c>
      <c r="V61" s="37"/>
      <c r="AE61" s="37"/>
      <c r="AF61" s="37"/>
    </row>
    <row r="62" spans="1:32" ht="15.75" customHeight="1" x14ac:dyDescent="0.35">
      <c r="A62" s="34">
        <v>50</v>
      </c>
      <c r="B62" s="34" t="s">
        <v>97</v>
      </c>
      <c r="C62" s="35" t="s">
        <v>98</v>
      </c>
      <c r="D62" s="36" t="s">
        <v>100</v>
      </c>
      <c r="E62" s="24">
        <v>142</v>
      </c>
      <c r="F62" s="24">
        <v>370000</v>
      </c>
      <c r="G62" s="25">
        <v>0.28000000000000003</v>
      </c>
      <c r="H62" s="26">
        <v>407436.363636364</v>
      </c>
      <c r="I62" s="27">
        <f t="shared" si="44"/>
        <v>473600</v>
      </c>
      <c r="J62" s="28">
        <f t="shared" si="45"/>
        <v>103600</v>
      </c>
      <c r="K62" s="29">
        <f t="shared" si="46"/>
        <v>0.28000000000000003</v>
      </c>
      <c r="L62" s="28">
        <f t="shared" si="47"/>
        <v>2605.6338028169016</v>
      </c>
      <c r="M62" s="38">
        <f t="shared" ref="M62:M85" si="53">R62/E62</f>
        <v>2988.0053521126761</v>
      </c>
      <c r="N62" s="28">
        <f t="shared" si="48"/>
        <v>382.37154929577446</v>
      </c>
      <c r="O62" s="30">
        <f t="shared" si="49"/>
        <v>64.545454545454547</v>
      </c>
      <c r="P62" s="28">
        <f t="shared" si="50"/>
        <v>37436.36363636364</v>
      </c>
      <c r="Q62" s="31">
        <v>0.47589999999999999</v>
      </c>
      <c r="R62" s="32">
        <f>+F62+S62</f>
        <v>424296.76</v>
      </c>
      <c r="S62" s="32">
        <f t="shared" si="51"/>
        <v>54296.76</v>
      </c>
      <c r="T62" s="33">
        <f t="shared" si="52"/>
        <v>-49303.239999999991</v>
      </c>
      <c r="V62" s="37"/>
      <c r="AE62" s="37"/>
      <c r="AF62" s="37"/>
    </row>
    <row r="63" spans="1:32" ht="15.75" customHeight="1" x14ac:dyDescent="0.35">
      <c r="A63" s="21">
        <v>51</v>
      </c>
      <c r="B63" s="21" t="s">
        <v>97</v>
      </c>
      <c r="C63" s="22" t="s">
        <v>98</v>
      </c>
      <c r="D63" s="23" t="s">
        <v>101</v>
      </c>
      <c r="E63" s="24">
        <v>144</v>
      </c>
      <c r="F63" s="24">
        <v>370000</v>
      </c>
      <c r="G63" s="25">
        <v>0.28000000000000003</v>
      </c>
      <c r="H63" s="26">
        <v>407963.636363636</v>
      </c>
      <c r="I63" s="27">
        <f t="shared" si="44"/>
        <v>473600</v>
      </c>
      <c r="J63" s="28">
        <f t="shared" si="45"/>
        <v>103600</v>
      </c>
      <c r="K63" s="29">
        <f t="shared" si="46"/>
        <v>0.28000000000000003</v>
      </c>
      <c r="L63" s="28">
        <f t="shared" si="47"/>
        <v>2569.4444444444443</v>
      </c>
      <c r="M63" s="38">
        <f t="shared" si="53"/>
        <v>2946.5052777777778</v>
      </c>
      <c r="N63" s="28">
        <f t="shared" si="48"/>
        <v>377.06083333333345</v>
      </c>
      <c r="O63" s="30">
        <f t="shared" si="49"/>
        <v>65.454545454545453</v>
      </c>
      <c r="P63" s="28">
        <f t="shared" si="50"/>
        <v>37963.63636363636</v>
      </c>
      <c r="Q63" s="31">
        <v>0.47589999999999999</v>
      </c>
      <c r="R63" s="32">
        <f t="shared" ref="R63:R87" si="54">+F63+S63</f>
        <v>424296.76</v>
      </c>
      <c r="S63" s="32">
        <f t="shared" si="51"/>
        <v>54296.76</v>
      </c>
      <c r="T63" s="33">
        <f t="shared" si="52"/>
        <v>-49303.239999999991</v>
      </c>
      <c r="V63" s="37"/>
      <c r="AE63" s="37"/>
      <c r="AF63" s="37"/>
    </row>
    <row r="64" spans="1:32" ht="15.75" customHeight="1" x14ac:dyDescent="0.35">
      <c r="A64" s="34">
        <v>52</v>
      </c>
      <c r="B64" s="34" t="s">
        <v>97</v>
      </c>
      <c r="C64" s="35" t="s">
        <v>98</v>
      </c>
      <c r="D64" s="36" t="s">
        <v>102</v>
      </c>
      <c r="E64" s="24">
        <v>142</v>
      </c>
      <c r="F64" s="24">
        <v>370000</v>
      </c>
      <c r="G64" s="25">
        <v>0.28000000000000003</v>
      </c>
      <c r="H64" s="26">
        <v>407436.363636364</v>
      </c>
      <c r="I64" s="27">
        <f t="shared" si="44"/>
        <v>473600</v>
      </c>
      <c r="J64" s="28">
        <f t="shared" si="45"/>
        <v>103600</v>
      </c>
      <c r="K64" s="29">
        <f t="shared" si="46"/>
        <v>0.28000000000000003</v>
      </c>
      <c r="L64" s="28">
        <f t="shared" si="47"/>
        <v>2605.6338028169016</v>
      </c>
      <c r="M64" s="38">
        <f t="shared" si="53"/>
        <v>2988.0053521126761</v>
      </c>
      <c r="N64" s="28">
        <f t="shared" si="48"/>
        <v>382.37154929577446</v>
      </c>
      <c r="O64" s="30">
        <f t="shared" si="49"/>
        <v>64.545454545454547</v>
      </c>
      <c r="P64" s="28">
        <f t="shared" si="50"/>
        <v>37436.36363636364</v>
      </c>
      <c r="Q64" s="31">
        <v>0.47589999999999999</v>
      </c>
      <c r="R64" s="32">
        <f t="shared" si="54"/>
        <v>424296.76</v>
      </c>
      <c r="S64" s="32">
        <f t="shared" si="51"/>
        <v>54296.76</v>
      </c>
      <c r="T64" s="33">
        <f t="shared" si="52"/>
        <v>-49303.239999999991</v>
      </c>
      <c r="V64" s="37"/>
      <c r="Y64" s="33"/>
      <c r="AE64" s="37"/>
      <c r="AF64" s="37"/>
    </row>
    <row r="65" spans="1:32" ht="15.75" customHeight="1" x14ac:dyDescent="0.35">
      <c r="A65" s="21">
        <v>53</v>
      </c>
      <c r="B65" s="21" t="s">
        <v>97</v>
      </c>
      <c r="C65" s="22" t="s">
        <v>98</v>
      </c>
      <c r="D65" s="23" t="s">
        <v>103</v>
      </c>
      <c r="E65" s="24">
        <v>145</v>
      </c>
      <c r="F65" s="24">
        <v>370000</v>
      </c>
      <c r="G65" s="25">
        <v>0.28000000000000003</v>
      </c>
      <c r="H65" s="26">
        <v>408227.272727273</v>
      </c>
      <c r="I65" s="27">
        <f t="shared" si="44"/>
        <v>473600</v>
      </c>
      <c r="J65" s="28">
        <f t="shared" si="45"/>
        <v>103600</v>
      </c>
      <c r="K65" s="29">
        <f t="shared" si="46"/>
        <v>0.28000000000000003</v>
      </c>
      <c r="L65" s="28">
        <f t="shared" si="47"/>
        <v>2551.7241379310344</v>
      </c>
      <c r="M65" s="38">
        <f t="shared" si="53"/>
        <v>2926.1845517241381</v>
      </c>
      <c r="N65" s="28">
        <f t="shared" si="48"/>
        <v>374.46041379310373</v>
      </c>
      <c r="O65" s="30">
        <f t="shared" si="49"/>
        <v>65.909090909090907</v>
      </c>
      <c r="P65" s="28">
        <f t="shared" si="50"/>
        <v>38227.272727272728</v>
      </c>
      <c r="Q65" s="31">
        <v>0.47589999999999999</v>
      </c>
      <c r="R65" s="32">
        <f t="shared" si="54"/>
        <v>424296.76</v>
      </c>
      <c r="S65" s="32">
        <f t="shared" si="51"/>
        <v>54296.76</v>
      </c>
      <c r="T65" s="33">
        <f t="shared" si="52"/>
        <v>-49303.239999999991</v>
      </c>
      <c r="V65" s="37"/>
      <c r="AE65" s="37"/>
      <c r="AF65" s="37"/>
    </row>
    <row r="66" spans="1:32" ht="15.75" customHeight="1" x14ac:dyDescent="0.35">
      <c r="A66" s="34">
        <v>54</v>
      </c>
      <c r="B66" s="34" t="s">
        <v>97</v>
      </c>
      <c r="C66" s="35" t="s">
        <v>98</v>
      </c>
      <c r="D66" s="36" t="s">
        <v>104</v>
      </c>
      <c r="E66" s="24">
        <v>127</v>
      </c>
      <c r="F66" s="24">
        <v>370000</v>
      </c>
      <c r="G66" s="25">
        <v>0.28000000000000003</v>
      </c>
      <c r="H66" s="26">
        <v>403481.818181818</v>
      </c>
      <c r="I66" s="27">
        <f t="shared" si="44"/>
        <v>473600</v>
      </c>
      <c r="J66" s="28">
        <f t="shared" si="45"/>
        <v>103600</v>
      </c>
      <c r="K66" s="29">
        <f t="shared" si="46"/>
        <v>0.28000000000000003</v>
      </c>
      <c r="L66" s="28">
        <f t="shared" si="47"/>
        <v>2913.3858267716537</v>
      </c>
      <c r="M66" s="38">
        <f t="shared" si="53"/>
        <v>3340.91937007874</v>
      </c>
      <c r="N66" s="28">
        <f t="shared" si="48"/>
        <v>427.53354330708635</v>
      </c>
      <c r="O66" s="30">
        <f t="shared" si="49"/>
        <v>57.72727272727272</v>
      </c>
      <c r="P66" s="28">
        <f t="shared" si="50"/>
        <v>33481.818181818177</v>
      </c>
      <c r="Q66" s="31">
        <v>0.47589999999999999</v>
      </c>
      <c r="R66" s="32">
        <f t="shared" si="54"/>
        <v>424296.76</v>
      </c>
      <c r="S66" s="32">
        <f t="shared" si="51"/>
        <v>54296.76</v>
      </c>
      <c r="T66" s="33">
        <f t="shared" si="52"/>
        <v>-49303.239999999991</v>
      </c>
      <c r="V66" s="37"/>
      <c r="AE66" s="37"/>
      <c r="AF66" s="37"/>
    </row>
    <row r="67" spans="1:32" ht="15.75" customHeight="1" x14ac:dyDescent="0.35">
      <c r="A67" s="21">
        <v>55</v>
      </c>
      <c r="B67" s="21" t="s">
        <v>97</v>
      </c>
      <c r="C67" s="22" t="s">
        <v>98</v>
      </c>
      <c r="D67" s="23" t="s">
        <v>105</v>
      </c>
      <c r="E67" s="24">
        <v>218</v>
      </c>
      <c r="F67" s="24">
        <v>490000</v>
      </c>
      <c r="G67" s="25">
        <v>0.28000000000000003</v>
      </c>
      <c r="H67" s="26">
        <v>547472.72727272694</v>
      </c>
      <c r="I67" s="27">
        <f t="shared" si="44"/>
        <v>627200</v>
      </c>
      <c r="J67" s="28">
        <f t="shared" si="45"/>
        <v>137200</v>
      </c>
      <c r="K67" s="29">
        <f t="shared" si="46"/>
        <v>0.28000000000000003</v>
      </c>
      <c r="L67" s="28">
        <f t="shared" si="47"/>
        <v>2247.7064220183488</v>
      </c>
      <c r="M67" s="38">
        <f t="shared" si="53"/>
        <v>2577.5528440366975</v>
      </c>
      <c r="N67" s="28">
        <f t="shared" si="48"/>
        <v>329.84642201834868</v>
      </c>
      <c r="O67" s="30">
        <f t="shared" si="49"/>
        <v>99.090909090909079</v>
      </c>
      <c r="P67" s="28">
        <f t="shared" si="50"/>
        <v>57472.727272727265</v>
      </c>
      <c r="Q67" s="31">
        <v>0.47589999999999999</v>
      </c>
      <c r="R67" s="32">
        <f t="shared" si="54"/>
        <v>561906.52</v>
      </c>
      <c r="S67" s="32">
        <f t="shared" si="51"/>
        <v>71906.52</v>
      </c>
      <c r="T67" s="33">
        <f t="shared" si="52"/>
        <v>-65293.479999999981</v>
      </c>
      <c r="V67" s="37"/>
      <c r="AE67" s="37"/>
      <c r="AF67" s="37"/>
    </row>
    <row r="68" spans="1:32" ht="15.75" customHeight="1" x14ac:dyDescent="0.35">
      <c r="A68" s="34">
        <v>56</v>
      </c>
      <c r="B68" s="34" t="s">
        <v>97</v>
      </c>
      <c r="C68" s="35" t="s">
        <v>98</v>
      </c>
      <c r="D68" s="36" t="s">
        <v>106</v>
      </c>
      <c r="E68" s="24">
        <v>162</v>
      </c>
      <c r="F68" s="24">
        <v>400000</v>
      </c>
      <c r="G68" s="25">
        <v>0.28000000000000003</v>
      </c>
      <c r="H68" s="26">
        <v>442709.090909091</v>
      </c>
      <c r="I68" s="27">
        <f t="shared" si="44"/>
        <v>512000</v>
      </c>
      <c r="J68" s="28">
        <f t="shared" si="45"/>
        <v>112000</v>
      </c>
      <c r="K68" s="29">
        <f t="shared" si="46"/>
        <v>0.28000000000000003</v>
      </c>
      <c r="L68" s="28">
        <f t="shared" si="47"/>
        <v>2469.1358024691358</v>
      </c>
      <c r="M68" s="38">
        <f t="shared" si="53"/>
        <v>2831.4765432098766</v>
      </c>
      <c r="N68" s="28">
        <f t="shared" si="48"/>
        <v>362.34074074074078</v>
      </c>
      <c r="O68" s="30">
        <f t="shared" si="49"/>
        <v>73.636363636363626</v>
      </c>
      <c r="P68" s="28">
        <f t="shared" si="50"/>
        <v>42709.090909090904</v>
      </c>
      <c r="Q68" s="31">
        <v>0.47589999999999999</v>
      </c>
      <c r="R68" s="32">
        <f t="shared" si="54"/>
        <v>458699.2</v>
      </c>
      <c r="S68" s="32">
        <f t="shared" si="51"/>
        <v>58699.200000000004</v>
      </c>
      <c r="T68" s="33">
        <f t="shared" si="52"/>
        <v>-53300.799999999988</v>
      </c>
      <c r="V68" s="37"/>
      <c r="AE68" s="37"/>
      <c r="AF68" s="37"/>
    </row>
    <row r="69" spans="1:32" ht="15.75" customHeight="1" x14ac:dyDescent="0.35">
      <c r="A69" s="21">
        <v>57</v>
      </c>
      <c r="B69" s="21" t="s">
        <v>97</v>
      </c>
      <c r="C69" s="22" t="s">
        <v>98</v>
      </c>
      <c r="D69" s="23" t="s">
        <v>107</v>
      </c>
      <c r="E69" s="24">
        <v>193</v>
      </c>
      <c r="F69" s="24">
        <v>420000</v>
      </c>
      <c r="G69" s="25">
        <v>0.28000000000000003</v>
      </c>
      <c r="H69" s="26">
        <v>470881.818181818</v>
      </c>
      <c r="I69" s="27">
        <f t="shared" si="44"/>
        <v>537600</v>
      </c>
      <c r="J69" s="28">
        <f t="shared" si="45"/>
        <v>117600</v>
      </c>
      <c r="K69" s="29">
        <f t="shared" si="46"/>
        <v>0.28000000000000003</v>
      </c>
      <c r="L69" s="28">
        <f t="shared" si="47"/>
        <v>2176.1658031088082</v>
      </c>
      <c r="M69" s="38">
        <f t="shared" si="53"/>
        <v>2495.5137823834198</v>
      </c>
      <c r="N69" s="28">
        <f t="shared" si="48"/>
        <v>319.34797927461159</v>
      </c>
      <c r="O69" s="30">
        <f t="shared" si="49"/>
        <v>87.72727272727272</v>
      </c>
      <c r="P69" s="28">
        <f t="shared" si="50"/>
        <v>50881.818181818177</v>
      </c>
      <c r="Q69" s="31">
        <v>0.47589999999999999</v>
      </c>
      <c r="R69" s="32">
        <f t="shared" si="54"/>
        <v>481634.16000000003</v>
      </c>
      <c r="S69" s="32">
        <f t="shared" si="51"/>
        <v>61634.16</v>
      </c>
      <c r="T69" s="33">
        <f t="shared" si="52"/>
        <v>-55965.839999999967</v>
      </c>
      <c r="V69" s="37"/>
      <c r="AE69" s="37"/>
      <c r="AF69" s="37"/>
    </row>
    <row r="70" spans="1:32" ht="15.75" customHeight="1" x14ac:dyDescent="0.35">
      <c r="A70" s="34">
        <v>58</v>
      </c>
      <c r="B70" s="34" t="s">
        <v>97</v>
      </c>
      <c r="C70" s="35" t="s">
        <v>98</v>
      </c>
      <c r="D70" s="36" t="s">
        <v>108</v>
      </c>
      <c r="E70" s="24">
        <v>173</v>
      </c>
      <c r="F70" s="24">
        <v>400000</v>
      </c>
      <c r="G70" s="25">
        <v>0.28000000000000003</v>
      </c>
      <c r="H70" s="26">
        <v>445609.090909091</v>
      </c>
      <c r="I70" s="27">
        <f t="shared" si="44"/>
        <v>512000</v>
      </c>
      <c r="J70" s="28">
        <f t="shared" si="45"/>
        <v>112000</v>
      </c>
      <c r="K70" s="29">
        <f t="shared" si="46"/>
        <v>0.28000000000000003</v>
      </c>
      <c r="L70" s="28">
        <f t="shared" si="47"/>
        <v>2312.1387283236995</v>
      </c>
      <c r="M70" s="38">
        <f t="shared" si="53"/>
        <v>2651.4404624277458</v>
      </c>
      <c r="N70" s="28">
        <f t="shared" si="48"/>
        <v>339.30173410404632</v>
      </c>
      <c r="O70" s="30">
        <f t="shared" si="49"/>
        <v>78.636363636363626</v>
      </c>
      <c r="P70" s="28">
        <f t="shared" si="50"/>
        <v>45609.090909090904</v>
      </c>
      <c r="Q70" s="31">
        <v>0.47589999999999999</v>
      </c>
      <c r="R70" s="32">
        <f t="shared" si="54"/>
        <v>458699.2</v>
      </c>
      <c r="S70" s="32">
        <f t="shared" si="51"/>
        <v>58699.200000000004</v>
      </c>
      <c r="T70" s="33">
        <f t="shared" si="52"/>
        <v>-53300.799999999988</v>
      </c>
      <c r="V70" s="37"/>
      <c r="AE70" s="37"/>
      <c r="AF70" s="37"/>
    </row>
    <row r="71" spans="1:32" ht="15.75" customHeight="1" x14ac:dyDescent="0.35">
      <c r="A71" s="21">
        <v>59</v>
      </c>
      <c r="B71" s="21" t="s">
        <v>97</v>
      </c>
      <c r="C71" s="22" t="s">
        <v>98</v>
      </c>
      <c r="D71" s="23" t="s">
        <v>109</v>
      </c>
      <c r="E71" s="24">
        <v>133</v>
      </c>
      <c r="F71" s="24">
        <v>370000</v>
      </c>
      <c r="G71" s="25">
        <v>0.28000000000000003</v>
      </c>
      <c r="H71" s="26">
        <v>405063.636363636</v>
      </c>
      <c r="I71" s="27">
        <f t="shared" si="44"/>
        <v>473600</v>
      </c>
      <c r="J71" s="28">
        <f t="shared" si="45"/>
        <v>103600</v>
      </c>
      <c r="K71" s="29">
        <f t="shared" si="46"/>
        <v>0.28000000000000003</v>
      </c>
      <c r="L71" s="28">
        <f t="shared" si="47"/>
        <v>2781.9548872180453</v>
      </c>
      <c r="M71" s="38">
        <f t="shared" si="53"/>
        <v>3190.2012030075189</v>
      </c>
      <c r="N71" s="28">
        <f t="shared" si="48"/>
        <v>408.24631578947356</v>
      </c>
      <c r="O71" s="30">
        <f t="shared" si="49"/>
        <v>60.454545454545446</v>
      </c>
      <c r="P71" s="28">
        <f t="shared" si="50"/>
        <v>35063.63636363636</v>
      </c>
      <c r="Q71" s="31">
        <v>0.47589999999999999</v>
      </c>
      <c r="R71" s="32">
        <f t="shared" si="54"/>
        <v>424296.76</v>
      </c>
      <c r="S71" s="32">
        <f t="shared" si="51"/>
        <v>54296.76</v>
      </c>
      <c r="T71" s="33">
        <f t="shared" si="52"/>
        <v>-49303.239999999991</v>
      </c>
      <c r="V71" s="37"/>
      <c r="AE71" s="37"/>
      <c r="AF71" s="37"/>
    </row>
    <row r="72" spans="1:32" ht="15.75" customHeight="1" x14ac:dyDescent="0.35">
      <c r="A72" s="34">
        <v>60</v>
      </c>
      <c r="B72" s="34" t="s">
        <v>97</v>
      </c>
      <c r="C72" s="35" t="s">
        <v>98</v>
      </c>
      <c r="D72" s="36" t="s">
        <v>110</v>
      </c>
      <c r="E72" s="24">
        <v>232</v>
      </c>
      <c r="F72" s="24">
        <v>490000</v>
      </c>
      <c r="G72" s="25">
        <v>0.28000000000000003</v>
      </c>
      <c r="H72" s="26">
        <v>551163.636363636</v>
      </c>
      <c r="I72" s="27">
        <f t="shared" si="44"/>
        <v>627200</v>
      </c>
      <c r="J72" s="28">
        <f t="shared" si="45"/>
        <v>137200</v>
      </c>
      <c r="K72" s="29">
        <f t="shared" si="46"/>
        <v>0.28000000000000003</v>
      </c>
      <c r="L72" s="28">
        <f t="shared" si="47"/>
        <v>2112.0689655172414</v>
      </c>
      <c r="M72" s="38">
        <f t="shared" si="53"/>
        <v>2422.0108620689657</v>
      </c>
      <c r="N72" s="28">
        <f t="shared" si="48"/>
        <v>309.94189655172431</v>
      </c>
      <c r="O72" s="30">
        <f t="shared" si="49"/>
        <v>105.45454545454544</v>
      </c>
      <c r="P72" s="28">
        <f t="shared" si="50"/>
        <v>61163.636363636353</v>
      </c>
      <c r="Q72" s="31">
        <v>0.47589999999999999</v>
      </c>
      <c r="R72" s="32">
        <f t="shared" si="54"/>
        <v>561906.52</v>
      </c>
      <c r="S72" s="32">
        <f t="shared" si="51"/>
        <v>71906.52</v>
      </c>
      <c r="T72" s="33">
        <f t="shared" si="52"/>
        <v>-65293.479999999981</v>
      </c>
      <c r="V72" s="37"/>
      <c r="AE72" s="37"/>
      <c r="AF72" s="37"/>
    </row>
    <row r="73" spans="1:32" ht="15.75" customHeight="1" x14ac:dyDescent="0.35">
      <c r="A73" s="21">
        <v>61</v>
      </c>
      <c r="B73" s="21" t="s">
        <v>97</v>
      </c>
      <c r="C73" s="22" t="s">
        <v>98</v>
      </c>
      <c r="D73" s="23" t="s">
        <v>111</v>
      </c>
      <c r="E73" s="24">
        <v>254</v>
      </c>
      <c r="F73" s="24">
        <v>540000</v>
      </c>
      <c r="G73" s="25">
        <v>0.28000000000000003</v>
      </c>
      <c r="H73" s="26">
        <v>606963.636363636</v>
      </c>
      <c r="I73" s="27">
        <f t="shared" si="44"/>
        <v>691200</v>
      </c>
      <c r="J73" s="28">
        <f t="shared" si="45"/>
        <v>151200</v>
      </c>
      <c r="K73" s="29">
        <f t="shared" si="46"/>
        <v>0.28000000000000003</v>
      </c>
      <c r="L73" s="28">
        <f t="shared" si="47"/>
        <v>2125.9842519685039</v>
      </c>
      <c r="M73" s="38">
        <f t="shared" si="53"/>
        <v>2437.9681889763783</v>
      </c>
      <c r="N73" s="28">
        <f t="shared" si="48"/>
        <v>311.98393700787437</v>
      </c>
      <c r="O73" s="30">
        <f t="shared" si="49"/>
        <v>115.45454545454544</v>
      </c>
      <c r="P73" s="28">
        <f t="shared" si="50"/>
        <v>66963.636363636353</v>
      </c>
      <c r="Q73" s="31">
        <v>0.47589999999999999</v>
      </c>
      <c r="R73" s="32">
        <f t="shared" si="54"/>
        <v>619243.92000000004</v>
      </c>
      <c r="S73" s="32">
        <f t="shared" si="51"/>
        <v>79243.92</v>
      </c>
      <c r="T73" s="33">
        <f t="shared" si="52"/>
        <v>-71956.079999999958</v>
      </c>
      <c r="V73" s="37"/>
      <c r="AE73" s="37"/>
      <c r="AF73" s="37"/>
    </row>
    <row r="74" spans="1:32" ht="15.75" customHeight="1" x14ac:dyDescent="0.35">
      <c r="A74" s="34">
        <v>62</v>
      </c>
      <c r="B74" s="34" t="s">
        <v>97</v>
      </c>
      <c r="C74" s="35" t="s">
        <v>98</v>
      </c>
      <c r="D74" s="36" t="s">
        <v>112</v>
      </c>
      <c r="E74" s="24">
        <v>173</v>
      </c>
      <c r="F74" s="24">
        <v>400000</v>
      </c>
      <c r="G74" s="25">
        <v>0.28000000000000003</v>
      </c>
      <c r="H74" s="26">
        <v>445609.090909091</v>
      </c>
      <c r="I74" s="27">
        <f t="shared" si="44"/>
        <v>512000</v>
      </c>
      <c r="J74" s="28">
        <f t="shared" si="45"/>
        <v>112000</v>
      </c>
      <c r="K74" s="29">
        <f t="shared" si="46"/>
        <v>0.28000000000000003</v>
      </c>
      <c r="L74" s="28">
        <f t="shared" si="47"/>
        <v>2312.1387283236995</v>
      </c>
      <c r="M74" s="38">
        <f t="shared" si="53"/>
        <v>2651.4404624277458</v>
      </c>
      <c r="N74" s="28">
        <f t="shared" si="48"/>
        <v>339.30173410404632</v>
      </c>
      <c r="O74" s="30">
        <f t="shared" si="49"/>
        <v>78.636363636363626</v>
      </c>
      <c r="P74" s="28">
        <f t="shared" si="50"/>
        <v>45609.090909090904</v>
      </c>
      <c r="Q74" s="31">
        <v>0.47589999999999999</v>
      </c>
      <c r="R74" s="32">
        <f t="shared" si="54"/>
        <v>458699.2</v>
      </c>
      <c r="S74" s="32">
        <f t="shared" si="51"/>
        <v>58699.200000000004</v>
      </c>
      <c r="T74" s="33">
        <f t="shared" si="52"/>
        <v>-53300.799999999988</v>
      </c>
      <c r="V74" s="37"/>
      <c r="AE74" s="37"/>
      <c r="AF74" s="37"/>
    </row>
    <row r="75" spans="1:32" ht="15.75" customHeight="1" x14ac:dyDescent="0.35">
      <c r="A75" s="21">
        <v>63</v>
      </c>
      <c r="B75" s="21" t="s">
        <v>97</v>
      </c>
      <c r="C75" s="22" t="s">
        <v>98</v>
      </c>
      <c r="D75" s="23" t="s">
        <v>113</v>
      </c>
      <c r="E75" s="24">
        <v>163</v>
      </c>
      <c r="F75" s="24">
        <v>400000</v>
      </c>
      <c r="G75" s="25">
        <v>0.28000000000000003</v>
      </c>
      <c r="H75" s="26">
        <v>442972.727272727</v>
      </c>
      <c r="I75" s="27">
        <f t="shared" si="44"/>
        <v>512000</v>
      </c>
      <c r="J75" s="28">
        <f t="shared" si="45"/>
        <v>112000</v>
      </c>
      <c r="K75" s="29">
        <f t="shared" si="46"/>
        <v>0.28000000000000003</v>
      </c>
      <c r="L75" s="28">
        <f t="shared" si="47"/>
        <v>2453.9877300613498</v>
      </c>
      <c r="M75" s="38">
        <f t="shared" si="53"/>
        <v>2814.1055214723929</v>
      </c>
      <c r="N75" s="28">
        <f t="shared" si="48"/>
        <v>360.11779141104307</v>
      </c>
      <c r="O75" s="30">
        <f t="shared" si="49"/>
        <v>74.090909090909079</v>
      </c>
      <c r="P75" s="28">
        <f t="shared" si="50"/>
        <v>42972.727272727265</v>
      </c>
      <c r="Q75" s="31">
        <v>0.47589999999999999</v>
      </c>
      <c r="R75" s="32">
        <f t="shared" si="54"/>
        <v>458699.2</v>
      </c>
      <c r="S75" s="32">
        <f t="shared" si="51"/>
        <v>58699.200000000004</v>
      </c>
      <c r="T75" s="33">
        <f t="shared" si="52"/>
        <v>-53300.799999999988</v>
      </c>
      <c r="V75" s="37"/>
      <c r="AE75" s="37"/>
      <c r="AF75" s="37"/>
    </row>
    <row r="76" spans="1:32" ht="15.75" customHeight="1" x14ac:dyDescent="0.35">
      <c r="A76" s="34">
        <v>64</v>
      </c>
      <c r="B76" s="34" t="s">
        <v>97</v>
      </c>
      <c r="C76" s="35" t="s">
        <v>98</v>
      </c>
      <c r="D76" s="36" t="s">
        <v>114</v>
      </c>
      <c r="E76" s="24">
        <v>155</v>
      </c>
      <c r="F76" s="24">
        <v>400000</v>
      </c>
      <c r="G76" s="25">
        <v>0.28000000000000003</v>
      </c>
      <c r="H76" s="26">
        <v>440863.636363636</v>
      </c>
      <c r="I76" s="27">
        <f t="shared" si="44"/>
        <v>512000</v>
      </c>
      <c r="J76" s="28">
        <f t="shared" si="45"/>
        <v>112000</v>
      </c>
      <c r="K76" s="29">
        <f t="shared" si="46"/>
        <v>0.28000000000000003</v>
      </c>
      <c r="L76" s="28">
        <f t="shared" si="47"/>
        <v>2580.6451612903224</v>
      </c>
      <c r="M76" s="38">
        <f t="shared" si="53"/>
        <v>2959.349677419355</v>
      </c>
      <c r="N76" s="28">
        <f t="shared" si="48"/>
        <v>378.70451612903253</v>
      </c>
      <c r="O76" s="30">
        <f t="shared" si="49"/>
        <v>70.454545454545453</v>
      </c>
      <c r="P76" s="28">
        <f t="shared" si="50"/>
        <v>40863.63636363636</v>
      </c>
      <c r="Q76" s="31">
        <v>0.47589999999999999</v>
      </c>
      <c r="R76" s="32">
        <f t="shared" si="54"/>
        <v>458699.2</v>
      </c>
      <c r="S76" s="32">
        <f t="shared" si="51"/>
        <v>58699.200000000004</v>
      </c>
      <c r="T76" s="33">
        <f t="shared" si="52"/>
        <v>-53300.799999999988</v>
      </c>
      <c r="V76" s="37"/>
      <c r="AE76" s="37"/>
      <c r="AF76" s="37"/>
    </row>
    <row r="77" spans="1:32" ht="15.75" customHeight="1" x14ac:dyDescent="0.35">
      <c r="A77" s="21">
        <v>65</v>
      </c>
      <c r="B77" s="21" t="s">
        <v>97</v>
      </c>
      <c r="C77" s="22" t="s">
        <v>98</v>
      </c>
      <c r="D77" s="23" t="s">
        <v>115</v>
      </c>
      <c r="E77" s="24">
        <v>224</v>
      </c>
      <c r="F77" s="24">
        <v>490000</v>
      </c>
      <c r="G77" s="25">
        <v>0.28000000000000003</v>
      </c>
      <c r="H77" s="26">
        <v>549054.54545454495</v>
      </c>
      <c r="I77" s="27">
        <f t="shared" si="44"/>
        <v>627200</v>
      </c>
      <c r="J77" s="28">
        <f t="shared" si="45"/>
        <v>137200</v>
      </c>
      <c r="K77" s="29">
        <f t="shared" si="46"/>
        <v>0.28000000000000003</v>
      </c>
      <c r="L77" s="28">
        <f t="shared" si="47"/>
        <v>2187.5</v>
      </c>
      <c r="M77" s="38">
        <f t="shared" si="53"/>
        <v>2508.51125</v>
      </c>
      <c r="N77" s="28">
        <f t="shared" si="48"/>
        <v>321.01125000000002</v>
      </c>
      <c r="O77" s="30">
        <f t="shared" si="49"/>
        <v>101.81818181818181</v>
      </c>
      <c r="P77" s="28">
        <f t="shared" si="50"/>
        <v>59054.545454545449</v>
      </c>
      <c r="Q77" s="31">
        <v>0.47589999999999999</v>
      </c>
      <c r="R77" s="32">
        <f t="shared" si="54"/>
        <v>561906.52</v>
      </c>
      <c r="S77" s="32">
        <f t="shared" si="51"/>
        <v>71906.52</v>
      </c>
      <c r="T77" s="33">
        <f t="shared" si="52"/>
        <v>-65293.479999999981</v>
      </c>
      <c r="V77" s="37"/>
      <c r="AE77" s="37"/>
      <c r="AF77" s="37"/>
    </row>
    <row r="78" spans="1:32" ht="15.75" customHeight="1" x14ac:dyDescent="0.35">
      <c r="A78" s="34">
        <v>66</v>
      </c>
      <c r="B78" s="34" t="s">
        <v>97</v>
      </c>
      <c r="C78" s="35" t="s">
        <v>98</v>
      </c>
      <c r="D78" s="36" t="s">
        <v>116</v>
      </c>
      <c r="E78" s="24">
        <v>191</v>
      </c>
      <c r="F78" s="24">
        <v>420000</v>
      </c>
      <c r="G78" s="25">
        <v>0.28000000000000003</v>
      </c>
      <c r="H78" s="26">
        <v>470354.54545454599</v>
      </c>
      <c r="I78" s="27">
        <f t="shared" si="44"/>
        <v>537600</v>
      </c>
      <c r="J78" s="28">
        <f t="shared" si="45"/>
        <v>117600</v>
      </c>
      <c r="K78" s="29">
        <f t="shared" si="46"/>
        <v>0.28000000000000003</v>
      </c>
      <c r="L78" s="28">
        <f t="shared" si="47"/>
        <v>2198.952879581152</v>
      </c>
      <c r="M78" s="38">
        <f t="shared" si="53"/>
        <v>2521.644816753927</v>
      </c>
      <c r="N78" s="28">
        <f t="shared" si="48"/>
        <v>322.69193717277494</v>
      </c>
      <c r="O78" s="30">
        <f t="shared" si="49"/>
        <v>86.818181818181813</v>
      </c>
      <c r="P78" s="28">
        <f t="shared" si="50"/>
        <v>50354.545454545449</v>
      </c>
      <c r="Q78" s="31">
        <v>0.47589999999999999</v>
      </c>
      <c r="R78" s="32">
        <f t="shared" si="54"/>
        <v>481634.16000000003</v>
      </c>
      <c r="S78" s="32">
        <f t="shared" si="51"/>
        <v>61634.16</v>
      </c>
      <c r="T78" s="33">
        <f t="shared" si="52"/>
        <v>-55965.839999999967</v>
      </c>
      <c r="V78" s="37"/>
      <c r="AE78" s="37"/>
      <c r="AF78" s="37"/>
    </row>
    <row r="79" spans="1:32" ht="15.75" customHeight="1" x14ac:dyDescent="0.35">
      <c r="A79" s="21">
        <v>67</v>
      </c>
      <c r="B79" s="21" t="s">
        <v>97</v>
      </c>
      <c r="C79" s="22" t="s">
        <v>98</v>
      </c>
      <c r="D79" s="23" t="s">
        <v>117</v>
      </c>
      <c r="E79" s="24">
        <v>154</v>
      </c>
      <c r="F79" s="24">
        <v>400000</v>
      </c>
      <c r="G79" s="25">
        <v>0.28000000000000003</v>
      </c>
      <c r="H79" s="26">
        <v>440600</v>
      </c>
      <c r="I79" s="27">
        <f t="shared" si="44"/>
        <v>512000</v>
      </c>
      <c r="J79" s="28">
        <f t="shared" si="45"/>
        <v>112000</v>
      </c>
      <c r="K79" s="29">
        <f t="shared" si="46"/>
        <v>0.28000000000000003</v>
      </c>
      <c r="L79" s="28">
        <f t="shared" si="47"/>
        <v>2597.4025974025976</v>
      </c>
      <c r="M79" s="38">
        <f t="shared" si="53"/>
        <v>2978.5662337662338</v>
      </c>
      <c r="N79" s="28">
        <f t="shared" si="48"/>
        <v>381.16363636363621</v>
      </c>
      <c r="O79" s="30">
        <f t="shared" si="49"/>
        <v>70</v>
      </c>
      <c r="P79" s="28">
        <f t="shared" si="50"/>
        <v>40600</v>
      </c>
      <c r="Q79" s="31">
        <v>0.47589999999999999</v>
      </c>
      <c r="R79" s="32">
        <f t="shared" si="54"/>
        <v>458699.2</v>
      </c>
      <c r="S79" s="32">
        <f t="shared" si="51"/>
        <v>58699.200000000004</v>
      </c>
      <c r="T79" s="33">
        <f t="shared" si="52"/>
        <v>-53300.799999999988</v>
      </c>
      <c r="V79" s="37"/>
      <c r="AE79" s="37"/>
      <c r="AF79" s="37"/>
    </row>
    <row r="80" spans="1:32" ht="15.75" customHeight="1" x14ac:dyDescent="0.35">
      <c r="A80" s="34">
        <v>68</v>
      </c>
      <c r="B80" s="34" t="s">
        <v>97</v>
      </c>
      <c r="C80" s="35" t="s">
        <v>98</v>
      </c>
      <c r="D80" s="36" t="s">
        <v>118</v>
      </c>
      <c r="E80" s="24">
        <v>186</v>
      </c>
      <c r="F80" s="24">
        <v>410000</v>
      </c>
      <c r="G80" s="25">
        <v>0.28000000000000003</v>
      </c>
      <c r="H80" s="26">
        <v>459036.363636364</v>
      </c>
      <c r="I80" s="27">
        <f t="shared" si="44"/>
        <v>524800</v>
      </c>
      <c r="J80" s="28">
        <f t="shared" si="45"/>
        <v>114800</v>
      </c>
      <c r="K80" s="29">
        <f t="shared" si="46"/>
        <v>0.28000000000000003</v>
      </c>
      <c r="L80" s="28">
        <f t="shared" si="47"/>
        <v>2204.3010752688174</v>
      </c>
      <c r="M80" s="38">
        <f t="shared" si="53"/>
        <v>2527.7778494623653</v>
      </c>
      <c r="N80" s="28">
        <f t="shared" si="48"/>
        <v>323.47677419354795</v>
      </c>
      <c r="O80" s="30">
        <f t="shared" si="49"/>
        <v>84.545454545454533</v>
      </c>
      <c r="P80" s="28">
        <f t="shared" si="50"/>
        <v>49036.363636363632</v>
      </c>
      <c r="Q80" s="31">
        <v>0.47589999999999999</v>
      </c>
      <c r="R80" s="32">
        <f t="shared" si="54"/>
        <v>470166.68</v>
      </c>
      <c r="S80" s="32">
        <f t="shared" si="51"/>
        <v>60166.68</v>
      </c>
      <c r="T80" s="33">
        <f t="shared" si="52"/>
        <v>-54633.320000000007</v>
      </c>
      <c r="V80" s="37"/>
      <c r="AE80" s="37"/>
      <c r="AF80" s="37"/>
    </row>
    <row r="81" spans="1:32" ht="15.75" customHeight="1" x14ac:dyDescent="0.35">
      <c r="A81" s="21">
        <v>69</v>
      </c>
      <c r="B81" s="21" t="s">
        <v>97</v>
      </c>
      <c r="C81" s="22" t="s">
        <v>98</v>
      </c>
      <c r="D81" s="23" t="s">
        <v>119</v>
      </c>
      <c r="E81" s="24">
        <v>172</v>
      </c>
      <c r="F81" s="24">
        <v>400000</v>
      </c>
      <c r="G81" s="25">
        <v>0.28000000000000003</v>
      </c>
      <c r="H81" s="26">
        <v>445345.454545455</v>
      </c>
      <c r="I81" s="27">
        <f t="shared" si="44"/>
        <v>512000</v>
      </c>
      <c r="J81" s="28">
        <f t="shared" si="45"/>
        <v>112000</v>
      </c>
      <c r="K81" s="29">
        <f t="shared" si="46"/>
        <v>0.28000000000000003</v>
      </c>
      <c r="L81" s="28">
        <f t="shared" si="47"/>
        <v>2325.5813953488373</v>
      </c>
      <c r="M81" s="38">
        <f t="shared" si="53"/>
        <v>2666.8558139534885</v>
      </c>
      <c r="N81" s="28">
        <f t="shared" si="48"/>
        <v>341.27441860465115</v>
      </c>
      <c r="O81" s="30">
        <f t="shared" si="49"/>
        <v>78.181818181818173</v>
      </c>
      <c r="P81" s="28">
        <f t="shared" si="50"/>
        <v>45345.454545454537</v>
      </c>
      <c r="Q81" s="31">
        <v>0.47589999999999999</v>
      </c>
      <c r="R81" s="32">
        <f t="shared" si="54"/>
        <v>458699.2</v>
      </c>
      <c r="S81" s="32">
        <f t="shared" si="51"/>
        <v>58699.200000000004</v>
      </c>
      <c r="T81" s="33">
        <f t="shared" si="52"/>
        <v>-53300.799999999988</v>
      </c>
      <c r="V81" s="37"/>
      <c r="AE81" s="37"/>
      <c r="AF81" s="37"/>
    </row>
    <row r="82" spans="1:32" ht="15.75" customHeight="1" x14ac:dyDescent="0.35">
      <c r="A82" s="34">
        <v>70</v>
      </c>
      <c r="B82" s="34" t="s">
        <v>97</v>
      </c>
      <c r="C82" s="35" t="s">
        <v>98</v>
      </c>
      <c r="D82" s="36" t="s">
        <v>120</v>
      </c>
      <c r="E82" s="24">
        <v>127</v>
      </c>
      <c r="F82" s="24">
        <v>370000</v>
      </c>
      <c r="G82" s="25">
        <v>0.28000000000000003</v>
      </c>
      <c r="H82" s="26">
        <v>403481.818181818</v>
      </c>
      <c r="I82" s="27">
        <f t="shared" si="44"/>
        <v>473600</v>
      </c>
      <c r="J82" s="28">
        <f t="shared" si="45"/>
        <v>103600</v>
      </c>
      <c r="K82" s="29">
        <f t="shared" si="46"/>
        <v>0.28000000000000003</v>
      </c>
      <c r="L82" s="28">
        <f t="shared" si="47"/>
        <v>2913.3858267716537</v>
      </c>
      <c r="M82" s="38">
        <f>R82/E82</f>
        <v>3340.91937007874</v>
      </c>
      <c r="N82" s="28">
        <f t="shared" si="48"/>
        <v>427.53354330708635</v>
      </c>
      <c r="O82" s="30">
        <f t="shared" si="49"/>
        <v>57.72727272727272</v>
      </c>
      <c r="P82" s="28">
        <f t="shared" si="50"/>
        <v>33481.818181818177</v>
      </c>
      <c r="Q82" s="31">
        <v>0.47589999999999999</v>
      </c>
      <c r="R82" s="32">
        <f t="shared" si="54"/>
        <v>424296.76</v>
      </c>
      <c r="S82" s="32">
        <f t="shared" si="51"/>
        <v>54296.76</v>
      </c>
      <c r="T82" s="33">
        <f t="shared" si="52"/>
        <v>-49303.239999999991</v>
      </c>
      <c r="V82" s="37"/>
      <c r="AE82" s="37"/>
      <c r="AF82" s="37"/>
    </row>
    <row r="83" spans="1:32" ht="15.75" customHeight="1" x14ac:dyDescent="0.35">
      <c r="A83" s="21">
        <v>71</v>
      </c>
      <c r="B83" s="21" t="s">
        <v>97</v>
      </c>
      <c r="C83" s="22" t="s">
        <v>98</v>
      </c>
      <c r="D83" s="23" t="s">
        <v>121</v>
      </c>
      <c r="E83" s="24">
        <v>208</v>
      </c>
      <c r="F83" s="24">
        <v>450000</v>
      </c>
      <c r="G83" s="25">
        <v>0.28000000000000003</v>
      </c>
      <c r="H83" s="26">
        <v>504836.363636364</v>
      </c>
      <c r="I83" s="27">
        <f t="shared" si="44"/>
        <v>576000</v>
      </c>
      <c r="J83" s="28">
        <f t="shared" si="45"/>
        <v>126000</v>
      </c>
      <c r="K83" s="29">
        <f t="shared" si="46"/>
        <v>0.28000000000000003</v>
      </c>
      <c r="L83" s="28">
        <f t="shared" si="47"/>
        <v>2163.4615384615386</v>
      </c>
      <c r="M83" s="38">
        <f t="shared" si="53"/>
        <v>2642.8673076923078</v>
      </c>
      <c r="N83" s="28">
        <f t="shared" si="48"/>
        <v>479.40576923076924</v>
      </c>
      <c r="O83" s="30">
        <f t="shared" si="49"/>
        <v>94.545454545454533</v>
      </c>
      <c r="P83" s="28">
        <f t="shared" si="50"/>
        <v>54836.363636363632</v>
      </c>
      <c r="Q83" s="31">
        <v>0.20860000000000001</v>
      </c>
      <c r="R83" s="32">
        <f t="shared" si="54"/>
        <v>549716.4</v>
      </c>
      <c r="S83" s="32">
        <f t="shared" si="51"/>
        <v>99716.4</v>
      </c>
      <c r="T83" s="33">
        <f t="shared" si="52"/>
        <v>-26283.599999999977</v>
      </c>
      <c r="V83" s="37"/>
      <c r="AE83" s="37"/>
      <c r="AF83" s="37"/>
    </row>
    <row r="84" spans="1:32" ht="15.75" customHeight="1" x14ac:dyDescent="0.35">
      <c r="A84" s="34">
        <v>72</v>
      </c>
      <c r="B84" s="34" t="s">
        <v>97</v>
      </c>
      <c r="C84" s="35" t="s">
        <v>98</v>
      </c>
      <c r="D84" s="36" t="s">
        <v>122</v>
      </c>
      <c r="E84" s="24">
        <v>210</v>
      </c>
      <c r="F84" s="24">
        <v>450000</v>
      </c>
      <c r="G84" s="25">
        <v>0.28000000000000003</v>
      </c>
      <c r="H84" s="26">
        <v>505363.636363636</v>
      </c>
      <c r="I84" s="27">
        <f t="shared" si="44"/>
        <v>576000</v>
      </c>
      <c r="J84" s="28">
        <f t="shared" si="45"/>
        <v>126000</v>
      </c>
      <c r="K84" s="29">
        <f t="shared" si="46"/>
        <v>0.28000000000000003</v>
      </c>
      <c r="L84" s="28">
        <f t="shared" si="47"/>
        <v>2142.8571428571427</v>
      </c>
      <c r="M84" s="38">
        <f t="shared" si="53"/>
        <v>2457.3171428571427</v>
      </c>
      <c r="N84" s="28">
        <f t="shared" si="48"/>
        <v>314.46000000000004</v>
      </c>
      <c r="O84" s="30">
        <f t="shared" si="49"/>
        <v>95.454545454545453</v>
      </c>
      <c r="P84" s="28">
        <f t="shared" si="50"/>
        <v>55363.63636363636</v>
      </c>
      <c r="Q84" s="31">
        <v>0.47589999999999999</v>
      </c>
      <c r="R84" s="32">
        <f t="shared" si="54"/>
        <v>516036.6</v>
      </c>
      <c r="S84" s="32">
        <f t="shared" si="51"/>
        <v>66036.600000000006</v>
      </c>
      <c r="T84" s="33">
        <f t="shared" si="52"/>
        <v>-59963.400000000023</v>
      </c>
      <c r="V84" s="37"/>
      <c r="AE84" s="37"/>
      <c r="AF84" s="37"/>
    </row>
    <row r="85" spans="1:32" ht="15.75" customHeight="1" x14ac:dyDescent="0.35">
      <c r="A85" s="21">
        <v>73</v>
      </c>
      <c r="B85" s="21" t="s">
        <v>97</v>
      </c>
      <c r="C85" s="22" t="s">
        <v>98</v>
      </c>
      <c r="D85" s="23" t="s">
        <v>123</v>
      </c>
      <c r="E85" s="24">
        <v>187</v>
      </c>
      <c r="F85" s="24">
        <v>410000</v>
      </c>
      <c r="G85" s="25">
        <v>0.28000000000000003</v>
      </c>
      <c r="H85" s="26">
        <v>459300</v>
      </c>
      <c r="I85" s="27">
        <f t="shared" si="44"/>
        <v>524800</v>
      </c>
      <c r="J85" s="28">
        <f t="shared" si="45"/>
        <v>114800</v>
      </c>
      <c r="K85" s="29">
        <f t="shared" si="46"/>
        <v>0.28000000000000003</v>
      </c>
      <c r="L85" s="28">
        <f t="shared" si="47"/>
        <v>2192.5133689839572</v>
      </c>
      <c r="M85" s="38">
        <f t="shared" si="53"/>
        <v>2514.2603208556147</v>
      </c>
      <c r="N85" s="28">
        <f t="shared" si="48"/>
        <v>321.74695187165753</v>
      </c>
      <c r="O85" s="30">
        <f t="shared" si="49"/>
        <v>85</v>
      </c>
      <c r="P85" s="28">
        <f t="shared" si="50"/>
        <v>49300</v>
      </c>
      <c r="Q85" s="31">
        <v>0.47589999999999999</v>
      </c>
      <c r="R85" s="32">
        <f t="shared" si="54"/>
        <v>470166.68</v>
      </c>
      <c r="S85" s="32">
        <f t="shared" si="51"/>
        <v>60166.68</v>
      </c>
      <c r="T85" s="33">
        <f t="shared" si="52"/>
        <v>-54633.320000000007</v>
      </c>
      <c r="V85" s="37"/>
      <c r="AE85" s="37"/>
      <c r="AF85" s="37"/>
    </row>
    <row r="86" spans="1:32" ht="18" customHeight="1" x14ac:dyDescent="0.35">
      <c r="A86" s="20" t="s">
        <v>124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V86" s="39"/>
      <c r="X86" s="39"/>
      <c r="Y86" s="39"/>
      <c r="Z86" s="39"/>
      <c r="AD86" s="39"/>
    </row>
    <row r="87" spans="1:32" ht="15.75" customHeight="1" x14ac:dyDescent="0.35">
      <c r="A87" s="21">
        <v>74</v>
      </c>
      <c r="B87" s="21" t="s">
        <v>125</v>
      </c>
      <c r="C87" s="22" t="s">
        <v>126</v>
      </c>
      <c r="D87" s="23" t="s">
        <v>127</v>
      </c>
      <c r="E87" s="24">
        <v>425</v>
      </c>
      <c r="F87" s="24">
        <v>550000</v>
      </c>
      <c r="G87" s="25">
        <v>0.28000000000000003</v>
      </c>
      <c r="H87" s="26">
        <v>662045.45454545505</v>
      </c>
      <c r="I87" s="27">
        <f t="shared" ref="I87:I108" si="55">F87*(1+G87)</f>
        <v>704000</v>
      </c>
      <c r="J87" s="28">
        <f t="shared" ref="J87:J108" si="56">I87-F87</f>
        <v>154000</v>
      </c>
      <c r="K87" s="29">
        <f t="shared" ref="K87:K108" si="57">J87/F87</f>
        <v>0.28000000000000003</v>
      </c>
      <c r="L87" s="28">
        <f t="shared" ref="L87:L108" si="58">F87/E87</f>
        <v>1294.1176470588234</v>
      </c>
      <c r="M87" s="28">
        <f t="shared" ref="M87:M108" si="59">I87/E87</f>
        <v>1656.4705882352941</v>
      </c>
      <c r="N87" s="28">
        <f t="shared" ref="N87:N108" si="60">M87-L87</f>
        <v>362.35294117647072</v>
      </c>
      <c r="O87" s="30">
        <f t="shared" ref="O87:O108" si="61">E87/2.2</f>
        <v>193.18181818181816</v>
      </c>
      <c r="P87" s="28">
        <f t="shared" ref="P87:P108" si="62">O87*580</f>
        <v>112045.45454545453</v>
      </c>
      <c r="Q87" s="31">
        <v>0.47589999999999999</v>
      </c>
      <c r="R87" s="32">
        <f t="shared" ref="R87:R108" si="63">+F87+S87</f>
        <v>630711.4</v>
      </c>
      <c r="S87" s="32">
        <f t="shared" ref="S87:S108" si="64">J87*(1-Q87)</f>
        <v>80711.400000000009</v>
      </c>
      <c r="T87" s="33">
        <f t="shared" ref="T87:T108" si="65">+R87-I87</f>
        <v>-73288.599999999977</v>
      </c>
      <c r="V87" s="40"/>
      <c r="W87" s="41"/>
      <c r="X87" s="40"/>
      <c r="Y87" s="42"/>
      <c r="Z87" s="42"/>
      <c r="AA87" s="24"/>
      <c r="AB87" s="23"/>
      <c r="AC87" s="32"/>
      <c r="AD87" s="42"/>
    </row>
    <row r="88" spans="1:32" ht="15.75" customHeight="1" x14ac:dyDescent="0.35">
      <c r="A88" s="34">
        <v>75</v>
      </c>
      <c r="B88" s="34" t="s">
        <v>125</v>
      </c>
      <c r="C88" s="35" t="s">
        <v>126</v>
      </c>
      <c r="D88" s="36" t="s">
        <v>128</v>
      </c>
      <c r="E88" s="24">
        <v>376</v>
      </c>
      <c r="F88" s="24">
        <v>530000</v>
      </c>
      <c r="G88" s="25">
        <v>0.28000000000000003</v>
      </c>
      <c r="H88" s="26">
        <v>629127.27272727306</v>
      </c>
      <c r="I88" s="27">
        <f t="shared" si="55"/>
        <v>678400</v>
      </c>
      <c r="J88" s="28">
        <f t="shared" si="56"/>
        <v>148400</v>
      </c>
      <c r="K88" s="29">
        <f t="shared" si="57"/>
        <v>0.28000000000000003</v>
      </c>
      <c r="L88" s="28">
        <f t="shared" si="58"/>
        <v>1409.5744680851064</v>
      </c>
      <c r="M88" s="28">
        <f t="shared" si="59"/>
        <v>1804.2553191489362</v>
      </c>
      <c r="N88" s="28">
        <f t="shared" si="60"/>
        <v>394.68085106382978</v>
      </c>
      <c r="O88" s="30">
        <f t="shared" si="61"/>
        <v>170.90909090909091</v>
      </c>
      <c r="P88" s="28">
        <f t="shared" si="62"/>
        <v>99127.272727272721</v>
      </c>
      <c r="Q88" s="31">
        <v>0.47589999999999999</v>
      </c>
      <c r="R88" s="32">
        <f t="shared" si="63"/>
        <v>607776.43999999994</v>
      </c>
      <c r="S88" s="32">
        <f t="shared" si="64"/>
        <v>77776.44</v>
      </c>
      <c r="T88" s="33">
        <f t="shared" si="65"/>
        <v>-70623.560000000056</v>
      </c>
      <c r="V88" s="40"/>
      <c r="W88" s="41"/>
      <c r="X88" s="40"/>
      <c r="Y88" s="42"/>
      <c r="Z88" s="42"/>
      <c r="AA88" s="24"/>
      <c r="AB88" s="36"/>
      <c r="AC88" s="32"/>
    </row>
    <row r="89" spans="1:32" ht="15.75" customHeight="1" x14ac:dyDescent="0.35">
      <c r="A89" s="21">
        <v>76</v>
      </c>
      <c r="B89" s="21" t="s">
        <v>125</v>
      </c>
      <c r="C89" s="22" t="s">
        <v>126</v>
      </c>
      <c r="D89" s="23" t="s">
        <v>129</v>
      </c>
      <c r="E89" s="24">
        <v>310</v>
      </c>
      <c r="F89" s="24">
        <v>480000</v>
      </c>
      <c r="G89" s="25">
        <v>0.28000000000000003</v>
      </c>
      <c r="H89" s="26">
        <v>561727.27272727306</v>
      </c>
      <c r="I89" s="27">
        <f t="shared" si="55"/>
        <v>614400</v>
      </c>
      <c r="J89" s="28">
        <f t="shared" si="56"/>
        <v>134400</v>
      </c>
      <c r="K89" s="29">
        <f t="shared" si="57"/>
        <v>0.28000000000000003</v>
      </c>
      <c r="L89" s="28">
        <f t="shared" si="58"/>
        <v>1548.3870967741937</v>
      </c>
      <c r="M89" s="28">
        <f t="shared" si="59"/>
        <v>1981.9354838709678</v>
      </c>
      <c r="N89" s="28">
        <f t="shared" si="60"/>
        <v>433.54838709677415</v>
      </c>
      <c r="O89" s="30">
        <f t="shared" si="61"/>
        <v>140.90909090909091</v>
      </c>
      <c r="P89" s="28">
        <f t="shared" si="62"/>
        <v>81727.272727272721</v>
      </c>
      <c r="Q89" s="31">
        <v>0.47589999999999999</v>
      </c>
      <c r="R89" s="32">
        <f t="shared" si="63"/>
        <v>550439.04</v>
      </c>
      <c r="S89" s="32">
        <f t="shared" si="64"/>
        <v>70439.040000000008</v>
      </c>
      <c r="T89" s="33">
        <f t="shared" si="65"/>
        <v>-63960.959999999963</v>
      </c>
      <c r="V89" s="40"/>
      <c r="W89" s="41"/>
      <c r="X89" s="40"/>
      <c r="Y89" s="42"/>
      <c r="Z89" s="42"/>
      <c r="AA89" s="24"/>
      <c r="AB89" s="23"/>
      <c r="AC89" s="32"/>
    </row>
    <row r="90" spans="1:32" ht="15.75" customHeight="1" x14ac:dyDescent="0.35">
      <c r="A90" s="34">
        <v>77</v>
      </c>
      <c r="B90" s="34" t="s">
        <v>125</v>
      </c>
      <c r="C90" s="35" t="s">
        <v>126</v>
      </c>
      <c r="D90" s="36" t="s">
        <v>130</v>
      </c>
      <c r="E90" s="24">
        <v>262</v>
      </c>
      <c r="F90" s="24">
        <v>480000</v>
      </c>
      <c r="G90" s="25">
        <v>0.28000000000000003</v>
      </c>
      <c r="H90" s="26">
        <v>549072.72727272694</v>
      </c>
      <c r="I90" s="27">
        <f t="shared" si="55"/>
        <v>614400</v>
      </c>
      <c r="J90" s="28">
        <f t="shared" si="56"/>
        <v>134400</v>
      </c>
      <c r="K90" s="29">
        <f t="shared" si="57"/>
        <v>0.28000000000000003</v>
      </c>
      <c r="L90" s="28">
        <f t="shared" si="58"/>
        <v>1832.0610687022902</v>
      </c>
      <c r="M90" s="28">
        <f t="shared" si="59"/>
        <v>2345.0381679389311</v>
      </c>
      <c r="N90" s="28">
        <f t="shared" si="60"/>
        <v>512.97709923664092</v>
      </c>
      <c r="O90" s="30">
        <f t="shared" si="61"/>
        <v>119.09090909090908</v>
      </c>
      <c r="P90" s="28">
        <f t="shared" si="62"/>
        <v>69072.727272727265</v>
      </c>
      <c r="Q90" s="31">
        <v>0.47589999999999999</v>
      </c>
      <c r="R90" s="32">
        <f t="shared" si="63"/>
        <v>550439.04</v>
      </c>
      <c r="S90" s="32">
        <f t="shared" si="64"/>
        <v>70439.040000000008</v>
      </c>
      <c r="T90" s="33">
        <f t="shared" si="65"/>
        <v>-63960.959999999963</v>
      </c>
      <c r="V90" s="40"/>
      <c r="W90" s="41"/>
      <c r="X90" s="40"/>
      <c r="Y90" s="42"/>
      <c r="Z90" s="42"/>
      <c r="AA90" s="24"/>
      <c r="AB90" s="36"/>
      <c r="AC90" s="32"/>
    </row>
    <row r="91" spans="1:32" ht="15.75" customHeight="1" x14ac:dyDescent="0.35">
      <c r="A91" s="21">
        <v>78</v>
      </c>
      <c r="B91" s="21" t="s">
        <v>125</v>
      </c>
      <c r="C91" s="22" t="s">
        <v>126</v>
      </c>
      <c r="D91" s="23" t="s">
        <v>131</v>
      </c>
      <c r="E91" s="24">
        <v>326</v>
      </c>
      <c r="F91" s="24">
        <v>500000</v>
      </c>
      <c r="G91" s="25">
        <v>0.28000000000000003</v>
      </c>
      <c r="H91" s="26">
        <v>585945.45454545505</v>
      </c>
      <c r="I91" s="27">
        <f t="shared" si="55"/>
        <v>640000</v>
      </c>
      <c r="J91" s="28">
        <f t="shared" si="56"/>
        <v>140000</v>
      </c>
      <c r="K91" s="29">
        <f t="shared" si="57"/>
        <v>0.28000000000000003</v>
      </c>
      <c r="L91" s="28">
        <f t="shared" si="58"/>
        <v>1533.7423312883436</v>
      </c>
      <c r="M91" s="28">
        <f t="shared" si="59"/>
        <v>1963.1901840490798</v>
      </c>
      <c r="N91" s="28">
        <f t="shared" si="60"/>
        <v>429.44785276073617</v>
      </c>
      <c r="O91" s="30">
        <f t="shared" si="61"/>
        <v>148.18181818181816</v>
      </c>
      <c r="P91" s="28">
        <f t="shared" si="62"/>
        <v>85945.45454545453</v>
      </c>
      <c r="Q91" s="31">
        <v>0.47589999999999999</v>
      </c>
      <c r="R91" s="32">
        <f t="shared" si="63"/>
        <v>573374</v>
      </c>
      <c r="S91" s="32">
        <f t="shared" si="64"/>
        <v>73374</v>
      </c>
      <c r="T91" s="33">
        <f t="shared" si="65"/>
        <v>-66626</v>
      </c>
      <c r="V91" s="40"/>
      <c r="W91" s="41"/>
      <c r="X91" s="40"/>
      <c r="Y91" s="42"/>
      <c r="Z91" s="42"/>
      <c r="AA91" s="24"/>
      <c r="AB91" s="23"/>
      <c r="AC91" s="32"/>
    </row>
    <row r="92" spans="1:32" ht="15.75" customHeight="1" x14ac:dyDescent="0.35">
      <c r="A92" s="34">
        <v>79</v>
      </c>
      <c r="B92" s="34" t="s">
        <v>125</v>
      </c>
      <c r="C92" s="35" t="s">
        <v>126</v>
      </c>
      <c r="D92" s="36" t="s">
        <v>132</v>
      </c>
      <c r="E92" s="24">
        <v>374</v>
      </c>
      <c r="F92" s="24">
        <v>530000</v>
      </c>
      <c r="G92" s="25">
        <v>0.28000000000000003</v>
      </c>
      <c r="H92" s="26">
        <v>628600</v>
      </c>
      <c r="I92" s="27">
        <f t="shared" si="55"/>
        <v>678400</v>
      </c>
      <c r="J92" s="28">
        <f t="shared" si="56"/>
        <v>148400</v>
      </c>
      <c r="K92" s="29">
        <f t="shared" si="57"/>
        <v>0.28000000000000003</v>
      </c>
      <c r="L92" s="28">
        <f t="shared" si="58"/>
        <v>1417.1122994652405</v>
      </c>
      <c r="M92" s="28">
        <f t="shared" si="59"/>
        <v>1813.9037433155081</v>
      </c>
      <c r="N92" s="28">
        <f t="shared" si="60"/>
        <v>396.79144385026757</v>
      </c>
      <c r="O92" s="30">
        <f t="shared" si="61"/>
        <v>170</v>
      </c>
      <c r="P92" s="28">
        <f t="shared" si="62"/>
        <v>98600</v>
      </c>
      <c r="Q92" s="31">
        <v>0.47589999999999999</v>
      </c>
      <c r="R92" s="32">
        <f t="shared" si="63"/>
        <v>607776.43999999994</v>
      </c>
      <c r="S92" s="32">
        <f t="shared" si="64"/>
        <v>77776.44</v>
      </c>
      <c r="T92" s="33">
        <f t="shared" si="65"/>
        <v>-70623.560000000056</v>
      </c>
      <c r="V92" s="40"/>
      <c r="W92" s="41"/>
      <c r="X92" s="40"/>
      <c r="Y92" s="42"/>
      <c r="Z92" s="42"/>
      <c r="AA92" s="24"/>
      <c r="AB92" s="36"/>
      <c r="AC92" s="32"/>
    </row>
    <row r="93" spans="1:32" ht="15.75" customHeight="1" x14ac:dyDescent="0.35">
      <c r="A93" s="21">
        <v>80</v>
      </c>
      <c r="B93" s="21" t="s">
        <v>125</v>
      </c>
      <c r="C93" s="22" t="s">
        <v>126</v>
      </c>
      <c r="D93" s="23" t="s">
        <v>133</v>
      </c>
      <c r="E93" s="24">
        <v>387</v>
      </c>
      <c r="F93" s="24">
        <v>550000</v>
      </c>
      <c r="G93" s="25">
        <v>0.28000000000000003</v>
      </c>
      <c r="H93" s="26">
        <v>652027.27272727306</v>
      </c>
      <c r="I93" s="27">
        <f t="shared" si="55"/>
        <v>704000</v>
      </c>
      <c r="J93" s="28">
        <f t="shared" si="56"/>
        <v>154000</v>
      </c>
      <c r="K93" s="29">
        <f t="shared" si="57"/>
        <v>0.28000000000000003</v>
      </c>
      <c r="L93" s="28">
        <f t="shared" si="58"/>
        <v>1421.188630490956</v>
      </c>
      <c r="M93" s="28">
        <f t="shared" si="59"/>
        <v>1819.1214470284237</v>
      </c>
      <c r="N93" s="28">
        <f t="shared" si="60"/>
        <v>397.93281653746772</v>
      </c>
      <c r="O93" s="30">
        <f t="shared" si="61"/>
        <v>175.90909090909091</v>
      </c>
      <c r="P93" s="28">
        <f t="shared" si="62"/>
        <v>102027.27272727272</v>
      </c>
      <c r="Q93" s="31">
        <v>0.47589999999999999</v>
      </c>
      <c r="R93" s="32">
        <f t="shared" si="63"/>
        <v>630711.4</v>
      </c>
      <c r="S93" s="32">
        <f t="shared" si="64"/>
        <v>80711.400000000009</v>
      </c>
      <c r="T93" s="33">
        <f t="shared" si="65"/>
        <v>-73288.599999999977</v>
      </c>
      <c r="V93" s="40"/>
      <c r="W93" s="41"/>
      <c r="X93" s="40"/>
      <c r="Y93" s="42"/>
      <c r="Z93" s="42"/>
      <c r="AA93" s="24"/>
      <c r="AB93" s="23"/>
      <c r="AC93" s="32"/>
    </row>
    <row r="94" spans="1:32" ht="15.75" customHeight="1" x14ac:dyDescent="0.35">
      <c r="A94" s="34">
        <v>81</v>
      </c>
      <c r="B94" s="34" t="s">
        <v>125</v>
      </c>
      <c r="C94" s="35" t="s">
        <v>126</v>
      </c>
      <c r="D94" s="36" t="s">
        <v>134</v>
      </c>
      <c r="E94" s="24">
        <v>279</v>
      </c>
      <c r="F94" s="24">
        <v>480000</v>
      </c>
      <c r="G94" s="25">
        <v>0.28000000000000003</v>
      </c>
      <c r="H94" s="26">
        <v>553554.54545454495</v>
      </c>
      <c r="I94" s="27">
        <f t="shared" si="55"/>
        <v>614400</v>
      </c>
      <c r="J94" s="28">
        <f t="shared" si="56"/>
        <v>134400</v>
      </c>
      <c r="K94" s="29">
        <f t="shared" si="57"/>
        <v>0.28000000000000003</v>
      </c>
      <c r="L94" s="28">
        <f t="shared" si="58"/>
        <v>1720.4301075268818</v>
      </c>
      <c r="M94" s="28">
        <f t="shared" si="59"/>
        <v>2202.1505376344085</v>
      </c>
      <c r="N94" s="28">
        <f t="shared" si="60"/>
        <v>481.72043010752668</v>
      </c>
      <c r="O94" s="30">
        <f t="shared" si="61"/>
        <v>126.81818181818181</v>
      </c>
      <c r="P94" s="28">
        <f t="shared" si="62"/>
        <v>73554.545454545456</v>
      </c>
      <c r="Q94" s="31">
        <v>0.47589999999999999</v>
      </c>
      <c r="R94" s="32">
        <f t="shared" si="63"/>
        <v>550439.04</v>
      </c>
      <c r="S94" s="32">
        <f t="shared" si="64"/>
        <v>70439.040000000008</v>
      </c>
      <c r="T94" s="33">
        <f t="shared" si="65"/>
        <v>-63960.959999999963</v>
      </c>
      <c r="V94" s="40"/>
      <c r="W94" s="41"/>
      <c r="X94" s="40"/>
      <c r="Y94" s="42"/>
      <c r="Z94" s="42"/>
      <c r="AA94" s="24"/>
      <c r="AB94" s="36"/>
      <c r="AC94" s="32"/>
    </row>
    <row r="95" spans="1:32" ht="15.75" customHeight="1" x14ac:dyDescent="0.35">
      <c r="A95" s="21">
        <v>82</v>
      </c>
      <c r="B95" s="21" t="s">
        <v>125</v>
      </c>
      <c r="C95" s="22" t="s">
        <v>126</v>
      </c>
      <c r="D95" s="23" t="s">
        <v>135</v>
      </c>
      <c r="E95" s="24">
        <v>411</v>
      </c>
      <c r="F95" s="24">
        <v>550000</v>
      </c>
      <c r="G95" s="25">
        <v>0.28000000000000003</v>
      </c>
      <c r="H95" s="26">
        <v>658354.54545454495</v>
      </c>
      <c r="I95" s="27">
        <f t="shared" si="55"/>
        <v>704000</v>
      </c>
      <c r="J95" s="28">
        <f t="shared" si="56"/>
        <v>154000</v>
      </c>
      <c r="K95" s="29">
        <f t="shared" si="57"/>
        <v>0.28000000000000003</v>
      </c>
      <c r="L95" s="28">
        <f t="shared" si="58"/>
        <v>1338.1995133819951</v>
      </c>
      <c r="M95" s="28">
        <f t="shared" si="59"/>
        <v>1712.8953771289537</v>
      </c>
      <c r="N95" s="28">
        <f t="shared" si="60"/>
        <v>374.69586374695859</v>
      </c>
      <c r="O95" s="30">
        <f t="shared" si="61"/>
        <v>186.81818181818181</v>
      </c>
      <c r="P95" s="28">
        <f t="shared" si="62"/>
        <v>108354.54545454546</v>
      </c>
      <c r="Q95" s="31">
        <v>0.47589999999999999</v>
      </c>
      <c r="R95" s="32">
        <f t="shared" si="63"/>
        <v>630711.4</v>
      </c>
      <c r="S95" s="32">
        <f t="shared" si="64"/>
        <v>80711.400000000009</v>
      </c>
      <c r="T95" s="33">
        <f t="shared" si="65"/>
        <v>-73288.599999999977</v>
      </c>
      <c r="V95" s="40"/>
      <c r="W95" s="41"/>
      <c r="X95" s="40"/>
      <c r="Y95" s="42"/>
      <c r="Z95" s="42"/>
      <c r="AA95" s="24"/>
      <c r="AB95" s="23"/>
      <c r="AC95" s="32"/>
    </row>
    <row r="96" spans="1:32" ht="15.75" customHeight="1" x14ac:dyDescent="0.35">
      <c r="A96" s="34">
        <v>83</v>
      </c>
      <c r="B96" s="34" t="s">
        <v>125</v>
      </c>
      <c r="C96" s="35" t="s">
        <v>126</v>
      </c>
      <c r="D96" s="36" t="s">
        <v>136</v>
      </c>
      <c r="E96" s="24">
        <v>322</v>
      </c>
      <c r="F96" s="24">
        <v>500000</v>
      </c>
      <c r="G96" s="25">
        <v>0.28000000000000003</v>
      </c>
      <c r="H96" s="26">
        <v>584890.90909090894</v>
      </c>
      <c r="I96" s="27">
        <f t="shared" si="55"/>
        <v>640000</v>
      </c>
      <c r="J96" s="28">
        <f t="shared" si="56"/>
        <v>140000</v>
      </c>
      <c r="K96" s="29">
        <f t="shared" si="57"/>
        <v>0.28000000000000003</v>
      </c>
      <c r="L96" s="28">
        <f t="shared" si="58"/>
        <v>1552.7950310559006</v>
      </c>
      <c r="M96" s="28">
        <f t="shared" si="59"/>
        <v>1987.5776397515529</v>
      </c>
      <c r="N96" s="28">
        <f t="shared" si="60"/>
        <v>434.78260869565224</v>
      </c>
      <c r="O96" s="30">
        <f t="shared" si="61"/>
        <v>146.36363636363635</v>
      </c>
      <c r="P96" s="28">
        <f t="shared" si="62"/>
        <v>84890.909090909074</v>
      </c>
      <c r="Q96" s="31">
        <v>0.47589999999999999</v>
      </c>
      <c r="R96" s="32">
        <f t="shared" si="63"/>
        <v>573374</v>
      </c>
      <c r="S96" s="32">
        <f t="shared" si="64"/>
        <v>73374</v>
      </c>
      <c r="T96" s="33">
        <f t="shared" si="65"/>
        <v>-66626</v>
      </c>
      <c r="V96" s="40"/>
      <c r="W96" s="41"/>
      <c r="X96" s="40"/>
      <c r="Y96" s="42"/>
      <c r="Z96" s="42"/>
      <c r="AA96" s="24"/>
      <c r="AB96" s="36"/>
      <c r="AC96" s="32"/>
    </row>
    <row r="97" spans="1:29" ht="15.75" customHeight="1" x14ac:dyDescent="0.35">
      <c r="A97" s="21">
        <v>84</v>
      </c>
      <c r="B97" s="21" t="s">
        <v>125</v>
      </c>
      <c r="C97" s="22" t="s">
        <v>126</v>
      </c>
      <c r="D97" s="23" t="s">
        <v>137</v>
      </c>
      <c r="E97" s="24">
        <v>339</v>
      </c>
      <c r="F97" s="24">
        <v>500000</v>
      </c>
      <c r="G97" s="25">
        <v>0.28000000000000003</v>
      </c>
      <c r="H97" s="26">
        <v>589372.72727272694</v>
      </c>
      <c r="I97" s="27">
        <f t="shared" si="55"/>
        <v>640000</v>
      </c>
      <c r="J97" s="28">
        <f t="shared" si="56"/>
        <v>140000</v>
      </c>
      <c r="K97" s="29">
        <f t="shared" si="57"/>
        <v>0.28000000000000003</v>
      </c>
      <c r="L97" s="28">
        <f t="shared" si="58"/>
        <v>1474.9262536873157</v>
      </c>
      <c r="M97" s="28">
        <f t="shared" si="59"/>
        <v>1887.9056047197639</v>
      </c>
      <c r="N97" s="28">
        <f t="shared" si="60"/>
        <v>412.97935103244822</v>
      </c>
      <c r="O97" s="30">
        <f t="shared" si="61"/>
        <v>154.09090909090907</v>
      </c>
      <c r="P97" s="28">
        <f t="shared" si="62"/>
        <v>89372.727272727265</v>
      </c>
      <c r="Q97" s="31">
        <v>0.47589999999999999</v>
      </c>
      <c r="R97" s="32">
        <f t="shared" si="63"/>
        <v>573374</v>
      </c>
      <c r="S97" s="32">
        <f t="shared" si="64"/>
        <v>73374</v>
      </c>
      <c r="T97" s="33">
        <f t="shared" si="65"/>
        <v>-66626</v>
      </c>
      <c r="V97" s="40"/>
      <c r="W97" s="41"/>
      <c r="X97" s="40"/>
      <c r="Y97" s="42"/>
      <c r="Z97" s="42"/>
      <c r="AA97" s="24"/>
      <c r="AB97" s="23"/>
      <c r="AC97" s="32"/>
    </row>
    <row r="98" spans="1:29" ht="15.75" customHeight="1" x14ac:dyDescent="0.35">
      <c r="A98" s="34">
        <v>85</v>
      </c>
      <c r="B98" s="34" t="s">
        <v>125</v>
      </c>
      <c r="C98" s="35" t="s">
        <v>126</v>
      </c>
      <c r="D98" s="36" t="s">
        <v>138</v>
      </c>
      <c r="E98" s="24">
        <v>267</v>
      </c>
      <c r="F98" s="24">
        <v>480000</v>
      </c>
      <c r="G98" s="25">
        <v>0.28000000000000003</v>
      </c>
      <c r="H98" s="26">
        <v>550390.90909090894</v>
      </c>
      <c r="I98" s="27">
        <f t="shared" si="55"/>
        <v>614400</v>
      </c>
      <c r="J98" s="28">
        <f t="shared" si="56"/>
        <v>134400</v>
      </c>
      <c r="K98" s="29">
        <f t="shared" si="57"/>
        <v>0.28000000000000003</v>
      </c>
      <c r="L98" s="28">
        <f t="shared" si="58"/>
        <v>1797.7528089887639</v>
      </c>
      <c r="M98" s="28">
        <f t="shared" si="59"/>
        <v>2301.1235955056181</v>
      </c>
      <c r="N98" s="28">
        <f t="shared" si="60"/>
        <v>503.3707865168542</v>
      </c>
      <c r="O98" s="30">
        <f t="shared" si="61"/>
        <v>121.36363636363636</v>
      </c>
      <c r="P98" s="28">
        <f t="shared" si="62"/>
        <v>70390.909090909088</v>
      </c>
      <c r="Q98" s="31">
        <v>0.47589999999999999</v>
      </c>
      <c r="R98" s="32">
        <f t="shared" si="63"/>
        <v>550439.04</v>
      </c>
      <c r="S98" s="32">
        <f t="shared" si="64"/>
        <v>70439.040000000008</v>
      </c>
      <c r="T98" s="33">
        <f t="shared" si="65"/>
        <v>-63960.959999999963</v>
      </c>
      <c r="V98" s="40"/>
      <c r="W98" s="41"/>
      <c r="X98" s="40"/>
      <c r="Y98" s="42"/>
      <c r="Z98" s="42"/>
      <c r="AA98" s="24"/>
      <c r="AB98" s="36"/>
      <c r="AC98" s="32"/>
    </row>
    <row r="99" spans="1:29" ht="15.75" customHeight="1" x14ac:dyDescent="0.35">
      <c r="A99" s="21">
        <v>86</v>
      </c>
      <c r="B99" s="21" t="s">
        <v>125</v>
      </c>
      <c r="C99" s="22" t="s">
        <v>126</v>
      </c>
      <c r="D99" s="23" t="s">
        <v>139</v>
      </c>
      <c r="E99" s="24">
        <v>399</v>
      </c>
      <c r="F99" s="24">
        <v>550000</v>
      </c>
      <c r="G99" s="25">
        <v>0.28000000000000003</v>
      </c>
      <c r="H99" s="26">
        <v>655190.90909090894</v>
      </c>
      <c r="I99" s="27">
        <f t="shared" si="55"/>
        <v>704000</v>
      </c>
      <c r="J99" s="28">
        <f t="shared" si="56"/>
        <v>154000</v>
      </c>
      <c r="K99" s="29">
        <f t="shared" si="57"/>
        <v>0.28000000000000003</v>
      </c>
      <c r="L99" s="28">
        <f t="shared" si="58"/>
        <v>1378.4461152882207</v>
      </c>
      <c r="M99" s="28">
        <f t="shared" si="59"/>
        <v>1764.4110275689222</v>
      </c>
      <c r="N99" s="28">
        <f t="shared" si="60"/>
        <v>385.96491228070158</v>
      </c>
      <c r="O99" s="30">
        <f t="shared" si="61"/>
        <v>181.36363636363635</v>
      </c>
      <c r="P99" s="28">
        <f t="shared" si="62"/>
        <v>105190.90909090907</v>
      </c>
      <c r="Q99" s="31">
        <v>0.47589999999999999</v>
      </c>
      <c r="R99" s="32">
        <f t="shared" si="63"/>
        <v>630711.4</v>
      </c>
      <c r="S99" s="32">
        <f t="shared" si="64"/>
        <v>80711.400000000009</v>
      </c>
      <c r="T99" s="33">
        <f t="shared" si="65"/>
        <v>-73288.599999999977</v>
      </c>
      <c r="V99" s="40"/>
      <c r="W99" s="41"/>
      <c r="X99" s="40"/>
      <c r="Y99" s="42"/>
      <c r="Z99" s="42"/>
      <c r="AA99" s="24"/>
      <c r="AB99" s="23"/>
      <c r="AC99" s="32"/>
    </row>
    <row r="100" spans="1:29" ht="15.75" customHeight="1" x14ac:dyDescent="0.35">
      <c r="A100" s="34">
        <v>87</v>
      </c>
      <c r="B100" s="34" t="s">
        <v>125</v>
      </c>
      <c r="C100" s="35" t="s">
        <v>126</v>
      </c>
      <c r="D100" s="36" t="s">
        <v>140</v>
      </c>
      <c r="E100" s="24">
        <v>310</v>
      </c>
      <c r="F100" s="24">
        <v>480000</v>
      </c>
      <c r="G100" s="25">
        <v>0.28000000000000003</v>
      </c>
      <c r="H100" s="26">
        <v>561727.27272727306</v>
      </c>
      <c r="I100" s="27">
        <f t="shared" si="55"/>
        <v>614400</v>
      </c>
      <c r="J100" s="28">
        <f t="shared" si="56"/>
        <v>134400</v>
      </c>
      <c r="K100" s="29">
        <f t="shared" si="57"/>
        <v>0.28000000000000003</v>
      </c>
      <c r="L100" s="28">
        <f t="shared" si="58"/>
        <v>1548.3870967741937</v>
      </c>
      <c r="M100" s="28">
        <f t="shared" si="59"/>
        <v>1981.9354838709678</v>
      </c>
      <c r="N100" s="28">
        <f t="shared" si="60"/>
        <v>433.54838709677415</v>
      </c>
      <c r="O100" s="30">
        <f t="shared" si="61"/>
        <v>140.90909090909091</v>
      </c>
      <c r="P100" s="28">
        <f t="shared" si="62"/>
        <v>81727.272727272721</v>
      </c>
      <c r="Q100" s="31">
        <v>0.47589999999999999</v>
      </c>
      <c r="R100" s="32">
        <f t="shared" si="63"/>
        <v>550439.04</v>
      </c>
      <c r="S100" s="32">
        <f t="shared" si="64"/>
        <v>70439.040000000008</v>
      </c>
      <c r="T100" s="33">
        <f t="shared" si="65"/>
        <v>-63960.959999999963</v>
      </c>
      <c r="V100" s="40"/>
      <c r="W100" s="41"/>
      <c r="X100" s="40"/>
      <c r="Y100" s="42"/>
      <c r="Z100" s="42"/>
      <c r="AA100" s="24"/>
      <c r="AB100" s="36"/>
      <c r="AC100" s="32"/>
    </row>
    <row r="101" spans="1:29" ht="15.75" customHeight="1" x14ac:dyDescent="0.35">
      <c r="A101" s="21">
        <v>88</v>
      </c>
      <c r="B101" s="21" t="s">
        <v>125</v>
      </c>
      <c r="C101" s="22" t="s">
        <v>126</v>
      </c>
      <c r="D101" s="23" t="s">
        <v>141</v>
      </c>
      <c r="E101" s="24">
        <v>263</v>
      </c>
      <c r="F101" s="24">
        <v>480000</v>
      </c>
      <c r="G101" s="25">
        <v>0.28000000000000003</v>
      </c>
      <c r="H101" s="26">
        <v>549336.363636364</v>
      </c>
      <c r="I101" s="27">
        <f t="shared" si="55"/>
        <v>614400</v>
      </c>
      <c r="J101" s="28">
        <f t="shared" si="56"/>
        <v>134400</v>
      </c>
      <c r="K101" s="29">
        <f t="shared" si="57"/>
        <v>0.28000000000000003</v>
      </c>
      <c r="L101" s="28">
        <f t="shared" si="58"/>
        <v>1825.0950570342206</v>
      </c>
      <c r="M101" s="28">
        <f t="shared" si="59"/>
        <v>2336.1216730038022</v>
      </c>
      <c r="N101" s="28">
        <f t="shared" si="60"/>
        <v>511.0266159695816</v>
      </c>
      <c r="O101" s="30">
        <f t="shared" si="61"/>
        <v>119.54545454545453</v>
      </c>
      <c r="P101" s="28">
        <f t="shared" si="62"/>
        <v>69336.363636363632</v>
      </c>
      <c r="Q101" s="31">
        <v>0.47589999999999999</v>
      </c>
      <c r="R101" s="32">
        <f t="shared" si="63"/>
        <v>550439.04</v>
      </c>
      <c r="S101" s="32">
        <f t="shared" si="64"/>
        <v>70439.040000000008</v>
      </c>
      <c r="T101" s="33">
        <f t="shared" si="65"/>
        <v>-63960.959999999963</v>
      </c>
      <c r="V101" s="40"/>
      <c r="W101" s="41"/>
      <c r="X101" s="40"/>
      <c r="Y101" s="42"/>
      <c r="Z101" s="42"/>
      <c r="AA101" s="24"/>
      <c r="AB101" s="23"/>
      <c r="AC101" s="32"/>
    </row>
    <row r="102" spans="1:29" ht="15.75" customHeight="1" x14ac:dyDescent="0.35">
      <c r="A102" s="34">
        <v>89</v>
      </c>
      <c r="B102" s="34" t="s">
        <v>125</v>
      </c>
      <c r="C102" s="35" t="s">
        <v>126</v>
      </c>
      <c r="D102" s="36" t="s">
        <v>142</v>
      </c>
      <c r="E102" s="24">
        <v>281</v>
      </c>
      <c r="F102" s="24">
        <v>480000</v>
      </c>
      <c r="G102" s="25">
        <v>0.28000000000000003</v>
      </c>
      <c r="H102" s="26">
        <v>554081.818181818</v>
      </c>
      <c r="I102" s="27">
        <f t="shared" si="55"/>
        <v>614400</v>
      </c>
      <c r="J102" s="28">
        <f t="shared" si="56"/>
        <v>134400</v>
      </c>
      <c r="K102" s="29">
        <f t="shared" si="57"/>
        <v>0.28000000000000003</v>
      </c>
      <c r="L102" s="28">
        <f t="shared" si="58"/>
        <v>1708.1850533807828</v>
      </c>
      <c r="M102" s="28">
        <f t="shared" si="59"/>
        <v>2186.4768683274019</v>
      </c>
      <c r="N102" s="28">
        <f t="shared" si="60"/>
        <v>478.29181494661907</v>
      </c>
      <c r="O102" s="30">
        <f t="shared" si="61"/>
        <v>127.72727272727272</v>
      </c>
      <c r="P102" s="28">
        <f t="shared" si="62"/>
        <v>74081.818181818177</v>
      </c>
      <c r="Q102" s="31">
        <v>0.47589999999999999</v>
      </c>
      <c r="R102" s="32">
        <f t="shared" si="63"/>
        <v>550439.04</v>
      </c>
      <c r="S102" s="32">
        <f t="shared" si="64"/>
        <v>70439.040000000008</v>
      </c>
      <c r="T102" s="33">
        <f t="shared" si="65"/>
        <v>-63960.959999999963</v>
      </c>
      <c r="V102" s="40"/>
      <c r="W102" s="41"/>
      <c r="X102" s="40"/>
      <c r="Y102" s="42"/>
      <c r="Z102" s="42"/>
      <c r="AA102" s="24"/>
      <c r="AB102" s="36"/>
      <c r="AC102" s="32"/>
    </row>
    <row r="103" spans="1:29" ht="15.75" customHeight="1" x14ac:dyDescent="0.35">
      <c r="A103" s="21">
        <v>90</v>
      </c>
      <c r="B103" s="21" t="s">
        <v>125</v>
      </c>
      <c r="C103" s="22" t="s">
        <v>126</v>
      </c>
      <c r="D103" s="23" t="s">
        <v>143</v>
      </c>
      <c r="E103" s="24">
        <v>342</v>
      </c>
      <c r="F103" s="24">
        <v>530000</v>
      </c>
      <c r="G103" s="25">
        <v>0.28000000000000003</v>
      </c>
      <c r="H103" s="26">
        <v>620163.636363636</v>
      </c>
      <c r="I103" s="27">
        <f t="shared" si="55"/>
        <v>678400</v>
      </c>
      <c r="J103" s="28">
        <f t="shared" si="56"/>
        <v>148400</v>
      </c>
      <c r="K103" s="29">
        <f t="shared" si="57"/>
        <v>0.28000000000000003</v>
      </c>
      <c r="L103" s="28">
        <f t="shared" si="58"/>
        <v>1549.7076023391812</v>
      </c>
      <c r="M103" s="28">
        <f t="shared" si="59"/>
        <v>1983.625730994152</v>
      </c>
      <c r="N103" s="28">
        <f t="shared" si="60"/>
        <v>433.91812865497081</v>
      </c>
      <c r="O103" s="30">
        <f t="shared" si="61"/>
        <v>155.45454545454544</v>
      </c>
      <c r="P103" s="28">
        <f t="shared" si="62"/>
        <v>90163.636363636353</v>
      </c>
      <c r="Q103" s="31">
        <v>0.47589999999999999</v>
      </c>
      <c r="R103" s="32">
        <f t="shared" si="63"/>
        <v>607776.43999999994</v>
      </c>
      <c r="S103" s="32">
        <f t="shared" si="64"/>
        <v>77776.44</v>
      </c>
      <c r="T103" s="33">
        <f t="shared" si="65"/>
        <v>-70623.560000000056</v>
      </c>
      <c r="V103" s="40"/>
      <c r="W103" s="41"/>
      <c r="X103" s="40"/>
      <c r="Y103" s="42"/>
      <c r="Z103" s="42"/>
      <c r="AA103" s="24"/>
      <c r="AB103" s="23"/>
      <c r="AC103" s="32"/>
    </row>
    <row r="104" spans="1:29" ht="15.75" customHeight="1" x14ac:dyDescent="0.35">
      <c r="A104" s="34">
        <v>91</v>
      </c>
      <c r="B104" s="34" t="s">
        <v>125</v>
      </c>
      <c r="C104" s="35" t="s">
        <v>126</v>
      </c>
      <c r="D104" s="36" t="s">
        <v>144</v>
      </c>
      <c r="E104" s="24">
        <v>305</v>
      </c>
      <c r="F104" s="24">
        <v>480000</v>
      </c>
      <c r="G104" s="25">
        <v>0.28000000000000003</v>
      </c>
      <c r="H104" s="26">
        <v>560409.09090909106</v>
      </c>
      <c r="I104" s="27">
        <f t="shared" si="55"/>
        <v>614400</v>
      </c>
      <c r="J104" s="28">
        <f t="shared" si="56"/>
        <v>134400</v>
      </c>
      <c r="K104" s="29">
        <f t="shared" si="57"/>
        <v>0.28000000000000003</v>
      </c>
      <c r="L104" s="28">
        <f t="shared" si="58"/>
        <v>1573.7704918032787</v>
      </c>
      <c r="M104" s="28">
        <f t="shared" si="59"/>
        <v>2014.4262295081967</v>
      </c>
      <c r="N104" s="28">
        <f t="shared" si="60"/>
        <v>440.65573770491801</v>
      </c>
      <c r="O104" s="30">
        <f t="shared" si="61"/>
        <v>138.63636363636363</v>
      </c>
      <c r="P104" s="28">
        <f t="shared" si="62"/>
        <v>80409.090909090897</v>
      </c>
      <c r="Q104" s="31">
        <v>0.47589999999999999</v>
      </c>
      <c r="R104" s="32">
        <f t="shared" si="63"/>
        <v>550439.04</v>
      </c>
      <c r="S104" s="32">
        <f t="shared" si="64"/>
        <v>70439.040000000008</v>
      </c>
      <c r="T104" s="33">
        <f t="shared" si="65"/>
        <v>-63960.959999999963</v>
      </c>
      <c r="V104" s="40"/>
      <c r="W104" s="41"/>
      <c r="X104" s="40"/>
      <c r="Y104" s="42"/>
      <c r="Z104" s="42"/>
      <c r="AA104" s="24"/>
      <c r="AB104" s="36"/>
      <c r="AC104" s="32"/>
    </row>
    <row r="105" spans="1:29" ht="15.75" customHeight="1" x14ac:dyDescent="0.35">
      <c r="A105" s="21">
        <v>92</v>
      </c>
      <c r="B105" s="21" t="s">
        <v>125</v>
      </c>
      <c r="C105" s="22" t="s">
        <v>126</v>
      </c>
      <c r="D105" s="23" t="s">
        <v>145</v>
      </c>
      <c r="E105" s="24">
        <v>324</v>
      </c>
      <c r="F105" s="24">
        <v>500000</v>
      </c>
      <c r="G105" s="25">
        <v>0.28000000000000003</v>
      </c>
      <c r="H105" s="26">
        <v>585418.181818182</v>
      </c>
      <c r="I105" s="27">
        <f t="shared" si="55"/>
        <v>640000</v>
      </c>
      <c r="J105" s="28">
        <f t="shared" si="56"/>
        <v>140000</v>
      </c>
      <c r="K105" s="29">
        <f t="shared" si="57"/>
        <v>0.28000000000000003</v>
      </c>
      <c r="L105" s="28">
        <f t="shared" si="58"/>
        <v>1543.2098765432099</v>
      </c>
      <c r="M105" s="28">
        <f t="shared" si="59"/>
        <v>1975.3086419753085</v>
      </c>
      <c r="N105" s="28">
        <f t="shared" si="60"/>
        <v>432.09876543209862</v>
      </c>
      <c r="O105" s="30">
        <f t="shared" si="61"/>
        <v>147.27272727272725</v>
      </c>
      <c r="P105" s="28">
        <f t="shared" si="62"/>
        <v>85418.181818181809</v>
      </c>
      <c r="Q105" s="31">
        <v>0.47589999999999999</v>
      </c>
      <c r="R105" s="32">
        <f t="shared" si="63"/>
        <v>573374</v>
      </c>
      <c r="S105" s="32">
        <f t="shared" si="64"/>
        <v>73374</v>
      </c>
      <c r="T105" s="33">
        <f t="shared" si="65"/>
        <v>-66626</v>
      </c>
      <c r="V105" s="40"/>
      <c r="W105" s="41"/>
      <c r="X105" s="40"/>
      <c r="Y105" s="42"/>
      <c r="Z105" s="42"/>
      <c r="AA105" s="24"/>
      <c r="AB105" s="23"/>
      <c r="AC105" s="32"/>
    </row>
    <row r="106" spans="1:29" ht="15.75" customHeight="1" x14ac:dyDescent="0.35">
      <c r="A106" s="34">
        <v>93</v>
      </c>
      <c r="B106" s="34" t="s">
        <v>125</v>
      </c>
      <c r="C106" s="35" t="s">
        <v>126</v>
      </c>
      <c r="D106" s="36" t="s">
        <v>146</v>
      </c>
      <c r="E106" s="24">
        <v>248</v>
      </c>
      <c r="F106" s="24">
        <v>480000</v>
      </c>
      <c r="G106" s="25">
        <v>0.28000000000000003</v>
      </c>
      <c r="H106" s="26">
        <v>545381.818181818</v>
      </c>
      <c r="I106" s="27">
        <f t="shared" si="55"/>
        <v>614400</v>
      </c>
      <c r="J106" s="28">
        <f t="shared" si="56"/>
        <v>134400</v>
      </c>
      <c r="K106" s="29">
        <f t="shared" si="57"/>
        <v>0.28000000000000003</v>
      </c>
      <c r="L106" s="28">
        <f t="shared" si="58"/>
        <v>1935.483870967742</v>
      </c>
      <c r="M106" s="28">
        <f t="shared" si="59"/>
        <v>2477.4193548387098</v>
      </c>
      <c r="N106" s="28">
        <f t="shared" si="60"/>
        <v>541.9354838709678</v>
      </c>
      <c r="O106" s="30">
        <f t="shared" si="61"/>
        <v>112.72727272727272</v>
      </c>
      <c r="P106" s="28">
        <f t="shared" si="62"/>
        <v>65381.818181818177</v>
      </c>
      <c r="Q106" s="31">
        <v>0.47589999999999999</v>
      </c>
      <c r="R106" s="32">
        <f t="shared" si="63"/>
        <v>550439.04</v>
      </c>
      <c r="S106" s="32">
        <f t="shared" si="64"/>
        <v>70439.040000000008</v>
      </c>
      <c r="T106" s="33">
        <f t="shared" si="65"/>
        <v>-63960.959999999963</v>
      </c>
      <c r="V106" s="40"/>
      <c r="W106" s="41"/>
      <c r="X106" s="40"/>
      <c r="Y106" s="42"/>
      <c r="Z106" s="42"/>
      <c r="AA106" s="24"/>
      <c r="AB106" s="36"/>
      <c r="AC106" s="32"/>
    </row>
    <row r="107" spans="1:29" ht="15.75" customHeight="1" x14ac:dyDescent="0.35">
      <c r="A107" s="21">
        <v>94</v>
      </c>
      <c r="B107" s="21" t="s">
        <v>125</v>
      </c>
      <c r="C107" s="22" t="s">
        <v>126</v>
      </c>
      <c r="D107" s="23" t="s">
        <v>147</v>
      </c>
      <c r="E107" s="24">
        <v>357</v>
      </c>
      <c r="F107" s="24">
        <v>530000</v>
      </c>
      <c r="G107" s="25">
        <v>0.28000000000000003</v>
      </c>
      <c r="H107" s="26">
        <v>624118.181818182</v>
      </c>
      <c r="I107" s="27">
        <f t="shared" si="55"/>
        <v>678400</v>
      </c>
      <c r="J107" s="28">
        <f t="shared" si="56"/>
        <v>148400</v>
      </c>
      <c r="K107" s="29">
        <f t="shared" si="57"/>
        <v>0.28000000000000003</v>
      </c>
      <c r="L107" s="28">
        <f t="shared" si="58"/>
        <v>1484.593837535014</v>
      </c>
      <c r="M107" s="28">
        <f t="shared" si="59"/>
        <v>1900.280112044818</v>
      </c>
      <c r="N107" s="28">
        <f t="shared" si="60"/>
        <v>415.68627450980398</v>
      </c>
      <c r="O107" s="30">
        <f t="shared" si="61"/>
        <v>162.27272727272725</v>
      </c>
      <c r="P107" s="28">
        <f t="shared" si="62"/>
        <v>94118.181818181809</v>
      </c>
      <c r="Q107" s="31">
        <v>0.47589999999999999</v>
      </c>
      <c r="R107" s="32">
        <f t="shared" si="63"/>
        <v>607776.43999999994</v>
      </c>
      <c r="S107" s="32">
        <f t="shared" si="64"/>
        <v>77776.44</v>
      </c>
      <c r="T107" s="33">
        <f t="shared" si="65"/>
        <v>-70623.560000000056</v>
      </c>
      <c r="V107" s="40"/>
      <c r="W107" s="41"/>
      <c r="X107" s="40"/>
      <c r="Y107" s="42"/>
      <c r="Z107" s="42"/>
      <c r="AA107" s="24"/>
      <c r="AB107" s="23"/>
      <c r="AC107" s="32"/>
    </row>
    <row r="108" spans="1:29" ht="15.75" customHeight="1" x14ac:dyDescent="0.35">
      <c r="A108" s="34">
        <v>95</v>
      </c>
      <c r="B108" s="34" t="s">
        <v>125</v>
      </c>
      <c r="C108" s="35" t="s">
        <v>126</v>
      </c>
      <c r="D108" s="36" t="s">
        <v>148</v>
      </c>
      <c r="E108" s="24">
        <v>371</v>
      </c>
      <c r="F108" s="24">
        <v>530000</v>
      </c>
      <c r="G108" s="25">
        <v>0.28000000000000003</v>
      </c>
      <c r="H108" s="26">
        <v>627809.09090909106</v>
      </c>
      <c r="I108" s="27">
        <f t="shared" si="55"/>
        <v>678400</v>
      </c>
      <c r="J108" s="28">
        <f t="shared" si="56"/>
        <v>148400</v>
      </c>
      <c r="K108" s="29">
        <f t="shared" si="57"/>
        <v>0.28000000000000003</v>
      </c>
      <c r="L108" s="28">
        <f t="shared" si="58"/>
        <v>1428.5714285714287</v>
      </c>
      <c r="M108" s="28">
        <f t="shared" si="59"/>
        <v>1828.5714285714287</v>
      </c>
      <c r="N108" s="28">
        <f t="shared" si="60"/>
        <v>400</v>
      </c>
      <c r="O108" s="30">
        <f t="shared" si="61"/>
        <v>168.63636363636363</v>
      </c>
      <c r="P108" s="28">
        <f t="shared" si="62"/>
        <v>97809.090909090897</v>
      </c>
      <c r="Q108" s="31">
        <v>0.47589999999999999</v>
      </c>
      <c r="R108" s="32">
        <f t="shared" si="63"/>
        <v>607776.43999999994</v>
      </c>
      <c r="S108" s="32">
        <f t="shared" si="64"/>
        <v>77776.44</v>
      </c>
      <c r="T108" s="33">
        <f t="shared" si="65"/>
        <v>-70623.560000000056</v>
      </c>
      <c r="V108" s="40"/>
      <c r="W108" s="41"/>
      <c r="X108" s="40"/>
      <c r="Y108" s="42"/>
      <c r="Z108" s="42"/>
      <c r="AA108" s="24"/>
      <c r="AB108" s="36"/>
      <c r="AC108" s="32"/>
    </row>
    <row r="109" spans="1:29" ht="18" customHeight="1" x14ac:dyDescent="0.35">
      <c r="A109" s="20" t="s">
        <v>149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Z109" s="42"/>
    </row>
    <row r="110" spans="1:29" ht="14.25" customHeight="1" x14ac:dyDescent="0.35"/>
    <row r="111" spans="1:29" ht="14.25" customHeight="1" x14ac:dyDescent="0.35"/>
    <row r="112" spans="1:29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15">
    <mergeCell ref="A86:R86"/>
    <mergeCell ref="A109:R109"/>
    <mergeCell ref="Q4:R4"/>
    <mergeCell ref="A8:R8"/>
    <mergeCell ref="A11:R11"/>
    <mergeCell ref="A21:R21"/>
    <mergeCell ref="A41:R41"/>
    <mergeCell ref="A60:R60"/>
    <mergeCell ref="A1:P2"/>
    <mergeCell ref="A3:P3"/>
    <mergeCell ref="A4:D4"/>
    <mergeCell ref="E4:G4"/>
    <mergeCell ref="I4:K4"/>
    <mergeCell ref="L4:N4"/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Carlos Torres</cp:lastModifiedBy>
  <dcterms:created xsi:type="dcterms:W3CDTF">2026-08-09T21:07:12Z</dcterms:created>
  <dcterms:modified xsi:type="dcterms:W3CDTF">2026-08-09T21:08:31Z</dcterms:modified>
</cp:coreProperties>
</file>