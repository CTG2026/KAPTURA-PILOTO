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esktop\NEGOCIO TRANSPORTE SANTIAGO\GLOBAL SOLUTIONS SpA\1 COMERCIAL\TRAST\"/>
    </mc:Choice>
  </mc:AlternateContent>
  <xr:revisionPtr revIDLastSave="0" documentId="13_ncr:1_{E69929CB-0BFD-41D5-8553-26157657CD3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upuestos" sheetId="1" r:id="rId1"/>
    <sheet name="T1_Locales" sheetId="2" r:id="rId2"/>
    <sheet name="Simulador" sheetId="3" r:id="rId3"/>
    <sheet name="Simulador HORIZONTAL" sheetId="4" r:id="rId4"/>
    <sheet name="T2_Reposicionamiento" sheetId="5" r:id="rId5"/>
    <sheet name="T3_DestinosSur" sheetId="6" r:id="rId6"/>
    <sheet name="T4_Retornos" sheetId="7" r:id="rId7"/>
    <sheet name="T5_Solle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7" i="6" l="1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2" i="6"/>
  <c r="E2" i="6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Q4" i="4"/>
  <c r="P4" i="4"/>
  <c r="R4" i="4" s="1"/>
  <c r="N4" i="4"/>
  <c r="O4" i="4" s="1"/>
  <c r="M4" i="4"/>
  <c r="T4" i="4" s="1"/>
  <c r="X4" i="4" s="1"/>
  <c r="L4" i="4"/>
  <c r="K4" i="4"/>
  <c r="J4" i="4"/>
  <c r="I4" i="4"/>
  <c r="H4" i="4"/>
  <c r="S4" i="4" s="1"/>
  <c r="G4" i="4"/>
  <c r="U4" i="4" s="1"/>
  <c r="B20" i="3"/>
  <c r="B19" i="3"/>
  <c r="B21" i="3" s="1"/>
  <c r="B17" i="3"/>
  <c r="B18" i="3" s="1"/>
  <c r="B16" i="3"/>
  <c r="B25" i="3" s="1"/>
  <c r="B29" i="3" s="1"/>
  <c r="B15" i="3"/>
  <c r="B14" i="3"/>
  <c r="B13" i="3"/>
  <c r="B12" i="3"/>
  <c r="B11" i="3"/>
  <c r="B24" i="3" s="1"/>
  <c r="B10" i="3"/>
  <c r="B26" i="3" s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Z4" i="4" l="1"/>
  <c r="B31" i="3"/>
  <c r="V4" i="4"/>
  <c r="W4" i="4" s="1"/>
  <c r="Y4" i="4" s="1"/>
  <c r="B27" i="3"/>
  <c r="B28" i="3" s="1"/>
  <c r="B30" i="3" s="1"/>
  <c r="B32" i="3" s="1"/>
  <c r="B33" i="3" s="1"/>
  <c r="AA4" i="4" l="1"/>
  <c r="AB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0" authorId="0" shapeId="0" xr:uid="{00000000-0006-0000-0200-000001000000}">
      <text>
        <r>
          <rPr>
            <sz val="10"/>
            <rFont val="Arial"/>
            <family val="2"/>
          </rPr>
          <t>TARIFA LOCAL
Tarifa fija del tarifario Cristalerías, para el tramo Origen → Servicio Local. No incluye ajustes de costos, es directo del tarifario.</t>
        </r>
      </text>
    </comment>
    <comment ref="A11" authorId="0" shapeId="0" xr:uid="{00000000-0006-0000-0200-000002000000}">
      <text>
        <r>
          <rPr>
            <sz val="10"/>
            <rFont val="Arial"/>
            <family val="2"/>
          </rPr>
          <t>KM LOCAL
Distancia del tramo Origen → Servicio Local.</t>
        </r>
      </text>
    </comment>
    <comment ref="A12" authorId="0" shapeId="0" xr:uid="{00000000-0006-0000-0200-000003000000}">
      <text>
        <r>
          <rPr>
            <sz val="10"/>
            <rFont val="Arial"/>
            <family val="2"/>
          </rPr>
          <t>PEAJE LOCAL
Peaje específico de ese tramo (Origen → Servicio Local).</t>
        </r>
      </text>
    </comment>
    <comment ref="A13" authorId="0" shapeId="0" xr:uid="{00000000-0006-0000-0200-000004000000}">
      <text>
        <r>
          <rPr>
            <sz val="10"/>
            <rFont val="Arial"/>
            <family val="2"/>
          </rPr>
          <t>KM REPOSICIONAMIENTO
Distancia desde el Servicio Local hasta la Bodega donde se carga para el sur.</t>
        </r>
      </text>
    </comment>
    <comment ref="A14" authorId="0" shapeId="0" xr:uid="{00000000-0006-0000-0200-000005000000}">
      <text>
        <r>
          <rPr>
            <sz val="10"/>
            <rFont val="Arial"/>
            <family val="2"/>
          </rPr>
          <t>PEAJE REPOSICIONAMIENTO
Peaje del tramo Servicio Local → Bodega.</t>
        </r>
      </text>
    </comment>
    <comment ref="A15" authorId="0" shapeId="0" xr:uid="{00000000-0006-0000-0200-000006000000}">
      <text>
        <r>
          <rPr>
            <sz val="10"/>
            <rFont val="Arial"/>
            <family val="2"/>
          </rPr>
          <t>TARIFA SUR
Tarifa del tarifario Cristalerías para el tramo Bodega → Destino Sur (6ta/7ma región).</t>
        </r>
      </text>
    </comment>
    <comment ref="A16" authorId="0" shapeId="0" xr:uid="{00000000-0006-0000-0200-000007000000}">
      <text>
        <r>
          <rPr>
            <sz val="10"/>
            <rFont val="Arial"/>
            <family val="2"/>
          </rPr>
          <t>KM SUR (IDA)
Distancia del tramo Bodega → Destino Sur, solo ida.</t>
        </r>
      </text>
    </comment>
    <comment ref="A18" authorId="0" shapeId="0" xr:uid="{00000000-0006-0000-0200-000008000000}">
      <text>
        <r>
          <rPr>
            <sz val="10"/>
            <rFont val="Arial"/>
            <family val="2"/>
          </rPr>
          <t>PEAJE SUR
Según categoría de distancia: Corta si son menos de 162km desde Padre Hurtado (plaza Quinta), Larga si son más.</t>
        </r>
      </text>
    </comment>
    <comment ref="A19" authorId="0" shapeId="0" xr:uid="{00000000-0006-0000-0200-000009000000}">
      <text>
        <r>
          <rPr>
            <sz val="10"/>
            <rFont val="Arial"/>
            <family val="2"/>
          </rPr>
          <t>KM RETORNO
Distancia del punto de retorno elegido hasta Padre Hurtado.</t>
        </r>
      </text>
    </comment>
    <comment ref="A20" authorId="0" shapeId="0" xr:uid="{00000000-0006-0000-0200-00000A000000}">
      <text>
        <r>
          <rPr>
            <sz val="10"/>
            <rFont val="Arial"/>
            <family val="2"/>
          </rPr>
          <t>TARIFA RETORNO BASE
Tarifa completa (100%) del punto de retorno, tomada del tarifario Padre Hurtado→destino. Se le aplica el 60% confirmado por Cristalerías para obtener el ingreso real de ese tramo.</t>
        </r>
      </text>
    </comment>
    <comment ref="A21" authorId="0" shapeId="0" xr:uid="{00000000-0006-0000-0200-00000B000000}">
      <text>
        <r>
          <rPr>
            <sz val="10"/>
            <rFont val="Arial"/>
            <family val="2"/>
          </rPr>
          <t>PEAJE RETORNO
Según categoría de distancia del punto de retorno elegido.</t>
        </r>
      </text>
    </comment>
    <comment ref="A24" authorId="0" shapeId="0" xr:uid="{00000000-0006-0000-0200-00000C000000}">
      <text>
        <r>
          <rPr>
            <sz val="10"/>
            <rFont val="Arial"/>
            <family val="2"/>
          </rPr>
          <t>KM TOTAL
CONSIDERA LA SUMA DE:
- Km Local
- Km Reposicionamiento
- Km Sur (ida)
- Km Retorno</t>
        </r>
      </text>
    </comment>
    <comment ref="A25" authorId="0" shapeId="0" xr:uid="{00000000-0006-0000-0200-00000D000000}">
      <text>
        <r>
          <rPr>
            <sz val="10"/>
            <rFont val="Arial"/>
            <family val="2"/>
          </rPr>
          <t>DÍAS
Estimado según:
- Código del Trabajo Art. 25 bis (8h pernocta obligatoria, máx. 5h de manejo continuo)
- Ventana operativa de 11h/día
- 4h ya consumidas el día 1 por el servicio local</t>
        </r>
      </text>
    </comment>
    <comment ref="A26" authorId="0" shapeId="0" xr:uid="{00000000-0006-0000-0200-00000E000000}">
      <text>
        <r>
          <rPr>
            <sz val="10"/>
            <rFont val="Arial"/>
            <family val="2"/>
          </rPr>
          <t>INGRESO TOTAL
CONSIDERA LA SUMA DE:
- Tarifa Local
- Tarifa Sur
- Tarifa Retorno (60% de la base)
Todas ajustadas por el % Ajuste Tarifas de Supuestos, si está activo.</t>
        </r>
      </text>
    </comment>
    <comment ref="A27" authorId="0" shapeId="0" xr:uid="{00000000-0006-0000-0200-00000F000000}">
      <text>
        <r>
          <rPr>
            <sz val="10"/>
            <rFont val="Arial"/>
            <family val="2"/>
          </rPr>
          <t>COSTOS VARIABLES
CONSIDERA:
- Combustible ($/km)
- Mantención programada ($/km)
- Provisión reparaciones ($/día de uso)
- Peajes (Local + Reposicionamiento + Sur + Retorno)
- Comisión chofer (10% del Ingreso Total)</t>
        </r>
      </text>
    </comment>
    <comment ref="A28" authorId="0" shapeId="0" xr:uid="{00000000-0006-0000-0200-000010000000}">
      <text>
        <r>
          <rPr>
            <sz val="10"/>
            <rFont val="Arial"/>
            <family val="2"/>
          </rPr>
          <t>MARGEN BRUTO
Ingreso Total menos Costos Variables. Es el margen antes de descontar los costos fijos de la empresa.</t>
        </r>
      </text>
    </comment>
    <comment ref="A29" authorId="0" shapeId="0" xr:uid="{00000000-0006-0000-0200-000011000000}">
      <text>
        <r>
          <rPr>
            <sz val="10"/>
            <rFont val="Arial"/>
            <family val="2"/>
          </rPr>
          <t>COSTOS FIJOS
CONSIDERA:
- Sueldo chofer ($/día)
- Viático ($/día)
- Costo fijo equipo ($/día) — incluye coordinador, mantenedor, controller, arriendo de instalaciones, gastos comunes y contabilidad, prorrateados entre los 5 equipos de la flota</t>
        </r>
      </text>
    </comment>
    <comment ref="A30" authorId="0" shapeId="0" xr:uid="{00000000-0006-0000-0200-000012000000}">
      <text>
        <r>
          <rPr>
            <sz val="10"/>
            <rFont val="Arial"/>
            <family val="2"/>
          </rPr>
          <t>MARGEN OPERATIVO (EBIT)
Margen Bruto menos Costos Fijos. Es la utilidad de operar el combo, antes de gastos financieros.</t>
        </r>
      </text>
    </comment>
    <comment ref="A31" authorId="0" shapeId="0" xr:uid="{00000000-0006-0000-0200-000013000000}">
      <text>
        <r>
          <rPr>
            <sz val="10"/>
            <rFont val="Arial"/>
            <family val="2"/>
          </rPr>
          <t>FACTORING
1,5% del Ingreso Total bruto (facturado). Es el único costo financiero — no hay créditos ni intereses que pagar, según lo confirmado.</t>
        </r>
      </text>
    </comment>
    <comment ref="A32" authorId="0" shapeId="0" xr:uid="{00000000-0006-0000-0200-000014000000}">
      <text>
        <r>
          <rPr>
            <sz val="10"/>
            <rFont val="Arial"/>
            <family val="2"/>
          </rPr>
          <t>MARGEN ANTES DE IMPUESTOS
Margen Operativo menos Factoring. Es el resultado final del combo, antes de impuestos corporativos.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300-000001000000}">
      <text>
        <r>
          <rPr>
            <sz val="10"/>
            <rFont val="Arial"/>
            <family val="2"/>
          </rPr>
          <t>TARIFA LOCAL
Tarifa fija del tarifario Cristalerías, para el tramo Origen → Servicio Local.</t>
        </r>
      </text>
    </comment>
    <comment ref="H3" authorId="0" shapeId="0" xr:uid="{00000000-0006-0000-0300-000002000000}">
      <text>
        <r>
          <rPr>
            <sz val="10"/>
            <rFont val="Arial"/>
            <family val="2"/>
          </rPr>
          <t>KM LOCAL
Distancia del tramo Origen → Servicio Local.</t>
        </r>
      </text>
    </comment>
    <comment ref="I3" authorId="0" shapeId="0" xr:uid="{00000000-0006-0000-0300-000003000000}">
      <text>
        <r>
          <rPr>
            <sz val="10"/>
            <rFont val="Arial"/>
            <family val="2"/>
          </rPr>
          <t>PEAJE LOCAL
Peaje específico de ese tramo.</t>
        </r>
      </text>
    </comment>
    <comment ref="J3" authorId="0" shapeId="0" xr:uid="{00000000-0006-0000-0300-000004000000}">
      <text>
        <r>
          <rPr>
            <sz val="10"/>
            <rFont val="Arial"/>
            <family val="2"/>
          </rPr>
          <t>KM REPOSICIONAMIENTO
Distancia desde el Servicio Local hasta la Bodega.</t>
        </r>
      </text>
    </comment>
    <comment ref="K3" authorId="0" shapeId="0" xr:uid="{00000000-0006-0000-0300-000005000000}">
      <text>
        <r>
          <rPr>
            <sz val="10"/>
            <rFont val="Arial"/>
            <family val="2"/>
          </rPr>
          <t>PEAJE REPOSICIONAMIENTO
Peaje del tramo Servicio Local → Bodega.</t>
        </r>
      </text>
    </comment>
    <comment ref="L3" authorId="0" shapeId="0" xr:uid="{00000000-0006-0000-0300-000006000000}">
      <text>
        <r>
          <rPr>
            <sz val="10"/>
            <rFont val="Arial"/>
            <family val="2"/>
          </rPr>
          <t>TARIFA SUR
Tarifa del tarifario para Bodega → Destino Sur.</t>
        </r>
      </text>
    </comment>
    <comment ref="M3" authorId="0" shapeId="0" xr:uid="{00000000-0006-0000-0300-000007000000}">
      <text>
        <r>
          <rPr>
            <sz val="10"/>
            <rFont val="Arial"/>
            <family val="2"/>
          </rPr>
          <t>KM SUR (IDA)
Distancia Bodega → Destino Sur, solo ida.</t>
        </r>
      </text>
    </comment>
    <comment ref="N3" authorId="0" shapeId="0" xr:uid="{00000000-0006-0000-0300-000008000000}">
      <text>
        <r>
          <rPr>
            <sz val="10"/>
            <rFont val="Arial"/>
            <family val="2"/>
          </rPr>
          <t>CATEGORIA PEAJE SUR
Corta si &lt;162km desde PH (plaza Quinta), Larga si es mayor.</t>
        </r>
      </text>
    </comment>
    <comment ref="O3" authorId="0" shapeId="0" xr:uid="{00000000-0006-0000-0300-000009000000}">
      <text>
        <r>
          <rPr>
            <sz val="10"/>
            <rFont val="Arial"/>
            <family val="2"/>
          </rPr>
          <t>PEAJE SUR
Según categoría de distancia.</t>
        </r>
      </text>
    </comment>
    <comment ref="P3" authorId="0" shapeId="0" xr:uid="{00000000-0006-0000-0300-00000A000000}">
      <text>
        <r>
          <rPr>
            <sz val="10"/>
            <rFont val="Arial"/>
            <family val="2"/>
          </rPr>
          <t>KM RETORNO
Distancia del punto de retorno hasta Padre Hurtado.</t>
        </r>
      </text>
    </comment>
    <comment ref="Q3" authorId="0" shapeId="0" xr:uid="{00000000-0006-0000-0300-00000B000000}">
      <text>
        <r>
          <rPr>
            <sz val="10"/>
            <rFont val="Arial"/>
            <family val="2"/>
          </rPr>
          <t>TARIFA RETORNO BASE
Tarifa completa (100%). Se le aplica el 60% confirmado por Cristalerías.</t>
        </r>
      </text>
    </comment>
    <comment ref="R3" authorId="0" shapeId="0" xr:uid="{00000000-0006-0000-0300-00000C000000}">
      <text>
        <r>
          <rPr>
            <sz val="10"/>
            <rFont val="Arial"/>
            <family val="2"/>
          </rPr>
          <t>PEAJE RETORNO
Según categoría de distancia del retorno.</t>
        </r>
      </text>
    </comment>
    <comment ref="S3" authorId="0" shapeId="0" xr:uid="{00000000-0006-0000-0300-00000D000000}">
      <text>
        <r>
          <rPr>
            <sz val="10"/>
            <rFont val="Arial"/>
            <family val="2"/>
          </rPr>
          <t>KM TOTAL
CONSIDERA:
- Km Local
- Km Reposicionamiento
- Km Sur (ida)
- Km Retorno</t>
        </r>
      </text>
    </comment>
    <comment ref="T3" authorId="0" shapeId="0" xr:uid="{00000000-0006-0000-0300-00000E000000}">
      <text>
        <r>
          <rPr>
            <sz val="10"/>
            <rFont val="Arial"/>
            <family val="2"/>
          </rPr>
          <t>DÍAS
Según Código del Trabajo Art. 25 bis + ventana operativa 11h/día.</t>
        </r>
      </text>
    </comment>
    <comment ref="U3" authorId="0" shapeId="0" xr:uid="{00000000-0006-0000-0300-00000F000000}">
      <text>
        <r>
          <rPr>
            <sz val="10"/>
            <rFont val="Arial"/>
            <family val="2"/>
          </rPr>
          <t>INGRESO TOTAL
CONSIDERA:
- Tarifa Local
- Tarifa Sur
- Tarifa Retorno (60% de la base)</t>
        </r>
      </text>
    </comment>
    <comment ref="V3" authorId="0" shapeId="0" xr:uid="{00000000-0006-0000-0300-000010000000}">
      <text>
        <r>
          <rPr>
            <sz val="10"/>
            <rFont val="Arial"/>
            <family val="2"/>
          </rPr>
          <t>COSTOS VARIABLES
CONSIDERA:
- Combustible
- Mantención programada
- Provisión reparaciones
- Peajes (los 4 tramos)
- Comisión chofer (10%)</t>
        </r>
      </text>
    </comment>
    <comment ref="W3" authorId="0" shapeId="0" xr:uid="{00000000-0006-0000-0300-000011000000}">
      <text>
        <r>
          <rPr>
            <sz val="10"/>
            <rFont val="Arial"/>
            <family val="2"/>
          </rPr>
          <t>MARGEN BRUTO
Ingreso Total menos Costos Variables.</t>
        </r>
      </text>
    </comment>
    <comment ref="X3" authorId="0" shapeId="0" xr:uid="{00000000-0006-0000-0300-000012000000}">
      <text>
        <r>
          <rPr>
            <sz val="10"/>
            <rFont val="Arial"/>
            <family val="2"/>
          </rPr>
          <t>COSTOS FIJOS
CONSIDERA:
- Sueldo chofer
- Viático
- Costo fijo equipo (coordinador, mantenedor, controller, arriendo, gastos comunes, contabilidad)</t>
        </r>
      </text>
    </comment>
    <comment ref="Y3" authorId="0" shapeId="0" xr:uid="{00000000-0006-0000-0300-000013000000}">
      <text>
        <r>
          <rPr>
            <sz val="10"/>
            <rFont val="Arial"/>
            <family val="2"/>
          </rPr>
          <t>MARGEN OPERATIVO (EBIT)
Margen Bruto menos Costos Fijos.</t>
        </r>
      </text>
    </comment>
    <comment ref="Z3" authorId="0" shapeId="0" xr:uid="{00000000-0006-0000-0300-000014000000}">
      <text>
        <r>
          <rPr>
            <sz val="10"/>
            <rFont val="Arial"/>
            <family val="2"/>
          </rPr>
          <t>FACTORING
1,5% del Ingreso Total bruto. Único costo financiero.</t>
        </r>
      </text>
    </comment>
    <comment ref="AA3" authorId="0" shapeId="0" xr:uid="{00000000-0006-0000-0300-000015000000}">
      <text>
        <r>
          <rPr>
            <sz val="10"/>
            <rFont val="Arial"/>
            <family val="2"/>
          </rPr>
          <t>MARGEN ANTES DE IMPUESTOS
Margen Operativo menos Factoring. Resultado final del combo.</t>
        </r>
      </text>
    </comment>
  </commentList>
</comments>
</file>

<file path=xl/sharedStrings.xml><?xml version="1.0" encoding="utf-8"?>
<sst xmlns="http://schemas.openxmlformats.org/spreadsheetml/2006/main" count="795" uniqueCount="156">
  <si>
    <t>SUPUESTOS</t>
  </si>
  <si>
    <t>Supuesto</t>
  </si>
  <si>
    <t>Valor</t>
  </si>
  <si>
    <t>Rendimiento (km/L)</t>
  </si>
  <si>
    <t>Precio litro ($)</t>
  </si>
  <si>
    <t>Mantención programada ($/km)</t>
  </si>
  <si>
    <t>Provisión reparaciones ($/día de uso)</t>
  </si>
  <si>
    <t>Sueldo chofer ($/día)</t>
  </si>
  <si>
    <t>Viático ($/día)</t>
  </si>
  <si>
    <t>Costo fijo equipo ($/día)</t>
  </si>
  <si>
    <t>Comisión chofer (% tarifa neta)</t>
  </si>
  <si>
    <t>Factoring (% facturado bruto)</t>
  </si>
  <si>
    <t>% Retorno sobre tarifa base</t>
  </si>
  <si>
    <t>Peaje sur corto (&lt;162km desde PH)</t>
  </si>
  <si>
    <t>Peaje sur largo (&gt;162km desde PH)</t>
  </si>
  <si>
    <t>Km límite categoría peaje</t>
  </si>
  <si>
    <t>% Ajuste Tarifas (+sube / -baja todas las tarifas)</t>
  </si>
  <si>
    <t>Origen</t>
  </si>
  <si>
    <t>Local</t>
  </si>
  <si>
    <t>Tarifa</t>
  </si>
  <si>
    <t>Km</t>
  </si>
  <si>
    <t>Peaje</t>
  </si>
  <si>
    <t>Clave</t>
  </si>
  <si>
    <t>Padre Hurtado</t>
  </si>
  <si>
    <t>Quilicura</t>
  </si>
  <si>
    <t>Melipilla</t>
  </si>
  <si>
    <t>Lampa</t>
  </si>
  <si>
    <t>San Felipe</t>
  </si>
  <si>
    <t>San Bernardo</t>
  </si>
  <si>
    <t>Loginsa</t>
  </si>
  <si>
    <t>Ninguno</t>
  </si>
  <si>
    <t>Llay Llay</t>
  </si>
  <si>
    <t>Alto Jahuel</t>
  </si>
  <si>
    <t>Buin</t>
  </si>
  <si>
    <t>Casablanca</t>
  </si>
  <si>
    <t>Cerrillos</t>
  </si>
  <si>
    <t>Colina</t>
  </si>
  <si>
    <t>Curacaví</t>
  </si>
  <si>
    <t>Independencia</t>
  </si>
  <si>
    <t>Isla de Maipo</t>
  </si>
  <si>
    <t>La Pintana</t>
  </si>
  <si>
    <t>Macul</t>
  </si>
  <si>
    <t>Maipú 1°</t>
  </si>
  <si>
    <t>Maipú 2°</t>
  </si>
  <si>
    <t>Paine</t>
  </si>
  <si>
    <t>Peñaflor</t>
  </si>
  <si>
    <t>Peñalolén</t>
  </si>
  <si>
    <t>Pirque</t>
  </si>
  <si>
    <t>Providencia</t>
  </si>
  <si>
    <t>Pudahuel</t>
  </si>
  <si>
    <t>Quinta Normal</t>
  </si>
  <si>
    <t>Renca</t>
  </si>
  <si>
    <t>San Antonio</t>
  </si>
  <si>
    <t>San Miguel</t>
  </si>
  <si>
    <t>San Pedro</t>
  </si>
  <si>
    <t>Santiago</t>
  </si>
  <si>
    <t>Talagante</t>
  </si>
  <si>
    <t>Tiltil</t>
  </si>
  <si>
    <t>Viña del Mar</t>
  </si>
  <si>
    <t>Vitacura</t>
  </si>
  <si>
    <t>SIMULADOR DE COMBO DIARIO</t>
  </si>
  <si>
    <t>ID Combo:</t>
  </si>
  <si>
    <t>001</t>
  </si>
  <si>
    <t>Origen:</t>
  </si>
  <si>
    <t>Servicio Local:</t>
  </si>
  <si>
    <t>Bodega (reposicionamiento):</t>
  </si>
  <si>
    <t>Destino Sur:</t>
  </si>
  <si>
    <t>Talca</t>
  </si>
  <si>
    <t>Punto de Retorno:</t>
  </si>
  <si>
    <t>--- DATOS BUSCADOS AUTOMATICAMENTE ---</t>
  </si>
  <si>
    <t>Tarifa Local:</t>
  </si>
  <si>
    <t>Km Local:</t>
  </si>
  <si>
    <t>Peaje Local:</t>
  </si>
  <si>
    <t>Km Reposicionamiento:</t>
  </si>
  <si>
    <t>Peaje Reposicionamiento:</t>
  </si>
  <si>
    <t>Tarifa Sur:</t>
  </si>
  <si>
    <t>Km Sur (ida):</t>
  </si>
  <si>
    <t>Categoria Peaje Sur:</t>
  </si>
  <si>
    <t>Peaje Sur:</t>
  </si>
  <si>
    <t>Km Retorno (desde PH):</t>
  </si>
  <si>
    <t>Tarifa Retorno Base:</t>
  </si>
  <si>
    <t>Peaje Retorno:</t>
  </si>
  <si>
    <t>RESULTADO</t>
  </si>
  <si>
    <t>Km Total:</t>
  </si>
  <si>
    <t>Días:</t>
  </si>
  <si>
    <t>Ingreso Total:</t>
  </si>
  <si>
    <t>Costos Variables:</t>
  </si>
  <si>
    <t>Margen Bruto:</t>
  </si>
  <si>
    <t>Costos Fijos:</t>
  </si>
  <si>
    <t>Margen Operativo:</t>
  </si>
  <si>
    <t>Factoring:</t>
  </si>
  <si>
    <t>Margen antes de Impuestos:</t>
  </si>
  <si>
    <t>% Margen antes de Impuestos:</t>
  </si>
  <si>
    <t>SIMULADOR DE COMBO DIARIO — HORIZONTAL</t>
  </si>
  <si>
    <t>ID Combo</t>
  </si>
  <si>
    <t>Servicio Local</t>
  </si>
  <si>
    <t>Bodega</t>
  </si>
  <si>
    <t>Destino Sur</t>
  </si>
  <si>
    <t>Punto Retorno</t>
  </si>
  <si>
    <t>Tarifa Local</t>
  </si>
  <si>
    <t>Km Local</t>
  </si>
  <si>
    <t>Peaje Local</t>
  </si>
  <si>
    <t>Km Reposicionamiento</t>
  </si>
  <si>
    <t>Peaje Reposicionamiento</t>
  </si>
  <si>
    <t>Tarifa Sur</t>
  </si>
  <si>
    <t>Km Sur (ida)</t>
  </si>
  <si>
    <t>Categoria Peaje Sur</t>
  </si>
  <si>
    <t>Peaje Sur</t>
  </si>
  <si>
    <t>Km Retorno</t>
  </si>
  <si>
    <t>Tarifa Retorno Base</t>
  </si>
  <si>
    <t>Peaje Retorno</t>
  </si>
  <si>
    <t>Km Total</t>
  </si>
  <si>
    <t>Días</t>
  </si>
  <si>
    <t>Ingreso Total</t>
  </si>
  <si>
    <t>Costos Variables</t>
  </si>
  <si>
    <t>Margen Bruto</t>
  </si>
  <si>
    <t>Costos Fijos</t>
  </si>
  <si>
    <t>Margen Operativo</t>
  </si>
  <si>
    <t>Factoring</t>
  </si>
  <si>
    <t>Margen antes de Impuestos</t>
  </si>
  <si>
    <t>% Margen antes de Impuestos</t>
  </si>
  <si>
    <t>Destino</t>
  </si>
  <si>
    <t>Km (ESTIMADO salvo Talca=real)</t>
  </si>
  <si>
    <t>Categoria Peaje</t>
  </si>
  <si>
    <t>Graneros</t>
  </si>
  <si>
    <t>Rancagua</t>
  </si>
  <si>
    <t>Requínoa</t>
  </si>
  <si>
    <t>Pelequén</t>
  </si>
  <si>
    <t>Malloa</t>
  </si>
  <si>
    <t>Rengo</t>
  </si>
  <si>
    <t>San Fernando</t>
  </si>
  <si>
    <t>Peumo</t>
  </si>
  <si>
    <t>Chimbarongo</t>
  </si>
  <si>
    <t>Placilla</t>
  </si>
  <si>
    <t>San Vicente</t>
  </si>
  <si>
    <t>Peralillo</t>
  </si>
  <si>
    <t>Marchihue</t>
  </si>
  <si>
    <t>Nancagua</t>
  </si>
  <si>
    <t>Santa Cruz</t>
  </si>
  <si>
    <t>Teno</t>
  </si>
  <si>
    <t>Curico</t>
  </si>
  <si>
    <t>Lontué</t>
  </si>
  <si>
    <t>Molina</t>
  </si>
  <si>
    <t>Sagrada Familia</t>
  </si>
  <si>
    <t>San Javier</t>
  </si>
  <si>
    <t>Villa Alegre</t>
  </si>
  <si>
    <t>Cauquenes</t>
  </si>
  <si>
    <t>Retorno</t>
  </si>
  <si>
    <t>Km desde PH</t>
  </si>
  <si>
    <t>Tarifa Base (x60%)</t>
  </si>
  <si>
    <t>TARIFARIO SOLLEM — PENDIENTE DE CARGAR</t>
  </si>
  <si>
    <t>Se usará para el escenario "Sollem ida + TRAST retorno" — el camión ya está en el sur por Sollem, y toma el retorno de TRAST en vez de volver vacío.</t>
  </si>
  <si>
    <t>Punto (Origen Casablanca)</t>
  </si>
  <si>
    <t>Destino Sollem</t>
  </si>
  <si>
    <t>Tarifa Sollem (ida)</t>
  </si>
  <si>
    <t>Km (ida)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</si>
</sst>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b/>
      <sz val="14"/>
      <color rgb="FF9A7B2F"/>
      <name val="Arial"/>
      <family val="2"/>
    </font>
    <font>
      <b/>
      <sz val="11"/>
      <name val="Arial"/>
      <family val="2"/>
    </font>
    <font>
      <b/>
      <sz val="12"/>
      <color rgb="FF9A7B2F"/>
      <name val="Arial"/>
      <family val="2"/>
    </font>
    <font>
      <i/>
      <sz val="9"/>
      <color rgb="FF666666"/>
      <name val="Arial"/>
      <family val="2"/>
    </font>
    <font>
      <sz val="10"/>
      <color rgb="FF666666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3"/>
      <color rgb="FF9A7B2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A403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7E4C4"/>
        <bgColor rgb="FFD4EDDA"/>
      </patternFill>
    </fill>
    <fill>
      <patternFill patternType="solid">
        <fgColor rgb="FFD4EDDA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/>
    <xf numFmtId="164" fontId="4" fillId="3" borderId="0" xfId="0" applyNumberFormat="1" applyFont="1" applyFill="1"/>
    <xf numFmtId="0" fontId="3" fillId="2" borderId="1" xfId="0" applyFont="1" applyFill="1" applyBorder="1"/>
    <xf numFmtId="0" fontId="4" fillId="0" borderId="1" xfId="0" applyFont="1" applyBorder="1"/>
    <xf numFmtId="165" fontId="4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165" fontId="5" fillId="0" borderId="1" xfId="0" applyNumberFormat="1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0" fontId="7" fillId="0" borderId="0" xfId="0" applyFont="1"/>
    <xf numFmtId="0" fontId="8" fillId="4" borderId="0" xfId="0" applyFont="1" applyFill="1"/>
    <xf numFmtId="0" fontId="9" fillId="0" borderId="0" xfId="0" applyFont="1"/>
    <xf numFmtId="0" fontId="10" fillId="0" borderId="0" xfId="0" applyFont="1"/>
    <xf numFmtId="165" fontId="11" fillId="0" borderId="0" xfId="0" applyNumberFormat="1" applyFont="1"/>
    <xf numFmtId="0" fontId="11" fillId="0" borderId="0" xfId="0" applyFont="1"/>
    <xf numFmtId="0" fontId="8" fillId="0" borderId="0" xfId="0" applyFont="1"/>
    <xf numFmtId="1" fontId="7" fillId="5" borderId="0" xfId="0" applyNumberFormat="1" applyFont="1" applyFill="1"/>
    <xf numFmtId="0" fontId="7" fillId="5" borderId="0" xfId="0" applyFont="1" applyFill="1"/>
    <xf numFmtId="165" fontId="7" fillId="5" borderId="0" xfId="0" applyNumberFormat="1" applyFont="1" applyFill="1"/>
    <xf numFmtId="164" fontId="7" fillId="5" borderId="0" xfId="0" applyNumberFormat="1" applyFont="1" applyFill="1"/>
    <xf numFmtId="0" fontId="3" fillId="2" borderId="0" xfId="0" applyFont="1" applyFill="1"/>
    <xf numFmtId="0" fontId="12" fillId="4" borderId="0" xfId="0" applyFont="1" applyFill="1"/>
    <xf numFmtId="165" fontId="12" fillId="5" borderId="0" xfId="0" applyNumberFormat="1" applyFont="1" applyFill="1"/>
    <xf numFmtId="164" fontId="11" fillId="5" borderId="0" xfId="0" applyNumberFormat="1" applyFont="1" applyFill="1"/>
    <xf numFmtId="0" fontId="5" fillId="0" borderId="0" xfId="0" applyFont="1"/>
    <xf numFmtId="0" fontId="4" fillId="0" borderId="0" xfId="0" applyFont="1"/>
    <xf numFmtId="0" fontId="5" fillId="3" borderId="0" xfId="0" applyFont="1" applyFill="1"/>
    <xf numFmtId="0" fontId="11" fillId="0" borderId="1" xfId="0" applyFont="1" applyBorder="1"/>
    <xf numFmtId="0" fontId="13" fillId="0" borderId="0" xfId="0" applyFont="1"/>
    <xf numFmtId="0" fontId="0" fillId="3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2F"/>
      <rgbColor rgb="FF800080"/>
      <rgbColor rgb="FF008080"/>
      <rgbColor rgb="FFCCCCCC"/>
      <rgbColor rgb="FF808080"/>
      <rgbColor rgb="FF9999FF"/>
      <rgbColor rgb="FF993366"/>
      <rgbColor rgb="FFF7E4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40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>
      <selection activeCell="B4" sqref="B4"/>
    </sheetView>
  </sheetViews>
  <sheetFormatPr baseColWidth="10" defaultColWidth="8.6328125" defaultRowHeight="14.5" x14ac:dyDescent="0.35"/>
  <cols>
    <col min="1" max="1" width="36" customWidth="1"/>
    <col min="2" max="2" width="12" customWidth="1"/>
  </cols>
  <sheetData>
    <row r="1" spans="1:2" ht="15.75" customHeight="1" x14ac:dyDescent="0.35">
      <c r="A1" s="2" t="s">
        <v>0</v>
      </c>
    </row>
    <row r="2" spans="1:2" ht="15" customHeight="1" x14ac:dyDescent="0.35">
      <c r="A2" s="3" t="s">
        <v>1</v>
      </c>
      <c r="B2" s="3" t="s">
        <v>2</v>
      </c>
    </row>
    <row r="3" spans="1:2" ht="15" customHeight="1" x14ac:dyDescent="0.35">
      <c r="A3" t="s">
        <v>3</v>
      </c>
      <c r="B3" s="4">
        <v>3</v>
      </c>
    </row>
    <row r="4" spans="1:2" ht="15" customHeight="1" x14ac:dyDescent="0.35">
      <c r="A4" t="s">
        <v>4</v>
      </c>
      <c r="B4" s="4">
        <v>1200</v>
      </c>
    </row>
    <row r="5" spans="1:2" ht="15" customHeight="1" x14ac:dyDescent="0.35">
      <c r="A5" t="s">
        <v>5</v>
      </c>
      <c r="B5" s="4">
        <v>26.67</v>
      </c>
    </row>
    <row r="6" spans="1:2" ht="15" customHeight="1" x14ac:dyDescent="0.35">
      <c r="A6" t="s">
        <v>6</v>
      </c>
      <c r="B6" s="4">
        <v>25000</v>
      </c>
    </row>
    <row r="7" spans="1:2" ht="15" customHeight="1" x14ac:dyDescent="0.35">
      <c r="A7" t="s">
        <v>7</v>
      </c>
      <c r="B7" s="4">
        <v>33000</v>
      </c>
    </row>
    <row r="8" spans="1:2" ht="15" customHeight="1" x14ac:dyDescent="0.35">
      <c r="A8" t="s">
        <v>8</v>
      </c>
      <c r="B8" s="4">
        <v>12000</v>
      </c>
    </row>
    <row r="9" spans="1:2" ht="15" customHeight="1" x14ac:dyDescent="0.35">
      <c r="A9" t="s">
        <v>9</v>
      </c>
      <c r="B9" s="4">
        <v>36000</v>
      </c>
    </row>
    <row r="10" spans="1:2" ht="15" customHeight="1" x14ac:dyDescent="0.35">
      <c r="A10" t="s">
        <v>10</v>
      </c>
      <c r="B10" s="5">
        <v>0.08</v>
      </c>
    </row>
    <row r="11" spans="1:2" ht="15" customHeight="1" x14ac:dyDescent="0.35">
      <c r="A11" t="s">
        <v>11</v>
      </c>
      <c r="B11" s="5">
        <v>1.4999999999999999E-2</v>
      </c>
    </row>
    <row r="12" spans="1:2" ht="15" customHeight="1" x14ac:dyDescent="0.35">
      <c r="A12" t="s">
        <v>12</v>
      </c>
      <c r="B12" s="5">
        <v>0.6</v>
      </c>
    </row>
    <row r="13" spans="1:2" ht="15" customHeight="1" x14ac:dyDescent="0.35">
      <c r="A13" t="s">
        <v>13</v>
      </c>
      <c r="B13" s="4">
        <v>28372</v>
      </c>
    </row>
    <row r="14" spans="1:2" ht="15" customHeight="1" x14ac:dyDescent="0.35">
      <c r="A14" t="s">
        <v>14</v>
      </c>
      <c r="B14" s="4">
        <v>52772</v>
      </c>
    </row>
    <row r="15" spans="1:2" ht="15" customHeight="1" x14ac:dyDescent="0.35">
      <c r="A15" t="s">
        <v>15</v>
      </c>
      <c r="B15" s="4">
        <v>162</v>
      </c>
    </row>
    <row r="16" spans="1:2" ht="15" customHeight="1" x14ac:dyDescent="0.35">
      <c r="A16" t="s">
        <v>16</v>
      </c>
      <c r="B16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topLeftCell="A13" zoomScaleNormal="100" workbookViewId="0">
      <selection activeCell="D18" sqref="D18"/>
    </sheetView>
  </sheetViews>
  <sheetFormatPr baseColWidth="10" defaultColWidth="8.6328125" defaultRowHeight="14.5" x14ac:dyDescent="0.35"/>
  <cols>
    <col min="1" max="1" width="15" customWidth="1"/>
    <col min="2" max="2" width="13" customWidth="1"/>
    <col min="3" max="3" width="11" customWidth="1"/>
    <col min="4" max="4" width="8" customWidth="1"/>
    <col min="5" max="5" width="11" customWidth="1"/>
    <col min="6" max="6" width="18" customWidth="1"/>
  </cols>
  <sheetData>
    <row r="1" spans="1:6" ht="15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spans="1:6" ht="15" customHeight="1" x14ac:dyDescent="0.35">
      <c r="A2" s="7" t="s">
        <v>23</v>
      </c>
      <c r="B2" s="7" t="s">
        <v>24</v>
      </c>
      <c r="C2" s="8">
        <v>124107</v>
      </c>
      <c r="D2" s="7">
        <v>40</v>
      </c>
      <c r="E2" s="8">
        <v>10000</v>
      </c>
      <c r="F2" s="9" t="str">
        <f t="shared" ref="F2:F33" si="0">A2&amp;B2</f>
        <v>Padre HurtadoQuilicura</v>
      </c>
    </row>
    <row r="3" spans="1:6" ht="15" customHeight="1" x14ac:dyDescent="0.35">
      <c r="A3" s="7" t="s">
        <v>23</v>
      </c>
      <c r="B3" s="7" t="s">
        <v>25</v>
      </c>
      <c r="C3" s="8">
        <v>124107</v>
      </c>
      <c r="D3" s="7">
        <v>50</v>
      </c>
      <c r="E3" s="8">
        <v>13000</v>
      </c>
      <c r="F3" s="9" t="str">
        <f t="shared" si="0"/>
        <v>Padre HurtadoMelipilla</v>
      </c>
    </row>
    <row r="4" spans="1:6" ht="15" customHeight="1" x14ac:dyDescent="0.35">
      <c r="A4" s="7" t="s">
        <v>23</v>
      </c>
      <c r="B4" s="7" t="s">
        <v>26</v>
      </c>
      <c r="C4" s="8">
        <v>124107</v>
      </c>
      <c r="D4" s="7">
        <v>46</v>
      </c>
      <c r="E4" s="8">
        <v>13000</v>
      </c>
      <c r="F4" s="9" t="str">
        <f t="shared" si="0"/>
        <v>Padre HurtadoLampa</v>
      </c>
    </row>
    <row r="5" spans="1:6" ht="15" customHeight="1" x14ac:dyDescent="0.35">
      <c r="A5" s="7" t="s">
        <v>23</v>
      </c>
      <c r="B5" s="7" t="s">
        <v>27</v>
      </c>
      <c r="C5" s="8">
        <v>213845</v>
      </c>
      <c r="D5" s="7">
        <v>133</v>
      </c>
      <c r="E5" s="8">
        <v>24600</v>
      </c>
      <c r="F5" s="9" t="str">
        <f t="shared" si="0"/>
        <v>Padre HurtadoSan Felipe</v>
      </c>
    </row>
    <row r="6" spans="1:6" ht="15" customHeight="1" x14ac:dyDescent="0.35">
      <c r="A6" s="10" t="s">
        <v>28</v>
      </c>
      <c r="B6" s="10" t="s">
        <v>24</v>
      </c>
      <c r="C6" s="11">
        <v>158236</v>
      </c>
      <c r="D6" s="7">
        <v>31</v>
      </c>
      <c r="E6" s="13">
        <v>10000</v>
      </c>
      <c r="F6" s="9" t="str">
        <f t="shared" si="0"/>
        <v>San BernardoQuilicura</v>
      </c>
    </row>
    <row r="7" spans="1:6" ht="15" customHeight="1" x14ac:dyDescent="0.35">
      <c r="A7" s="10" t="s">
        <v>28</v>
      </c>
      <c r="B7" s="10" t="s">
        <v>25</v>
      </c>
      <c r="C7" s="11">
        <v>158236</v>
      </c>
      <c r="D7" s="7">
        <v>60</v>
      </c>
      <c r="E7" s="13">
        <v>13000</v>
      </c>
      <c r="F7" s="9" t="str">
        <f t="shared" si="0"/>
        <v>San BernardoMelipilla</v>
      </c>
    </row>
    <row r="8" spans="1:6" ht="15" customHeight="1" x14ac:dyDescent="0.35">
      <c r="A8" s="10" t="s">
        <v>28</v>
      </c>
      <c r="B8" s="10" t="s">
        <v>26</v>
      </c>
      <c r="C8" s="11">
        <v>158236</v>
      </c>
      <c r="D8" s="7">
        <v>48</v>
      </c>
      <c r="E8" s="13">
        <v>13000</v>
      </c>
      <c r="F8" s="9" t="str">
        <f t="shared" si="0"/>
        <v>San BernardoLampa</v>
      </c>
    </row>
    <row r="9" spans="1:6" ht="15" customHeight="1" x14ac:dyDescent="0.35">
      <c r="A9" s="10" t="s">
        <v>28</v>
      </c>
      <c r="B9" s="10" t="s">
        <v>27</v>
      </c>
      <c r="C9" s="11">
        <v>240098</v>
      </c>
      <c r="D9" s="7">
        <v>107</v>
      </c>
      <c r="E9" s="13">
        <v>24600</v>
      </c>
      <c r="F9" s="9" t="str">
        <f t="shared" si="0"/>
        <v>San BernardoSan Felipe</v>
      </c>
    </row>
    <row r="10" spans="1:6" ht="15" customHeight="1" x14ac:dyDescent="0.35">
      <c r="A10" s="10" t="s">
        <v>29</v>
      </c>
      <c r="B10" s="10" t="s">
        <v>24</v>
      </c>
      <c r="C10" s="11">
        <v>143964</v>
      </c>
      <c r="D10" s="7">
        <v>22</v>
      </c>
      <c r="E10" s="13">
        <v>10000</v>
      </c>
      <c r="F10" s="9" t="str">
        <f t="shared" si="0"/>
        <v>LoginsaQuilicura</v>
      </c>
    </row>
    <row r="11" spans="1:6" ht="15" customHeight="1" x14ac:dyDescent="0.35">
      <c r="A11" s="10" t="s">
        <v>29</v>
      </c>
      <c r="B11" s="10" t="s">
        <v>25</v>
      </c>
      <c r="C11" s="11">
        <v>143964</v>
      </c>
      <c r="D11" s="7">
        <v>60</v>
      </c>
      <c r="E11" s="13">
        <v>13000</v>
      </c>
      <c r="F11" s="9" t="str">
        <f t="shared" si="0"/>
        <v>LoginsaMelipilla</v>
      </c>
    </row>
    <row r="12" spans="1:6" ht="15" customHeight="1" x14ac:dyDescent="0.35">
      <c r="A12" s="10" t="s">
        <v>29</v>
      </c>
      <c r="B12" s="10" t="s">
        <v>26</v>
      </c>
      <c r="C12" s="11">
        <v>143964</v>
      </c>
      <c r="D12" s="7">
        <v>36</v>
      </c>
      <c r="E12" s="13">
        <v>13000</v>
      </c>
      <c r="F12" s="9" t="str">
        <f t="shared" si="0"/>
        <v>LoginsaLampa</v>
      </c>
    </row>
    <row r="13" spans="1:6" ht="15" customHeight="1" x14ac:dyDescent="0.35">
      <c r="A13" s="10" t="s">
        <v>29</v>
      </c>
      <c r="B13" s="10" t="s">
        <v>27</v>
      </c>
      <c r="C13" s="11">
        <v>229120</v>
      </c>
      <c r="D13" s="7">
        <v>100</v>
      </c>
      <c r="E13" s="13">
        <v>24600</v>
      </c>
      <c r="F13" s="9" t="str">
        <f t="shared" si="0"/>
        <v>LoginsaSan Felipe</v>
      </c>
    </row>
    <row r="14" spans="1:6" ht="15" customHeight="1" x14ac:dyDescent="0.35">
      <c r="A14" s="7" t="s">
        <v>23</v>
      </c>
      <c r="B14" s="7" t="s">
        <v>30</v>
      </c>
      <c r="C14" s="8">
        <v>0</v>
      </c>
      <c r="D14" s="7">
        <v>0</v>
      </c>
      <c r="E14" s="8">
        <v>0</v>
      </c>
      <c r="F14" s="9" t="str">
        <f t="shared" si="0"/>
        <v>Padre HurtadoNinguno</v>
      </c>
    </row>
    <row r="15" spans="1:6" ht="15" customHeight="1" x14ac:dyDescent="0.35">
      <c r="A15" s="7" t="s">
        <v>28</v>
      </c>
      <c r="B15" s="7" t="s">
        <v>30</v>
      </c>
      <c r="C15" s="8">
        <v>0</v>
      </c>
      <c r="D15" s="7">
        <v>0</v>
      </c>
      <c r="E15" s="8">
        <v>0</v>
      </c>
      <c r="F15" s="9" t="str">
        <f t="shared" si="0"/>
        <v>San BernardoNinguno</v>
      </c>
    </row>
    <row r="16" spans="1:6" ht="15" customHeight="1" x14ac:dyDescent="0.35">
      <c r="A16" s="7" t="s">
        <v>29</v>
      </c>
      <c r="B16" s="7" t="s">
        <v>30</v>
      </c>
      <c r="C16" s="8">
        <v>0</v>
      </c>
      <c r="D16" s="7">
        <v>0</v>
      </c>
      <c r="E16" s="8">
        <v>0</v>
      </c>
      <c r="F16" s="9" t="str">
        <f t="shared" si="0"/>
        <v>LoginsaNinguno</v>
      </c>
    </row>
    <row r="17" spans="1:6" ht="15" customHeight="1" x14ac:dyDescent="0.35">
      <c r="A17" s="7" t="s">
        <v>31</v>
      </c>
      <c r="B17" s="7" t="s">
        <v>30</v>
      </c>
      <c r="C17" s="8">
        <v>0</v>
      </c>
      <c r="D17" s="7">
        <v>0</v>
      </c>
      <c r="E17" s="8">
        <v>0</v>
      </c>
      <c r="F17" s="9" t="str">
        <f t="shared" si="0"/>
        <v>Llay LlayNinguno</v>
      </c>
    </row>
    <row r="18" spans="1:6" ht="15" customHeight="1" x14ac:dyDescent="0.35">
      <c r="A18" s="10" t="s">
        <v>23</v>
      </c>
      <c r="B18" s="10" t="s">
        <v>32</v>
      </c>
      <c r="C18" s="8">
        <v>148928</v>
      </c>
      <c r="D18" s="12">
        <v>45</v>
      </c>
      <c r="E18" s="13">
        <v>10000</v>
      </c>
      <c r="F18" s="9" t="str">
        <f t="shared" si="0"/>
        <v>Padre HurtadoAlto Jahuel</v>
      </c>
    </row>
    <row r="19" spans="1:6" ht="15" customHeight="1" x14ac:dyDescent="0.35">
      <c r="A19" s="10" t="s">
        <v>23</v>
      </c>
      <c r="B19" s="10" t="s">
        <v>33</v>
      </c>
      <c r="C19" s="8">
        <v>124107</v>
      </c>
      <c r="D19" s="12">
        <v>42</v>
      </c>
      <c r="E19" s="13">
        <v>10000</v>
      </c>
      <c r="F19" s="9" t="str">
        <f t="shared" si="0"/>
        <v>Padre HurtadoBuin</v>
      </c>
    </row>
    <row r="20" spans="1:6" ht="15" customHeight="1" x14ac:dyDescent="0.35">
      <c r="A20" s="10" t="s">
        <v>23</v>
      </c>
      <c r="B20" s="10" t="s">
        <v>34</v>
      </c>
      <c r="C20" s="8">
        <v>148928</v>
      </c>
      <c r="D20" s="12">
        <v>75</v>
      </c>
      <c r="E20" s="13">
        <v>30000</v>
      </c>
      <c r="F20" s="9" t="str">
        <f t="shared" si="0"/>
        <v>Padre HurtadoCasablanca</v>
      </c>
    </row>
    <row r="21" spans="1:6" ht="15" customHeight="1" x14ac:dyDescent="0.35">
      <c r="A21" s="10" t="s">
        <v>23</v>
      </c>
      <c r="B21" s="10" t="s">
        <v>35</v>
      </c>
      <c r="C21" s="8">
        <v>143964</v>
      </c>
      <c r="D21" s="12">
        <v>25</v>
      </c>
      <c r="E21" s="13">
        <v>10000</v>
      </c>
      <c r="F21" s="9" t="str">
        <f t="shared" si="0"/>
        <v>Padre HurtadoCerrillos</v>
      </c>
    </row>
    <row r="22" spans="1:6" ht="15" customHeight="1" x14ac:dyDescent="0.35">
      <c r="A22" s="10" t="s">
        <v>23</v>
      </c>
      <c r="B22" s="10" t="s">
        <v>36</v>
      </c>
      <c r="C22" s="8">
        <v>136517</v>
      </c>
      <c r="D22" s="12">
        <v>35</v>
      </c>
      <c r="E22" s="13">
        <v>10000</v>
      </c>
      <c r="F22" s="9" t="str">
        <f t="shared" si="0"/>
        <v>Padre HurtadoColina</v>
      </c>
    </row>
    <row r="23" spans="1:6" ht="15" customHeight="1" x14ac:dyDescent="0.35">
      <c r="A23" s="10" t="s">
        <v>23</v>
      </c>
      <c r="B23" s="10" t="s">
        <v>37</v>
      </c>
      <c r="C23" s="8">
        <v>124107</v>
      </c>
      <c r="D23" s="12">
        <v>55</v>
      </c>
      <c r="E23" s="13">
        <v>10000</v>
      </c>
      <c r="F23" s="9" t="str">
        <f t="shared" si="0"/>
        <v>Padre HurtadoCuracaví</v>
      </c>
    </row>
    <row r="24" spans="1:6" ht="15" customHeight="1" x14ac:dyDescent="0.35">
      <c r="A24" s="10" t="s">
        <v>23</v>
      </c>
      <c r="B24" s="10" t="s">
        <v>38</v>
      </c>
      <c r="C24" s="8">
        <v>124107</v>
      </c>
      <c r="D24" s="12">
        <v>20</v>
      </c>
      <c r="E24" s="13">
        <v>10000</v>
      </c>
      <c r="F24" s="9" t="str">
        <f t="shared" si="0"/>
        <v>Padre HurtadoIndependencia</v>
      </c>
    </row>
    <row r="25" spans="1:6" ht="15" customHeight="1" x14ac:dyDescent="0.35">
      <c r="A25" s="10" t="s">
        <v>23</v>
      </c>
      <c r="B25" s="10" t="s">
        <v>39</v>
      </c>
      <c r="C25" s="8">
        <v>124107</v>
      </c>
      <c r="D25" s="12">
        <v>45</v>
      </c>
      <c r="E25" s="13">
        <v>10000</v>
      </c>
      <c r="F25" s="9" t="str">
        <f t="shared" si="0"/>
        <v>Padre HurtadoIsla de Maipo</v>
      </c>
    </row>
    <row r="26" spans="1:6" ht="15" customHeight="1" x14ac:dyDescent="0.35">
      <c r="A26" s="10" t="s">
        <v>23</v>
      </c>
      <c r="B26" s="10" t="s">
        <v>40</v>
      </c>
      <c r="C26" s="8">
        <v>124107</v>
      </c>
      <c r="D26" s="12">
        <v>30</v>
      </c>
      <c r="E26" s="13">
        <v>10000</v>
      </c>
      <c r="F26" s="9" t="str">
        <f t="shared" si="0"/>
        <v>Padre HurtadoLa Pintana</v>
      </c>
    </row>
    <row r="27" spans="1:6" ht="15" customHeight="1" x14ac:dyDescent="0.35">
      <c r="A27" s="10" t="s">
        <v>23</v>
      </c>
      <c r="B27" s="10" t="s">
        <v>41</v>
      </c>
      <c r="C27" s="8">
        <v>124107</v>
      </c>
      <c r="D27" s="12">
        <v>20</v>
      </c>
      <c r="E27" s="13">
        <v>10000</v>
      </c>
      <c r="F27" s="9" t="str">
        <f t="shared" si="0"/>
        <v>Padre HurtadoMacul</v>
      </c>
    </row>
    <row r="28" spans="1:6" ht="15" customHeight="1" x14ac:dyDescent="0.35">
      <c r="A28" s="10" t="s">
        <v>23</v>
      </c>
      <c r="B28" s="10" t="s">
        <v>42</v>
      </c>
      <c r="C28" s="8">
        <v>124107</v>
      </c>
      <c r="D28" s="12">
        <v>25</v>
      </c>
      <c r="E28" s="13">
        <v>10000</v>
      </c>
      <c r="F28" s="9" t="str">
        <f t="shared" si="0"/>
        <v>Padre HurtadoMaipú 1°</v>
      </c>
    </row>
    <row r="29" spans="1:6" ht="15" customHeight="1" x14ac:dyDescent="0.35">
      <c r="A29" s="10" t="s">
        <v>23</v>
      </c>
      <c r="B29" s="10" t="s">
        <v>43</v>
      </c>
      <c r="C29" s="8">
        <v>124107</v>
      </c>
      <c r="D29" s="12">
        <v>25</v>
      </c>
      <c r="E29" s="13">
        <v>10000</v>
      </c>
      <c r="F29" s="9" t="str">
        <f t="shared" si="0"/>
        <v>Padre HurtadoMaipú 2°</v>
      </c>
    </row>
    <row r="30" spans="1:6" ht="15" customHeight="1" x14ac:dyDescent="0.35">
      <c r="A30" s="10" t="s">
        <v>23</v>
      </c>
      <c r="B30" s="10" t="s">
        <v>44</v>
      </c>
      <c r="C30" s="8">
        <v>124107</v>
      </c>
      <c r="D30" s="12">
        <v>55</v>
      </c>
      <c r="E30" s="13">
        <v>10000</v>
      </c>
      <c r="F30" s="9" t="str">
        <f t="shared" si="0"/>
        <v>Padre HurtadoPaine</v>
      </c>
    </row>
    <row r="31" spans="1:6" ht="15" customHeight="1" x14ac:dyDescent="0.35">
      <c r="A31" s="10" t="s">
        <v>23</v>
      </c>
      <c r="B31" s="10" t="s">
        <v>45</v>
      </c>
      <c r="C31" s="8">
        <v>124107</v>
      </c>
      <c r="D31" s="12">
        <v>35</v>
      </c>
      <c r="E31" s="13">
        <v>10000</v>
      </c>
      <c r="F31" s="9" t="str">
        <f t="shared" si="0"/>
        <v>Padre HurtadoPeñaflor</v>
      </c>
    </row>
    <row r="32" spans="1:6" ht="15" customHeight="1" x14ac:dyDescent="0.35">
      <c r="A32" s="10" t="s">
        <v>23</v>
      </c>
      <c r="B32" s="10" t="s">
        <v>46</v>
      </c>
      <c r="C32" s="8">
        <v>126589</v>
      </c>
      <c r="D32" s="12">
        <v>25</v>
      </c>
      <c r="E32" s="13">
        <v>10000</v>
      </c>
      <c r="F32" s="9" t="str">
        <f t="shared" si="0"/>
        <v>Padre HurtadoPeñalolén</v>
      </c>
    </row>
    <row r="33" spans="1:6" ht="15" customHeight="1" x14ac:dyDescent="0.35">
      <c r="A33" s="10" t="s">
        <v>23</v>
      </c>
      <c r="B33" s="10" t="s">
        <v>47</v>
      </c>
      <c r="C33" s="8">
        <v>124107</v>
      </c>
      <c r="D33" s="12">
        <v>35</v>
      </c>
      <c r="E33" s="13">
        <v>10000</v>
      </c>
      <c r="F33" s="9" t="str">
        <f t="shared" si="0"/>
        <v>Padre HurtadoPirque</v>
      </c>
    </row>
    <row r="34" spans="1:6" ht="15" customHeight="1" x14ac:dyDescent="0.35">
      <c r="A34" s="10" t="s">
        <v>23</v>
      </c>
      <c r="B34" s="10" t="s">
        <v>48</v>
      </c>
      <c r="C34" s="8">
        <v>124107</v>
      </c>
      <c r="D34" s="12">
        <v>20</v>
      </c>
      <c r="E34" s="13">
        <v>10000</v>
      </c>
      <c r="F34" s="9" t="str">
        <f t="shared" ref="F34:F65" si="1">A34&amp;B34</f>
        <v>Padre HurtadoProvidencia</v>
      </c>
    </row>
    <row r="35" spans="1:6" ht="15" customHeight="1" x14ac:dyDescent="0.35">
      <c r="A35" s="10" t="s">
        <v>23</v>
      </c>
      <c r="B35" s="10" t="s">
        <v>49</v>
      </c>
      <c r="C35" s="8">
        <v>124107</v>
      </c>
      <c r="D35" s="12">
        <v>25</v>
      </c>
      <c r="E35" s="13">
        <v>10000</v>
      </c>
      <c r="F35" s="9" t="str">
        <f t="shared" si="1"/>
        <v>Padre HurtadoPudahuel</v>
      </c>
    </row>
    <row r="36" spans="1:6" ht="15" customHeight="1" x14ac:dyDescent="0.35">
      <c r="A36" s="10" t="s">
        <v>23</v>
      </c>
      <c r="B36" s="10" t="s">
        <v>50</v>
      </c>
      <c r="C36" s="8">
        <v>124107</v>
      </c>
      <c r="D36" s="12">
        <v>20</v>
      </c>
      <c r="E36" s="13">
        <v>10000</v>
      </c>
      <c r="F36" s="9" t="str">
        <f t="shared" si="1"/>
        <v>Padre HurtadoQuinta Normal</v>
      </c>
    </row>
    <row r="37" spans="1:6" ht="15" customHeight="1" x14ac:dyDescent="0.35">
      <c r="A37" s="10" t="s">
        <v>23</v>
      </c>
      <c r="B37" s="10" t="s">
        <v>51</v>
      </c>
      <c r="C37" s="8">
        <v>124107</v>
      </c>
      <c r="D37" s="12">
        <v>22</v>
      </c>
      <c r="E37" s="13">
        <v>10000</v>
      </c>
      <c r="F37" s="9" t="str">
        <f t="shared" si="1"/>
        <v>Padre HurtadoRenca</v>
      </c>
    </row>
    <row r="38" spans="1:6" ht="15" customHeight="1" x14ac:dyDescent="0.35">
      <c r="A38" s="10" t="s">
        <v>23</v>
      </c>
      <c r="B38" s="10" t="s">
        <v>52</v>
      </c>
      <c r="C38" s="8">
        <v>171840</v>
      </c>
      <c r="D38" s="12">
        <v>95</v>
      </c>
      <c r="E38" s="13">
        <v>30000</v>
      </c>
      <c r="F38" s="9" t="str">
        <f t="shared" si="1"/>
        <v>Padre HurtadoSan Antonio</v>
      </c>
    </row>
    <row r="39" spans="1:6" ht="15" customHeight="1" x14ac:dyDescent="0.35">
      <c r="A39" s="10" t="s">
        <v>23</v>
      </c>
      <c r="B39" s="10" t="s">
        <v>53</v>
      </c>
      <c r="C39" s="8">
        <v>124107</v>
      </c>
      <c r="D39" s="12">
        <v>20</v>
      </c>
      <c r="E39" s="13">
        <v>10000</v>
      </c>
      <c r="F39" s="9" t="str">
        <f t="shared" si="1"/>
        <v>Padre HurtadoSan Miguel</v>
      </c>
    </row>
    <row r="40" spans="1:6" ht="15" customHeight="1" x14ac:dyDescent="0.35">
      <c r="A40" s="10" t="s">
        <v>23</v>
      </c>
      <c r="B40" s="10" t="s">
        <v>54</v>
      </c>
      <c r="C40" s="8">
        <v>208499</v>
      </c>
      <c r="D40" s="12">
        <v>60</v>
      </c>
      <c r="E40" s="13">
        <v>10000</v>
      </c>
      <c r="F40" s="9" t="str">
        <f t="shared" si="1"/>
        <v>Padre HurtadoSan Pedro</v>
      </c>
    </row>
    <row r="41" spans="1:6" ht="15" customHeight="1" x14ac:dyDescent="0.35">
      <c r="A41" s="10" t="s">
        <v>23</v>
      </c>
      <c r="B41" s="10" t="s">
        <v>55</v>
      </c>
      <c r="C41" s="8">
        <v>124107</v>
      </c>
      <c r="D41" s="12">
        <v>20</v>
      </c>
      <c r="E41" s="13">
        <v>10000</v>
      </c>
      <c r="F41" s="9" t="str">
        <f t="shared" si="1"/>
        <v>Padre HurtadoSantiago</v>
      </c>
    </row>
    <row r="42" spans="1:6" ht="15" customHeight="1" x14ac:dyDescent="0.35">
      <c r="A42" s="10" t="s">
        <v>23</v>
      </c>
      <c r="B42" s="10" t="s">
        <v>56</v>
      </c>
      <c r="C42" s="8">
        <v>124107</v>
      </c>
      <c r="D42" s="12">
        <v>40</v>
      </c>
      <c r="E42" s="13">
        <v>10000</v>
      </c>
      <c r="F42" s="9" t="str">
        <f t="shared" si="1"/>
        <v>Padre HurtadoTalagante</v>
      </c>
    </row>
    <row r="43" spans="1:6" ht="15" customHeight="1" x14ac:dyDescent="0.35">
      <c r="A43" s="10" t="s">
        <v>23</v>
      </c>
      <c r="B43" s="10" t="s">
        <v>57</v>
      </c>
      <c r="C43" s="8">
        <v>174990</v>
      </c>
      <c r="D43" s="12">
        <v>55</v>
      </c>
      <c r="E43" s="13">
        <v>10000</v>
      </c>
      <c r="F43" s="9" t="str">
        <f t="shared" si="1"/>
        <v>Padre HurtadoTiltil</v>
      </c>
    </row>
    <row r="44" spans="1:6" ht="15" customHeight="1" x14ac:dyDescent="0.35">
      <c r="A44" s="10" t="s">
        <v>23</v>
      </c>
      <c r="B44" s="10" t="s">
        <v>58</v>
      </c>
      <c r="C44" s="8">
        <v>238666</v>
      </c>
      <c r="D44" s="12">
        <v>105</v>
      </c>
      <c r="E44" s="13">
        <v>30000</v>
      </c>
      <c r="F44" s="9" t="str">
        <f t="shared" si="1"/>
        <v>Padre HurtadoViña del Mar</v>
      </c>
    </row>
    <row r="45" spans="1:6" ht="15" customHeight="1" x14ac:dyDescent="0.35">
      <c r="A45" s="10" t="s">
        <v>23</v>
      </c>
      <c r="B45" s="10" t="s">
        <v>59</v>
      </c>
      <c r="C45" s="8">
        <v>124107</v>
      </c>
      <c r="D45" s="12">
        <v>22</v>
      </c>
      <c r="E45" s="13">
        <v>10000</v>
      </c>
      <c r="F45" s="9" t="str">
        <f t="shared" si="1"/>
        <v>Padre HurtadoVitacura</v>
      </c>
    </row>
    <row r="46" spans="1:6" ht="15" customHeight="1" x14ac:dyDescent="0.35">
      <c r="A46" s="10" t="s">
        <v>28</v>
      </c>
      <c r="B46" s="10" t="s">
        <v>32</v>
      </c>
      <c r="C46" s="8">
        <v>183057</v>
      </c>
      <c r="D46" s="12">
        <v>41</v>
      </c>
      <c r="E46" s="13">
        <v>10000</v>
      </c>
      <c r="F46" s="9" t="str">
        <f t="shared" si="1"/>
        <v>San BernardoAlto Jahuel</v>
      </c>
    </row>
    <row r="47" spans="1:6" ht="15" customHeight="1" x14ac:dyDescent="0.35">
      <c r="A47" s="10" t="s">
        <v>28</v>
      </c>
      <c r="B47" s="10" t="s">
        <v>33</v>
      </c>
      <c r="C47" s="8">
        <v>158236</v>
      </c>
      <c r="D47" s="12">
        <v>38</v>
      </c>
      <c r="E47" s="13">
        <v>10000</v>
      </c>
      <c r="F47" s="9" t="str">
        <f t="shared" si="1"/>
        <v>San BernardoBuin</v>
      </c>
    </row>
    <row r="48" spans="1:6" ht="15" customHeight="1" x14ac:dyDescent="0.35">
      <c r="A48" s="10" t="s">
        <v>28</v>
      </c>
      <c r="B48" s="10" t="s">
        <v>34</v>
      </c>
      <c r="C48" s="8">
        <v>175181</v>
      </c>
      <c r="D48" s="12">
        <v>71</v>
      </c>
      <c r="E48" s="13">
        <v>30000</v>
      </c>
      <c r="F48" s="9" t="str">
        <f t="shared" si="1"/>
        <v>San BernardoCasablanca</v>
      </c>
    </row>
    <row r="49" spans="1:6" ht="15" customHeight="1" x14ac:dyDescent="0.35">
      <c r="A49" s="10" t="s">
        <v>28</v>
      </c>
      <c r="B49" s="10" t="s">
        <v>35</v>
      </c>
      <c r="C49" s="8">
        <v>158236</v>
      </c>
      <c r="D49" s="12">
        <v>21</v>
      </c>
      <c r="E49" s="13">
        <v>10000</v>
      </c>
      <c r="F49" s="9" t="str">
        <f t="shared" si="1"/>
        <v>San BernardoCerrillos</v>
      </c>
    </row>
    <row r="50" spans="1:6" ht="15" customHeight="1" x14ac:dyDescent="0.35">
      <c r="A50" s="10" t="s">
        <v>28</v>
      </c>
      <c r="B50" s="10" t="s">
        <v>36</v>
      </c>
      <c r="C50" s="8">
        <v>170646</v>
      </c>
      <c r="D50" s="12">
        <v>31</v>
      </c>
      <c r="E50" s="13">
        <v>10000</v>
      </c>
      <c r="F50" s="9" t="str">
        <f t="shared" si="1"/>
        <v>San BernardoColina</v>
      </c>
    </row>
    <row r="51" spans="1:6" ht="15" customHeight="1" x14ac:dyDescent="0.35">
      <c r="A51" s="10" t="s">
        <v>28</v>
      </c>
      <c r="B51" s="10" t="s">
        <v>37</v>
      </c>
      <c r="C51" s="8">
        <v>158236</v>
      </c>
      <c r="D51" s="12">
        <v>51</v>
      </c>
      <c r="E51" s="13">
        <v>10000</v>
      </c>
      <c r="F51" s="9" t="str">
        <f t="shared" si="1"/>
        <v>San BernardoCuracaví</v>
      </c>
    </row>
    <row r="52" spans="1:6" ht="15" customHeight="1" x14ac:dyDescent="0.35">
      <c r="A52" s="10" t="s">
        <v>28</v>
      </c>
      <c r="B52" s="10" t="s">
        <v>38</v>
      </c>
      <c r="C52" s="8">
        <v>158236</v>
      </c>
      <c r="D52" s="12">
        <v>16</v>
      </c>
      <c r="E52" s="13">
        <v>10000</v>
      </c>
      <c r="F52" s="9" t="str">
        <f t="shared" si="1"/>
        <v>San BernardoIndependencia</v>
      </c>
    </row>
    <row r="53" spans="1:6" ht="15" customHeight="1" x14ac:dyDescent="0.35">
      <c r="A53" s="10" t="s">
        <v>28</v>
      </c>
      <c r="B53" s="10" t="s">
        <v>39</v>
      </c>
      <c r="C53" s="8">
        <v>158236</v>
      </c>
      <c r="D53" s="12">
        <v>41</v>
      </c>
      <c r="E53" s="13">
        <v>10000</v>
      </c>
      <c r="F53" s="9" t="str">
        <f t="shared" si="1"/>
        <v>San BernardoIsla de Maipo</v>
      </c>
    </row>
    <row r="54" spans="1:6" ht="15" customHeight="1" x14ac:dyDescent="0.35">
      <c r="A54" s="10" t="s">
        <v>28</v>
      </c>
      <c r="B54" s="10" t="s">
        <v>40</v>
      </c>
      <c r="C54" s="8">
        <v>158236</v>
      </c>
      <c r="D54" s="12">
        <v>26</v>
      </c>
      <c r="E54" s="13">
        <v>10000</v>
      </c>
      <c r="F54" s="9" t="str">
        <f t="shared" si="1"/>
        <v>San BernardoLa Pintana</v>
      </c>
    </row>
    <row r="55" spans="1:6" ht="15" customHeight="1" x14ac:dyDescent="0.35">
      <c r="A55" s="10" t="s">
        <v>28</v>
      </c>
      <c r="B55" s="10" t="s">
        <v>41</v>
      </c>
      <c r="C55" s="8">
        <v>158236</v>
      </c>
      <c r="D55" s="12">
        <v>16</v>
      </c>
      <c r="E55" s="13">
        <v>10000</v>
      </c>
      <c r="F55" s="9" t="str">
        <f t="shared" si="1"/>
        <v>San BernardoMacul</v>
      </c>
    </row>
    <row r="56" spans="1:6" ht="15" customHeight="1" x14ac:dyDescent="0.35">
      <c r="A56" s="10" t="s">
        <v>28</v>
      </c>
      <c r="B56" s="10" t="s">
        <v>42</v>
      </c>
      <c r="C56" s="8">
        <v>158236</v>
      </c>
      <c r="D56" s="12">
        <v>21</v>
      </c>
      <c r="E56" s="13">
        <v>10000</v>
      </c>
      <c r="F56" s="9" t="str">
        <f t="shared" si="1"/>
        <v>San BernardoMaipú 1°</v>
      </c>
    </row>
    <row r="57" spans="1:6" ht="15" customHeight="1" x14ac:dyDescent="0.35">
      <c r="A57" s="10" t="s">
        <v>28</v>
      </c>
      <c r="B57" s="10" t="s">
        <v>43</v>
      </c>
      <c r="C57" s="8">
        <v>158236</v>
      </c>
      <c r="D57" s="12">
        <v>21</v>
      </c>
      <c r="E57" s="13">
        <v>10000</v>
      </c>
      <c r="F57" s="9" t="str">
        <f t="shared" si="1"/>
        <v>San BernardoMaipú 2°</v>
      </c>
    </row>
    <row r="58" spans="1:6" ht="15" customHeight="1" x14ac:dyDescent="0.35">
      <c r="A58" s="10" t="s">
        <v>28</v>
      </c>
      <c r="B58" s="10" t="s">
        <v>44</v>
      </c>
      <c r="C58" s="8">
        <v>158236</v>
      </c>
      <c r="D58" s="12">
        <v>51</v>
      </c>
      <c r="E58" s="13">
        <v>10000</v>
      </c>
      <c r="F58" s="9" t="str">
        <f t="shared" si="1"/>
        <v>San BernardoPaine</v>
      </c>
    </row>
    <row r="59" spans="1:6" ht="15" customHeight="1" x14ac:dyDescent="0.35">
      <c r="A59" s="10" t="s">
        <v>28</v>
      </c>
      <c r="B59" s="10" t="s">
        <v>45</v>
      </c>
      <c r="C59" s="8">
        <v>145825</v>
      </c>
      <c r="D59" s="12">
        <v>31</v>
      </c>
      <c r="E59" s="13">
        <v>10000</v>
      </c>
      <c r="F59" s="9" t="str">
        <f t="shared" si="1"/>
        <v>San BernardoPeñaflor</v>
      </c>
    </row>
    <row r="60" spans="1:6" ht="15" customHeight="1" x14ac:dyDescent="0.35">
      <c r="A60" s="10" t="s">
        <v>28</v>
      </c>
      <c r="B60" s="10" t="s">
        <v>46</v>
      </c>
      <c r="C60" s="8">
        <v>160718</v>
      </c>
      <c r="D60" s="12">
        <v>21</v>
      </c>
      <c r="E60" s="13">
        <v>10000</v>
      </c>
      <c r="F60" s="9" t="str">
        <f t="shared" si="1"/>
        <v>San BernardoPeñalolén</v>
      </c>
    </row>
    <row r="61" spans="1:6" ht="15" customHeight="1" x14ac:dyDescent="0.35">
      <c r="A61" s="10" t="s">
        <v>28</v>
      </c>
      <c r="B61" s="10" t="s">
        <v>47</v>
      </c>
      <c r="C61" s="8">
        <v>158236</v>
      </c>
      <c r="D61" s="12">
        <v>31</v>
      </c>
      <c r="E61" s="13">
        <v>10000</v>
      </c>
      <c r="F61" s="9" t="str">
        <f t="shared" si="1"/>
        <v>San BernardoPirque</v>
      </c>
    </row>
    <row r="62" spans="1:6" ht="15" customHeight="1" x14ac:dyDescent="0.35">
      <c r="A62" s="10" t="s">
        <v>28</v>
      </c>
      <c r="B62" s="10" t="s">
        <v>48</v>
      </c>
      <c r="C62" s="8">
        <v>158236</v>
      </c>
      <c r="D62" s="12">
        <v>16</v>
      </c>
      <c r="E62" s="13">
        <v>10000</v>
      </c>
      <c r="F62" s="9" t="str">
        <f t="shared" si="1"/>
        <v>San BernardoProvidencia</v>
      </c>
    </row>
    <row r="63" spans="1:6" ht="15" customHeight="1" x14ac:dyDescent="0.35">
      <c r="A63" s="10" t="s">
        <v>28</v>
      </c>
      <c r="B63" s="10" t="s">
        <v>49</v>
      </c>
      <c r="C63" s="8">
        <v>158236</v>
      </c>
      <c r="D63" s="12">
        <v>21</v>
      </c>
      <c r="E63" s="13">
        <v>10000</v>
      </c>
      <c r="F63" s="9" t="str">
        <f t="shared" si="1"/>
        <v>San BernardoPudahuel</v>
      </c>
    </row>
    <row r="64" spans="1:6" ht="15" customHeight="1" x14ac:dyDescent="0.35">
      <c r="A64" s="10" t="s">
        <v>28</v>
      </c>
      <c r="B64" s="10" t="s">
        <v>50</v>
      </c>
      <c r="C64" s="8">
        <v>158236</v>
      </c>
      <c r="D64" s="12">
        <v>16</v>
      </c>
      <c r="E64" s="13">
        <v>10000</v>
      </c>
      <c r="F64" s="9" t="str">
        <f t="shared" si="1"/>
        <v>San BernardoQuinta Normal</v>
      </c>
    </row>
    <row r="65" spans="1:6" ht="15" customHeight="1" x14ac:dyDescent="0.35">
      <c r="A65" s="10" t="s">
        <v>28</v>
      </c>
      <c r="B65" s="10" t="s">
        <v>51</v>
      </c>
      <c r="C65" s="8">
        <v>158236</v>
      </c>
      <c r="D65" s="12">
        <v>18</v>
      </c>
      <c r="E65" s="13">
        <v>10000</v>
      </c>
      <c r="F65" s="9" t="str">
        <f t="shared" si="1"/>
        <v>San BernardoRenca</v>
      </c>
    </row>
    <row r="66" spans="1:6" ht="15" customHeight="1" x14ac:dyDescent="0.35">
      <c r="A66" s="10" t="s">
        <v>28</v>
      </c>
      <c r="B66" s="10" t="s">
        <v>52</v>
      </c>
      <c r="C66" s="8">
        <v>198093</v>
      </c>
      <c r="D66" s="12">
        <v>91</v>
      </c>
      <c r="E66" s="13">
        <v>30000</v>
      </c>
      <c r="F66" s="9" t="str">
        <f t="shared" ref="F66:F97" si="2">A66&amp;B66</f>
        <v>San BernardoSan Antonio</v>
      </c>
    </row>
    <row r="67" spans="1:6" ht="15" customHeight="1" x14ac:dyDescent="0.35">
      <c r="A67" s="10" t="s">
        <v>28</v>
      </c>
      <c r="B67" s="10" t="s">
        <v>53</v>
      </c>
      <c r="C67" s="8">
        <v>158236</v>
      </c>
      <c r="D67" s="12">
        <v>16</v>
      </c>
      <c r="E67" s="13">
        <v>10000</v>
      </c>
      <c r="F67" s="9" t="str">
        <f t="shared" si="2"/>
        <v>San BernardoSan Miguel</v>
      </c>
    </row>
    <row r="68" spans="1:6" ht="15" customHeight="1" x14ac:dyDescent="0.35">
      <c r="A68" s="10" t="s">
        <v>28</v>
      </c>
      <c r="B68" s="10" t="s">
        <v>54</v>
      </c>
      <c r="C68" s="8">
        <v>242628</v>
      </c>
      <c r="D68" s="12">
        <v>56</v>
      </c>
      <c r="E68" s="13">
        <v>10000</v>
      </c>
      <c r="F68" s="9" t="str">
        <f t="shared" si="2"/>
        <v>San BernardoSan Pedro</v>
      </c>
    </row>
    <row r="69" spans="1:6" ht="15" customHeight="1" x14ac:dyDescent="0.35">
      <c r="A69" s="10" t="s">
        <v>28</v>
      </c>
      <c r="B69" s="10" t="s">
        <v>55</v>
      </c>
      <c r="C69" s="8">
        <v>158236</v>
      </c>
      <c r="D69" s="12">
        <v>16</v>
      </c>
      <c r="E69" s="13">
        <v>10000</v>
      </c>
      <c r="F69" s="9" t="str">
        <f t="shared" si="2"/>
        <v>San BernardoSantiago</v>
      </c>
    </row>
    <row r="70" spans="1:6" ht="15" customHeight="1" x14ac:dyDescent="0.35">
      <c r="A70" s="10" t="s">
        <v>28</v>
      </c>
      <c r="B70" s="10" t="s">
        <v>56</v>
      </c>
      <c r="C70" s="8">
        <v>145825</v>
      </c>
      <c r="D70" s="12">
        <v>36</v>
      </c>
      <c r="E70" s="13">
        <v>10000</v>
      </c>
      <c r="F70" s="9" t="str">
        <f t="shared" si="2"/>
        <v>San BernardoTalagante</v>
      </c>
    </row>
    <row r="71" spans="1:6" ht="15" customHeight="1" x14ac:dyDescent="0.35">
      <c r="A71" s="10" t="s">
        <v>28</v>
      </c>
      <c r="B71" s="10" t="s">
        <v>57</v>
      </c>
      <c r="C71" s="8">
        <v>209119</v>
      </c>
      <c r="D71" s="12">
        <v>51</v>
      </c>
      <c r="E71" s="13">
        <v>10000</v>
      </c>
      <c r="F71" s="9" t="str">
        <f t="shared" si="2"/>
        <v>San BernardoTiltil</v>
      </c>
    </row>
    <row r="72" spans="1:6" ht="15" customHeight="1" x14ac:dyDescent="0.35">
      <c r="A72" s="10" t="s">
        <v>28</v>
      </c>
      <c r="B72" s="10" t="s">
        <v>58</v>
      </c>
      <c r="C72" s="8">
        <v>264920</v>
      </c>
      <c r="D72" s="12">
        <v>101</v>
      </c>
      <c r="E72" s="13">
        <v>30000</v>
      </c>
      <c r="F72" s="9" t="str">
        <f t="shared" si="2"/>
        <v>San BernardoViña del Mar</v>
      </c>
    </row>
    <row r="73" spans="1:6" ht="15" customHeight="1" x14ac:dyDescent="0.35">
      <c r="A73" s="10" t="s">
        <v>29</v>
      </c>
      <c r="B73" s="10" t="s">
        <v>32</v>
      </c>
      <c r="C73" s="8">
        <v>168785</v>
      </c>
      <c r="D73" s="12">
        <v>49</v>
      </c>
      <c r="E73" s="13">
        <v>10000</v>
      </c>
      <c r="F73" s="9" t="str">
        <f t="shared" si="2"/>
        <v>LoginsaAlto Jahuel</v>
      </c>
    </row>
    <row r="74" spans="1:6" ht="15" customHeight="1" x14ac:dyDescent="0.35">
      <c r="A74" s="10" t="s">
        <v>29</v>
      </c>
      <c r="B74" s="10" t="s">
        <v>33</v>
      </c>
      <c r="C74" s="8">
        <v>143964</v>
      </c>
      <c r="D74" s="12">
        <v>46</v>
      </c>
      <c r="E74" s="13">
        <v>10000</v>
      </c>
      <c r="F74" s="9" t="str">
        <f t="shared" si="2"/>
        <v>LoginsaBuin</v>
      </c>
    </row>
    <row r="75" spans="1:6" ht="15" customHeight="1" x14ac:dyDescent="0.35">
      <c r="A75" s="10" t="s">
        <v>29</v>
      </c>
      <c r="B75" s="10" t="s">
        <v>34</v>
      </c>
      <c r="C75" s="8">
        <v>164202</v>
      </c>
      <c r="D75" s="12">
        <v>79</v>
      </c>
      <c r="E75" s="13">
        <v>30000</v>
      </c>
      <c r="F75" s="9" t="str">
        <f t="shared" si="2"/>
        <v>LoginsaCasablanca</v>
      </c>
    </row>
    <row r="76" spans="1:6" ht="15" customHeight="1" x14ac:dyDescent="0.35">
      <c r="A76" s="10" t="s">
        <v>29</v>
      </c>
      <c r="B76" s="10" t="s">
        <v>35</v>
      </c>
      <c r="C76" s="8">
        <v>248213</v>
      </c>
      <c r="D76" s="12">
        <v>29</v>
      </c>
      <c r="E76" s="13">
        <v>10000</v>
      </c>
      <c r="F76" s="9" t="str">
        <f t="shared" si="2"/>
        <v>LoginsaCerrillos</v>
      </c>
    </row>
    <row r="77" spans="1:6" ht="15" customHeight="1" x14ac:dyDescent="0.35">
      <c r="A77" s="10" t="s">
        <v>29</v>
      </c>
      <c r="B77" s="10" t="s">
        <v>36</v>
      </c>
      <c r="C77" s="8">
        <v>156374</v>
      </c>
      <c r="D77" s="12">
        <v>39</v>
      </c>
      <c r="E77" s="13">
        <v>10000</v>
      </c>
      <c r="F77" s="9" t="str">
        <f t="shared" si="2"/>
        <v>LoginsaColina</v>
      </c>
    </row>
    <row r="78" spans="1:6" ht="15" customHeight="1" x14ac:dyDescent="0.35">
      <c r="A78" s="10" t="s">
        <v>29</v>
      </c>
      <c r="B78" s="10" t="s">
        <v>37</v>
      </c>
      <c r="C78" s="8">
        <v>143964</v>
      </c>
      <c r="D78" s="12">
        <v>59</v>
      </c>
      <c r="E78" s="13">
        <v>10000</v>
      </c>
      <c r="F78" s="9" t="str">
        <f t="shared" si="2"/>
        <v>LoginsaCuracaví</v>
      </c>
    </row>
    <row r="79" spans="1:6" ht="15" customHeight="1" x14ac:dyDescent="0.35">
      <c r="A79" s="10" t="s">
        <v>29</v>
      </c>
      <c r="B79" s="10" t="s">
        <v>38</v>
      </c>
      <c r="C79" s="8">
        <v>143964</v>
      </c>
      <c r="D79" s="12">
        <v>24</v>
      </c>
      <c r="E79" s="13">
        <v>10000</v>
      </c>
      <c r="F79" s="9" t="str">
        <f t="shared" si="2"/>
        <v>LoginsaIndependencia</v>
      </c>
    </row>
    <row r="80" spans="1:6" ht="15" customHeight="1" x14ac:dyDescent="0.35">
      <c r="A80" s="10" t="s">
        <v>29</v>
      </c>
      <c r="B80" s="10" t="s">
        <v>39</v>
      </c>
      <c r="C80" s="8">
        <v>143964</v>
      </c>
      <c r="D80" s="12">
        <v>49</v>
      </c>
      <c r="E80" s="13">
        <v>10000</v>
      </c>
      <c r="F80" s="9" t="str">
        <f t="shared" si="2"/>
        <v>LoginsaIsla de Maipo</v>
      </c>
    </row>
    <row r="81" spans="1:6" ht="15" customHeight="1" x14ac:dyDescent="0.35">
      <c r="A81" s="10" t="s">
        <v>29</v>
      </c>
      <c r="B81" s="10" t="s">
        <v>40</v>
      </c>
      <c r="C81" s="8">
        <v>143964</v>
      </c>
      <c r="D81" s="12">
        <v>34</v>
      </c>
      <c r="E81" s="13">
        <v>10000</v>
      </c>
      <c r="F81" s="9" t="str">
        <f t="shared" si="2"/>
        <v>LoginsaLa Pintana</v>
      </c>
    </row>
    <row r="82" spans="1:6" ht="15" customHeight="1" x14ac:dyDescent="0.35">
      <c r="A82" s="10" t="s">
        <v>29</v>
      </c>
      <c r="B82" s="10" t="s">
        <v>41</v>
      </c>
      <c r="C82" s="8">
        <v>143964</v>
      </c>
      <c r="D82" s="12">
        <v>24</v>
      </c>
      <c r="E82" s="13">
        <v>10000</v>
      </c>
      <c r="F82" s="9" t="str">
        <f t="shared" si="2"/>
        <v>LoginsaMacul</v>
      </c>
    </row>
    <row r="83" spans="1:6" ht="15" customHeight="1" x14ac:dyDescent="0.35">
      <c r="A83" s="10" t="s">
        <v>29</v>
      </c>
      <c r="B83" s="10" t="s">
        <v>42</v>
      </c>
      <c r="C83" s="8">
        <v>143964</v>
      </c>
      <c r="D83" s="12">
        <v>29</v>
      </c>
      <c r="E83" s="13">
        <v>10000</v>
      </c>
      <c r="F83" s="9" t="str">
        <f t="shared" si="2"/>
        <v>LoginsaMaipú 1°</v>
      </c>
    </row>
    <row r="84" spans="1:6" ht="15" customHeight="1" x14ac:dyDescent="0.35">
      <c r="A84" s="10" t="s">
        <v>29</v>
      </c>
      <c r="B84" s="10" t="s">
        <v>43</v>
      </c>
      <c r="C84" s="8">
        <v>143964</v>
      </c>
      <c r="D84" s="12">
        <v>29</v>
      </c>
      <c r="E84" s="13">
        <v>10000</v>
      </c>
      <c r="F84" s="9" t="str">
        <f t="shared" si="2"/>
        <v>LoginsaMaipú 2°</v>
      </c>
    </row>
    <row r="85" spans="1:6" ht="15" customHeight="1" x14ac:dyDescent="0.35">
      <c r="A85" s="10" t="s">
        <v>29</v>
      </c>
      <c r="B85" s="10" t="s">
        <v>44</v>
      </c>
      <c r="C85" s="8">
        <v>143964</v>
      </c>
      <c r="D85" s="12">
        <v>59</v>
      </c>
      <c r="E85" s="13">
        <v>10000</v>
      </c>
      <c r="F85" s="9" t="str">
        <f t="shared" si="2"/>
        <v>LoginsaPaine</v>
      </c>
    </row>
    <row r="86" spans="1:6" ht="15" customHeight="1" x14ac:dyDescent="0.35">
      <c r="A86" s="10" t="s">
        <v>29</v>
      </c>
      <c r="B86" s="10" t="s">
        <v>45</v>
      </c>
      <c r="C86" s="8">
        <v>131553</v>
      </c>
      <c r="D86" s="12">
        <v>39</v>
      </c>
      <c r="E86" s="13">
        <v>10000</v>
      </c>
      <c r="F86" s="9" t="str">
        <f t="shared" si="2"/>
        <v>LoginsaPeñaflor</v>
      </c>
    </row>
    <row r="87" spans="1:6" ht="15" customHeight="1" x14ac:dyDescent="0.35">
      <c r="A87" s="10" t="s">
        <v>29</v>
      </c>
      <c r="B87" s="10" t="s">
        <v>46</v>
      </c>
      <c r="C87" s="8">
        <v>146446</v>
      </c>
      <c r="D87" s="12">
        <v>29</v>
      </c>
      <c r="E87" s="13">
        <v>10000</v>
      </c>
      <c r="F87" s="9" t="str">
        <f t="shared" si="2"/>
        <v>LoginsaPeñalolén</v>
      </c>
    </row>
    <row r="88" spans="1:6" ht="15" customHeight="1" x14ac:dyDescent="0.35">
      <c r="A88" s="10" t="s">
        <v>29</v>
      </c>
      <c r="B88" s="10" t="s">
        <v>47</v>
      </c>
      <c r="C88" s="8">
        <v>143964</v>
      </c>
      <c r="D88" s="12">
        <v>39</v>
      </c>
      <c r="E88" s="13">
        <v>10000</v>
      </c>
      <c r="F88" s="9" t="str">
        <f t="shared" si="2"/>
        <v>LoginsaPirque</v>
      </c>
    </row>
    <row r="89" spans="1:6" ht="15" customHeight="1" x14ac:dyDescent="0.35">
      <c r="A89" s="10" t="s">
        <v>29</v>
      </c>
      <c r="B89" s="10" t="s">
        <v>48</v>
      </c>
      <c r="C89" s="8">
        <v>143964</v>
      </c>
      <c r="D89" s="12">
        <v>24</v>
      </c>
      <c r="E89" s="13">
        <v>10000</v>
      </c>
      <c r="F89" s="9" t="str">
        <f t="shared" si="2"/>
        <v>LoginsaProvidencia</v>
      </c>
    </row>
    <row r="90" spans="1:6" ht="15" customHeight="1" x14ac:dyDescent="0.35">
      <c r="A90" s="10" t="s">
        <v>29</v>
      </c>
      <c r="B90" s="10" t="s">
        <v>49</v>
      </c>
      <c r="C90" s="8">
        <v>143964</v>
      </c>
      <c r="D90" s="12">
        <v>29</v>
      </c>
      <c r="E90" s="13">
        <v>10000</v>
      </c>
      <c r="F90" s="9" t="str">
        <f t="shared" si="2"/>
        <v>LoginsaPudahuel</v>
      </c>
    </row>
    <row r="91" spans="1:6" ht="15" customHeight="1" x14ac:dyDescent="0.35">
      <c r="A91" s="10" t="s">
        <v>29</v>
      </c>
      <c r="B91" s="10" t="s">
        <v>50</v>
      </c>
      <c r="C91" s="8">
        <v>143964</v>
      </c>
      <c r="D91" s="12">
        <v>24</v>
      </c>
      <c r="E91" s="13">
        <v>10000</v>
      </c>
      <c r="F91" s="9" t="str">
        <f t="shared" si="2"/>
        <v>LoginsaQuinta Normal</v>
      </c>
    </row>
    <row r="92" spans="1:6" ht="15" customHeight="1" x14ac:dyDescent="0.35">
      <c r="A92" s="10" t="s">
        <v>29</v>
      </c>
      <c r="B92" s="10" t="s">
        <v>51</v>
      </c>
      <c r="C92" s="8">
        <v>143964</v>
      </c>
      <c r="D92" s="12">
        <v>26</v>
      </c>
      <c r="E92" s="13">
        <v>10000</v>
      </c>
      <c r="F92" s="9" t="str">
        <f t="shared" si="2"/>
        <v>LoginsaRenca</v>
      </c>
    </row>
    <row r="93" spans="1:6" ht="15" customHeight="1" x14ac:dyDescent="0.35">
      <c r="A93" s="10" t="s">
        <v>29</v>
      </c>
      <c r="B93" s="10" t="s">
        <v>52</v>
      </c>
      <c r="C93" s="8">
        <v>187114</v>
      </c>
      <c r="D93" s="12">
        <v>99</v>
      </c>
      <c r="E93" s="13">
        <v>30000</v>
      </c>
      <c r="F93" s="9" t="str">
        <f t="shared" si="2"/>
        <v>LoginsaSan Antonio</v>
      </c>
    </row>
    <row r="94" spans="1:6" ht="15" customHeight="1" x14ac:dyDescent="0.35">
      <c r="A94" s="10" t="s">
        <v>29</v>
      </c>
      <c r="B94" s="10" t="s">
        <v>53</v>
      </c>
      <c r="C94" s="8">
        <v>143964</v>
      </c>
      <c r="D94" s="12">
        <v>24</v>
      </c>
      <c r="E94" s="13">
        <v>10000</v>
      </c>
      <c r="F94" s="9" t="str">
        <f t="shared" si="2"/>
        <v>LoginsaSan Miguel</v>
      </c>
    </row>
    <row r="95" spans="1:6" ht="15" customHeight="1" x14ac:dyDescent="0.35">
      <c r="A95" s="10" t="s">
        <v>29</v>
      </c>
      <c r="B95" s="10" t="s">
        <v>54</v>
      </c>
      <c r="C95" s="8">
        <v>228356</v>
      </c>
      <c r="D95" s="12">
        <v>64</v>
      </c>
      <c r="E95" s="13">
        <v>10000</v>
      </c>
      <c r="F95" s="9" t="str">
        <f t="shared" si="2"/>
        <v>LoginsaSan Pedro</v>
      </c>
    </row>
    <row r="96" spans="1:6" ht="15" customHeight="1" x14ac:dyDescent="0.35">
      <c r="A96" s="10" t="s">
        <v>29</v>
      </c>
      <c r="B96" s="10" t="s">
        <v>55</v>
      </c>
      <c r="C96" s="8">
        <v>143964</v>
      </c>
      <c r="D96" s="12">
        <v>24</v>
      </c>
      <c r="E96" s="13">
        <v>10000</v>
      </c>
      <c r="F96" s="9" t="str">
        <f t="shared" si="2"/>
        <v>LoginsaSantiago</v>
      </c>
    </row>
    <row r="97" spans="1:6" ht="15" customHeight="1" x14ac:dyDescent="0.35">
      <c r="A97" s="10" t="s">
        <v>29</v>
      </c>
      <c r="B97" s="10" t="s">
        <v>56</v>
      </c>
      <c r="C97" s="8">
        <v>131553</v>
      </c>
      <c r="D97" s="12">
        <v>44</v>
      </c>
      <c r="E97" s="13">
        <v>10000</v>
      </c>
      <c r="F97" s="9" t="str">
        <f t="shared" si="2"/>
        <v>LoginsaTalagante</v>
      </c>
    </row>
    <row r="98" spans="1:6" ht="15" customHeight="1" x14ac:dyDescent="0.35">
      <c r="A98" s="10" t="s">
        <v>29</v>
      </c>
      <c r="B98" s="10" t="s">
        <v>57</v>
      </c>
      <c r="C98" s="8">
        <v>194847</v>
      </c>
      <c r="D98" s="12">
        <v>59</v>
      </c>
      <c r="E98" s="13">
        <v>10000</v>
      </c>
      <c r="F98" s="9" t="str">
        <f t="shared" ref="F98:F104" si="3">A98&amp;B98</f>
        <v>LoginsaTiltil</v>
      </c>
    </row>
    <row r="99" spans="1:6" ht="15" customHeight="1" x14ac:dyDescent="0.35">
      <c r="A99" s="10" t="s">
        <v>29</v>
      </c>
      <c r="B99" s="10" t="s">
        <v>58</v>
      </c>
      <c r="C99" s="8">
        <v>253941</v>
      </c>
      <c r="D99" s="12">
        <v>109</v>
      </c>
      <c r="E99" s="13">
        <v>30000</v>
      </c>
      <c r="F99" s="9" t="str">
        <f t="shared" si="3"/>
        <v>LoginsaViña del Mar</v>
      </c>
    </row>
    <row r="100" spans="1:6" ht="15" customHeight="1" x14ac:dyDescent="0.35">
      <c r="A100" s="10" t="s">
        <v>29</v>
      </c>
      <c r="B100" s="10" t="s">
        <v>59</v>
      </c>
      <c r="C100" s="8">
        <v>248213</v>
      </c>
      <c r="D100" s="12">
        <v>26</v>
      </c>
      <c r="E100" s="13">
        <v>10000</v>
      </c>
      <c r="F100" s="9" t="str">
        <f t="shared" si="3"/>
        <v>LoginsaVitacura</v>
      </c>
    </row>
    <row r="101" spans="1:6" ht="15" customHeight="1" x14ac:dyDescent="0.35">
      <c r="A101" s="7" t="s">
        <v>31</v>
      </c>
      <c r="B101" s="7" t="s">
        <v>24</v>
      </c>
      <c r="C101" s="8">
        <v>248213</v>
      </c>
      <c r="D101" s="7">
        <v>80</v>
      </c>
      <c r="E101" s="8">
        <v>27100</v>
      </c>
      <c r="F101" s="9" t="str">
        <f t="shared" si="3"/>
        <v>Llay LlayQuilicura</v>
      </c>
    </row>
    <row r="102" spans="1:6" ht="15" customHeight="1" x14ac:dyDescent="0.35">
      <c r="A102" s="7" t="s">
        <v>31</v>
      </c>
      <c r="B102" s="7" t="s">
        <v>25</v>
      </c>
      <c r="C102" s="8">
        <v>362763</v>
      </c>
      <c r="D102" s="7">
        <v>157</v>
      </c>
      <c r="E102" s="8">
        <v>35227</v>
      </c>
      <c r="F102" s="9" t="str">
        <f t="shared" si="3"/>
        <v>Llay LlayMelipilla</v>
      </c>
    </row>
    <row r="103" spans="1:6" ht="15" customHeight="1" x14ac:dyDescent="0.35">
      <c r="A103" s="7" t="s">
        <v>31</v>
      </c>
      <c r="B103" s="7" t="s">
        <v>26</v>
      </c>
      <c r="C103" s="8">
        <v>248213</v>
      </c>
      <c r="D103" s="7">
        <v>72</v>
      </c>
      <c r="E103" s="8">
        <v>21300</v>
      </c>
      <c r="F103" s="9" t="str">
        <f t="shared" si="3"/>
        <v>Llay LlayLampa</v>
      </c>
    </row>
    <row r="104" spans="1:6" ht="15" customHeight="1" x14ac:dyDescent="0.35">
      <c r="A104" s="7" t="s">
        <v>31</v>
      </c>
      <c r="B104" s="7" t="s">
        <v>27</v>
      </c>
      <c r="C104" s="8">
        <v>152746</v>
      </c>
      <c r="D104" s="7">
        <v>20</v>
      </c>
      <c r="E104" s="8">
        <v>0</v>
      </c>
      <c r="F104" s="9" t="str">
        <f t="shared" si="3"/>
        <v>Llay LlaySan Felipe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14" zoomScaleNormal="100" workbookViewId="0">
      <selection activeCell="A31" sqref="A31"/>
    </sheetView>
  </sheetViews>
  <sheetFormatPr baseColWidth="10" defaultColWidth="8.6328125" defaultRowHeight="14.5" x14ac:dyDescent="0.35"/>
  <cols>
    <col min="1" max="1" width="28" customWidth="1"/>
    <col min="2" max="2" width="16" customWidth="1"/>
  </cols>
  <sheetData>
    <row r="1" spans="1:4" ht="17.25" customHeight="1" x14ac:dyDescent="0.4">
      <c r="A1" s="35" t="s">
        <v>60</v>
      </c>
      <c r="B1" s="35"/>
      <c r="C1" s="35"/>
      <c r="D1" s="35"/>
    </row>
    <row r="2" spans="1:4" ht="15" customHeight="1" x14ac:dyDescent="0.35">
      <c r="A2" s="14" t="s">
        <v>61</v>
      </c>
      <c r="B2" s="15" t="s">
        <v>62</v>
      </c>
    </row>
    <row r="3" spans="1:4" ht="15" customHeight="1" x14ac:dyDescent="0.35">
      <c r="A3" s="14" t="s">
        <v>63</v>
      </c>
      <c r="B3" s="4" t="s">
        <v>23</v>
      </c>
    </row>
    <row r="4" spans="1:4" ht="15" customHeight="1" x14ac:dyDescent="0.35">
      <c r="A4" s="14" t="s">
        <v>64</v>
      </c>
      <c r="B4" s="4" t="s">
        <v>24</v>
      </c>
    </row>
    <row r="5" spans="1:4" ht="15" customHeight="1" x14ac:dyDescent="0.35">
      <c r="A5" s="14" t="s">
        <v>65</v>
      </c>
      <c r="B5" s="4" t="s">
        <v>31</v>
      </c>
    </row>
    <row r="6" spans="1:4" ht="15" customHeight="1" x14ac:dyDescent="0.35">
      <c r="A6" s="14" t="s">
        <v>66</v>
      </c>
      <c r="B6" s="4" t="s">
        <v>67</v>
      </c>
    </row>
    <row r="7" spans="1:4" ht="15" customHeight="1" x14ac:dyDescent="0.35">
      <c r="A7" s="14" t="s">
        <v>68</v>
      </c>
      <c r="B7" s="4" t="s">
        <v>67</v>
      </c>
    </row>
    <row r="9" spans="1:4" ht="15" customHeight="1" x14ac:dyDescent="0.35">
      <c r="A9" s="16" t="s">
        <v>69</v>
      </c>
    </row>
    <row r="10" spans="1:4" ht="15" customHeight="1" x14ac:dyDescent="0.35">
      <c r="A10" s="17" t="s">
        <v>70</v>
      </c>
      <c r="B10" s="18">
        <f>INDEX(T1_Locales!C:C,MATCH(B3&amp;B4,T1_Locales!F:F,0))*(1+Supuestos!$B$16)</f>
        <v>124107</v>
      </c>
    </row>
    <row r="11" spans="1:4" ht="15" customHeight="1" x14ac:dyDescent="0.35">
      <c r="A11" s="17" t="s">
        <v>71</v>
      </c>
      <c r="B11" s="19">
        <f>INDEX(T1_Locales!D:D,MATCH(B3&amp;B4,T1_Locales!F:F,0))</f>
        <v>40</v>
      </c>
    </row>
    <row r="12" spans="1:4" ht="15" customHeight="1" x14ac:dyDescent="0.35">
      <c r="A12" s="17" t="s">
        <v>72</v>
      </c>
      <c r="B12" s="18">
        <f>INDEX(T1_Locales!E:E,MATCH(B3&amp;B4,T1_Locales!F:F,0))</f>
        <v>10000</v>
      </c>
    </row>
    <row r="13" spans="1:4" ht="15" customHeight="1" x14ac:dyDescent="0.35">
      <c r="A13" s="17" t="s">
        <v>73</v>
      </c>
      <c r="B13" s="19">
        <f>IF(B5="Ninguno",0,INDEX(T2_Reposicionamiento!C:C,MATCH(IF(B4="Ninguno",B3,B4)&amp;B5,T2_Reposicionamiento!E:E,0)))</f>
        <v>80</v>
      </c>
    </row>
    <row r="14" spans="1:4" ht="15" customHeight="1" x14ac:dyDescent="0.35">
      <c r="A14" s="17" t="s">
        <v>74</v>
      </c>
      <c r="B14" s="18">
        <f>IF(B5="Ninguno",0,INDEX(T2_Reposicionamiento!D:D,MATCH(IF(B4="Ninguno",B3,B4)&amp;B5,T2_Reposicionamiento!E:E,0)))</f>
        <v>27100</v>
      </c>
    </row>
    <row r="15" spans="1:4" ht="15" customHeight="1" x14ac:dyDescent="0.35">
      <c r="A15" s="17" t="s">
        <v>75</v>
      </c>
      <c r="B15" s="18">
        <f>INDEX(T3_DestinosSur!C:C,MATCH(IF(B5="Ninguno",B3,B5)&amp;B6,T3_DestinosSur!F:F,0))*(1+Supuestos!$B$16)</f>
        <v>602251</v>
      </c>
    </row>
    <row r="16" spans="1:4" ht="15" customHeight="1" x14ac:dyDescent="0.35">
      <c r="A16" s="17" t="s">
        <v>76</v>
      </c>
      <c r="B16" s="19">
        <f>INDEX(T3_DestinosSur!D:D,MATCH(IF(B5="Ninguno",B3,B5)&amp;B6,T3_DestinosSur!F:F,0))</f>
        <v>345</v>
      </c>
    </row>
    <row r="17" spans="1:2" ht="15" customHeight="1" x14ac:dyDescent="0.35">
      <c r="A17" s="17" t="s">
        <v>77</v>
      </c>
      <c r="B17" s="19" t="str">
        <f>INDEX(T3_DestinosSur!E:E,MATCH(IF(B5="Ninguno",B3,B5)&amp;B6,T3_DestinosSur!F:F,0))</f>
        <v>Larga</v>
      </c>
    </row>
    <row r="18" spans="1:2" ht="15" customHeight="1" x14ac:dyDescent="0.35">
      <c r="A18" s="17" t="s">
        <v>78</v>
      </c>
      <c r="B18" s="18">
        <f>IF(B17="Corta",Supuestos!$B$13,Supuestos!$B$14)</f>
        <v>52772</v>
      </c>
    </row>
    <row r="19" spans="1:2" ht="15" customHeight="1" x14ac:dyDescent="0.35">
      <c r="A19" s="17" t="s">
        <v>79</v>
      </c>
      <c r="B19" s="19">
        <f>IF(B7="Ninguno",B16,VLOOKUP(B7,T4_Retornos!A:C,2,0))</f>
        <v>250</v>
      </c>
    </row>
    <row r="20" spans="1:2" ht="15" customHeight="1" x14ac:dyDescent="0.35">
      <c r="A20" s="17" t="s">
        <v>80</v>
      </c>
      <c r="B20" s="18">
        <f>IF(B7="Ninguno",0,VLOOKUP(B7,T4_Retornos!A:C,3,0)*(1+Supuestos!$B$16))</f>
        <v>490698</v>
      </c>
    </row>
    <row r="21" spans="1:2" ht="15" customHeight="1" x14ac:dyDescent="0.35">
      <c r="A21" s="17" t="s">
        <v>81</v>
      </c>
      <c r="B21" s="18">
        <f>IF(B7="Ninguno",B18,IF(B19&lt;Supuestos!$B$15,Supuestos!$B$13,Supuestos!$B$14))</f>
        <v>52772</v>
      </c>
    </row>
    <row r="23" spans="1:2" ht="15" customHeight="1" x14ac:dyDescent="0.35">
      <c r="A23" s="20" t="s">
        <v>82</v>
      </c>
    </row>
    <row r="24" spans="1:2" ht="15" customHeight="1" x14ac:dyDescent="0.35">
      <c r="A24" s="14" t="s">
        <v>83</v>
      </c>
      <c r="B24" s="21">
        <f>B11+B13+B16+B19</f>
        <v>715</v>
      </c>
    </row>
    <row r="25" spans="1:2" ht="15" customHeight="1" x14ac:dyDescent="0.35">
      <c r="A25" s="14" t="s">
        <v>84</v>
      </c>
      <c r="B25" s="22">
        <f>1+IF(((B16+B19)/85+MAX(0,ROUNDUP(((B16+B19)/85)/5,0)-1)*2+4)&lt;=8,0,ROUNDUP(((((B16+B19)/85)+MAX(0,ROUNDUP(((B16+B19)/85)/5,0)-1)*2+4)-8)/12,0))</f>
        <v>2</v>
      </c>
    </row>
    <row r="26" spans="1:2" ht="15" customHeight="1" x14ac:dyDescent="0.35">
      <c r="A26" s="14" t="s">
        <v>85</v>
      </c>
      <c r="B26" s="23">
        <f>B10+B15+B20*Supuestos!$B$12</f>
        <v>1020776.8</v>
      </c>
    </row>
    <row r="27" spans="1:2" ht="15" customHeight="1" x14ac:dyDescent="0.35">
      <c r="A27" s="14" t="s">
        <v>86</v>
      </c>
      <c r="B27" s="23">
        <f>(Supuestos!$B$4/Supuestos!$B$3)*B24+Supuestos!$B$5*B24+Supuestos!$B$6*B25+B12+B14+B18+B21+B26*Supuestos!$B$10</f>
        <v>579375.19400000002</v>
      </c>
    </row>
    <row r="28" spans="1:2" ht="15" customHeight="1" x14ac:dyDescent="0.35">
      <c r="A28" s="14" t="s">
        <v>87</v>
      </c>
      <c r="B28" s="23">
        <f>B26-B27</f>
        <v>441401.60600000003</v>
      </c>
    </row>
    <row r="29" spans="1:2" ht="15" customHeight="1" x14ac:dyDescent="0.35">
      <c r="A29" s="14" t="s">
        <v>88</v>
      </c>
      <c r="B29" s="23">
        <f>Supuestos!$B$7*B25+Supuestos!$B$8*B25+Supuestos!$B$9*B25</f>
        <v>162000</v>
      </c>
    </row>
    <row r="30" spans="1:2" ht="15" customHeight="1" x14ac:dyDescent="0.35">
      <c r="A30" s="14" t="s">
        <v>89</v>
      </c>
      <c r="B30" s="23">
        <f>B28-B29</f>
        <v>279401.60600000003</v>
      </c>
    </row>
    <row r="31" spans="1:2" ht="15" customHeight="1" x14ac:dyDescent="0.35">
      <c r="A31" s="14" t="s">
        <v>90</v>
      </c>
      <c r="B31" s="23">
        <f>B26*Supuestos!$B$11</f>
        <v>15311.652</v>
      </c>
    </row>
    <row r="32" spans="1:2" ht="15" customHeight="1" x14ac:dyDescent="0.35">
      <c r="A32" s="14" t="s">
        <v>91</v>
      </c>
      <c r="B32" s="23">
        <f>B30-B31</f>
        <v>264089.95400000003</v>
      </c>
    </row>
    <row r="33" spans="1:2" ht="15" customHeight="1" x14ac:dyDescent="0.35">
      <c r="A33" s="14" t="s">
        <v>92</v>
      </c>
      <c r="B33" s="24">
        <f>IF(B26=0,0,B32/B26)</f>
        <v>0.25871469061600932</v>
      </c>
    </row>
  </sheetData>
  <mergeCells count="1">
    <mergeCell ref="A1:D1"/>
  </mergeCells>
  <dataValidations count="2">
    <dataValidation type="list" sqref="B3" xr:uid="{00000000-0002-0000-0200-000000000000}">
      <formula1>"Padre Hurtado,San Bernardo,Loginsa,Llay Llay"</formula1>
      <formula2>0</formula2>
    </dataValidation>
    <dataValidation type="list" sqref="B5" xr:uid="{00000000-0002-0000-0200-000001000000}">
      <formula1>"Llay Llay,San Bernardo,Loginsa,Padre Hurtado,Ninguno"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2000000}">
          <x14:formula1>
            <xm:f>T1_Locales!$B$2:$B$104</xm:f>
          </x14:formula1>
          <x14:formula2>
            <xm:f>0</xm:f>
          </x14:formula2>
          <xm:sqref>B4</xm:sqref>
        </x14:dataValidation>
        <x14:dataValidation type="list" xr:uid="{00000000-0002-0000-0200-000003000000}">
          <x14:formula1>
            <xm:f>T3_DestinosSur!$B$2:$B$97</xm:f>
          </x14:formula1>
          <x14:formula2>
            <xm:f>0</xm:f>
          </x14:formula2>
          <xm:sqref>B6</xm:sqref>
        </x14:dataValidation>
        <x14:dataValidation type="list" xr:uid="{00000000-0002-0000-0200-000004000000}">
          <x14:formula1>
            <xm:f>T4_Retornos!$A$2:$A$26</xm:f>
          </x14:formula1>
          <x14:formula2>
            <xm:f>0</xm:f>
          </x14:formula2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"/>
  <sheetViews>
    <sheetView zoomScaleNormal="100" workbookViewId="0"/>
  </sheetViews>
  <sheetFormatPr baseColWidth="10" defaultColWidth="8.6328125" defaultRowHeight="14.5" x14ac:dyDescent="0.35"/>
  <cols>
    <col min="1" max="28" width="13" customWidth="1"/>
  </cols>
  <sheetData>
    <row r="1" spans="1:28" ht="17.25" customHeight="1" x14ac:dyDescent="0.4">
      <c r="A1" s="1" t="s">
        <v>93</v>
      </c>
    </row>
    <row r="3" spans="1:28" ht="15" customHeight="1" x14ac:dyDescent="0.35">
      <c r="A3" s="25" t="s">
        <v>94</v>
      </c>
      <c r="B3" s="25" t="s">
        <v>17</v>
      </c>
      <c r="C3" s="25" t="s">
        <v>95</v>
      </c>
      <c r="D3" s="25" t="s">
        <v>96</v>
      </c>
      <c r="E3" s="25" t="s">
        <v>97</v>
      </c>
      <c r="F3" s="25" t="s">
        <v>98</v>
      </c>
      <c r="G3" s="25" t="s">
        <v>99</v>
      </c>
      <c r="H3" s="25" t="s">
        <v>100</v>
      </c>
      <c r="I3" s="25" t="s">
        <v>101</v>
      </c>
      <c r="J3" s="25" t="s">
        <v>102</v>
      </c>
      <c r="K3" s="25" t="s">
        <v>103</v>
      </c>
      <c r="L3" s="25" t="s">
        <v>104</v>
      </c>
      <c r="M3" s="25" t="s">
        <v>105</v>
      </c>
      <c r="N3" s="25" t="s">
        <v>106</v>
      </c>
      <c r="O3" s="25" t="s">
        <v>107</v>
      </c>
      <c r="P3" s="25" t="s">
        <v>108</v>
      </c>
      <c r="Q3" s="25" t="s">
        <v>109</v>
      </c>
      <c r="R3" s="25" t="s">
        <v>110</v>
      </c>
      <c r="S3" s="25" t="s">
        <v>111</v>
      </c>
      <c r="T3" s="25" t="s">
        <v>112</v>
      </c>
      <c r="U3" s="25" t="s">
        <v>113</v>
      </c>
      <c r="V3" s="25" t="s">
        <v>114</v>
      </c>
      <c r="W3" s="25" t="s">
        <v>115</v>
      </c>
      <c r="X3" s="25" t="s">
        <v>116</v>
      </c>
      <c r="Y3" s="25" t="s">
        <v>117</v>
      </c>
      <c r="Z3" s="25" t="s">
        <v>118</v>
      </c>
      <c r="AA3" s="25" t="s">
        <v>119</v>
      </c>
      <c r="AB3" s="25" t="s">
        <v>120</v>
      </c>
    </row>
    <row r="4" spans="1:28" ht="15" customHeight="1" x14ac:dyDescent="0.35">
      <c r="A4" s="26" t="s">
        <v>62</v>
      </c>
      <c r="B4" s="4" t="s">
        <v>23</v>
      </c>
      <c r="C4" s="4" t="s">
        <v>24</v>
      </c>
      <c r="D4" s="4" t="s">
        <v>31</v>
      </c>
      <c r="E4" s="4" t="s">
        <v>67</v>
      </c>
      <c r="F4" s="4" t="s">
        <v>67</v>
      </c>
      <c r="G4" s="18">
        <f>INDEX(T1_Locales!C:C,MATCH(B4&amp;C4,T1_Locales!F:F,0))*(1+Supuestos!$B$16)</f>
        <v>124107</v>
      </c>
      <c r="H4" s="19">
        <f>INDEX(T1_Locales!D:D,MATCH(B4&amp;C4,T1_Locales!F:F,0))</f>
        <v>40</v>
      </c>
      <c r="I4" s="18">
        <f>INDEX(T1_Locales!E:E,MATCH(B4&amp;C4,T1_Locales!F:F,0))</f>
        <v>10000</v>
      </c>
      <c r="J4" s="19">
        <f>IF(D4="Ninguno",0,INDEX(T2_Reposicionamiento!C:C,MATCH(IF(C4="Ninguno",B4,C4)&amp;D4,T2_Reposicionamiento!E:E,0)))</f>
        <v>80</v>
      </c>
      <c r="K4" s="18">
        <f>IF(D4="Ninguno",0,INDEX(T2_Reposicionamiento!D:D,MATCH(IF(C4="Ninguno",B4,C4)&amp;D4,T2_Reposicionamiento!E:E,0)))</f>
        <v>27100</v>
      </c>
      <c r="L4" s="18">
        <f>INDEX(T3_DestinosSur!C:C,MATCH(IF(D4="Ninguno",B4,D4)&amp;E4,T3_DestinosSur!F:F,0))*(1+Supuestos!$B$16)</f>
        <v>602251</v>
      </c>
      <c r="M4" s="19">
        <f>INDEX(T3_DestinosSur!D:D,MATCH(IF(D4="Ninguno",B4,D4)&amp;E4,T3_DestinosSur!F:F,0))</f>
        <v>345</v>
      </c>
      <c r="N4" s="19" t="str">
        <f>INDEX(T3_DestinosSur!E:E,MATCH(IF(D4="Ninguno",B4,D4)&amp;E4,T3_DestinosSur!F:F,0))</f>
        <v>Larga</v>
      </c>
      <c r="O4" s="18">
        <f>IF(N4="Corta",Supuestos!$B$13,Supuestos!$B$14)</f>
        <v>52772</v>
      </c>
      <c r="P4" s="19">
        <f>IF(F4="Ninguno",M4,VLOOKUP(F4,T4_Retornos!A:C,2,0))</f>
        <v>250</v>
      </c>
      <c r="Q4" s="18">
        <f>IF(F4="Ninguno",0,VLOOKUP(F4,T4_Retornos!A:C,3,0)*(1+Supuestos!$B$16))</f>
        <v>490698</v>
      </c>
      <c r="R4" s="18">
        <f>IF(F4="Ninguno",O4,IF(P4&lt;Supuestos!$B$15,Supuestos!$B$13,Supuestos!$B$14))</f>
        <v>52772</v>
      </c>
      <c r="S4" s="19">
        <f>H4+J4+M4+P4</f>
        <v>715</v>
      </c>
      <c r="T4" s="19">
        <f>1+IF(((M4+P4)/85+MAX(0,ROUNDUP(((M4+P4)/85)/5,0)-1)*2+4)&lt;=8,0,ROUNDUP(((((M4+P4)/85)+MAX(0,ROUNDUP(((M4+P4)/85)/5,0)-1)*2+4)-8)/12,0))</f>
        <v>2</v>
      </c>
      <c r="U4" s="18">
        <f>G4+L4+Q4*Supuestos!$B$12</f>
        <v>1020776.8</v>
      </c>
      <c r="V4" s="18">
        <f>(Supuestos!$B$4/Supuestos!$B$3)*S4+Supuestos!$B$5*S4+Supuestos!$B$6*T4+I4+K4+O4+R4+U4*Supuestos!$B$10</f>
        <v>579375.19400000002</v>
      </c>
      <c r="W4" s="27">
        <f>U4-V4</f>
        <v>441401.60600000003</v>
      </c>
      <c r="X4" s="18">
        <f>Supuestos!$B$7*T4+Supuestos!$B$8*T4+Supuestos!$B$9*T4</f>
        <v>162000</v>
      </c>
      <c r="Y4" s="27">
        <f>W4-X4</f>
        <v>279401.60600000003</v>
      </c>
      <c r="Z4" s="18">
        <f>U4*Supuestos!$B$11</f>
        <v>15311.652</v>
      </c>
      <c r="AA4" s="27">
        <f>Y4-Z4</f>
        <v>264089.95400000003</v>
      </c>
      <c r="AB4" s="28">
        <f>IF(U4=0,0,AA4/U4)</f>
        <v>0.25871469061600932</v>
      </c>
    </row>
  </sheetData>
  <dataValidations count="2">
    <dataValidation type="list" sqref="B4" xr:uid="{00000000-0002-0000-0300-000000000000}">
      <formula1>"Padre Hurtado,San Bernardo,Loginsa,Llay Llay"</formula1>
      <formula2>0</formula2>
    </dataValidation>
    <dataValidation type="list" sqref="D4" xr:uid="{00000000-0002-0000-0300-000001000000}">
      <formula1>"Llay Llay,San Bernardo,Loginsa,Padre Hurtado,Ninguno"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2000000}">
          <x14:formula1>
            <xm:f>T1_Locales!$B$2:$B$104</xm:f>
          </x14:formula1>
          <x14:formula2>
            <xm:f>0</xm:f>
          </x14:formula2>
          <xm:sqref>C4</xm:sqref>
        </x14:dataValidation>
        <x14:dataValidation type="list" xr:uid="{00000000-0002-0000-0300-000003000000}">
          <x14:formula1>
            <xm:f>T3_DestinosSur!$B$2:$B$97</xm:f>
          </x14:formula1>
          <x14:formula2>
            <xm:f>0</xm:f>
          </x14:formula2>
          <xm:sqref>E4</xm:sqref>
        </x14:dataValidation>
        <x14:dataValidation type="list" xr:uid="{00000000-0002-0000-0300-000004000000}">
          <x14:formula1>
            <xm:f>T4_Retornos!$A$2:$A$26</xm:f>
          </x14:formula1>
          <x14:formula2>
            <xm:f>0</xm:f>
          </x14:formula2>
          <xm:sqref>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9"/>
  <sheetViews>
    <sheetView zoomScaleNormal="100" workbookViewId="0"/>
  </sheetViews>
  <sheetFormatPr baseColWidth="10" defaultColWidth="8.6328125" defaultRowHeight="14.5" x14ac:dyDescent="0.35"/>
  <cols>
    <col min="1" max="1" width="14" customWidth="1"/>
    <col min="2" max="2" width="16" customWidth="1"/>
    <col min="3" max="3" width="8" customWidth="1"/>
    <col min="4" max="4" width="12" customWidth="1"/>
  </cols>
  <sheetData>
    <row r="1" spans="1:5" ht="15" customHeight="1" x14ac:dyDescent="0.35">
      <c r="A1" s="3" t="s">
        <v>18</v>
      </c>
      <c r="B1" s="3" t="s">
        <v>96</v>
      </c>
      <c r="C1" s="3" t="s">
        <v>20</v>
      </c>
      <c r="D1" s="3" t="s">
        <v>21</v>
      </c>
      <c r="E1" s="25" t="s">
        <v>22</v>
      </c>
    </row>
    <row r="2" spans="1:5" ht="15" customHeight="1" x14ac:dyDescent="0.35">
      <c r="A2" s="7" t="s">
        <v>24</v>
      </c>
      <c r="B2" s="7" t="s">
        <v>31</v>
      </c>
      <c r="C2" s="7">
        <v>80</v>
      </c>
      <c r="D2" s="8">
        <v>27100</v>
      </c>
      <c r="E2" t="str">
        <f t="shared" ref="E2:E33" si="0">A2&amp;B2</f>
        <v>QuilicuraLlay Llay</v>
      </c>
    </row>
    <row r="3" spans="1:5" ht="15" customHeight="1" x14ac:dyDescent="0.35">
      <c r="A3" s="7" t="s">
        <v>24</v>
      </c>
      <c r="B3" s="7" t="s">
        <v>28</v>
      </c>
      <c r="C3" s="7">
        <v>32</v>
      </c>
      <c r="D3" s="8">
        <v>10000</v>
      </c>
      <c r="E3" t="str">
        <f t="shared" si="0"/>
        <v>QuilicuraSan Bernardo</v>
      </c>
    </row>
    <row r="4" spans="1:5" ht="15" customHeight="1" x14ac:dyDescent="0.35">
      <c r="A4" s="7" t="s">
        <v>24</v>
      </c>
      <c r="B4" s="7" t="s">
        <v>29</v>
      </c>
      <c r="C4" s="7">
        <v>5</v>
      </c>
      <c r="D4" s="8">
        <v>0</v>
      </c>
      <c r="E4" t="str">
        <f t="shared" si="0"/>
        <v>QuilicuraLoginsa</v>
      </c>
    </row>
    <row r="5" spans="1:5" ht="15" customHeight="1" x14ac:dyDescent="0.35">
      <c r="A5" s="7" t="s">
        <v>24</v>
      </c>
      <c r="B5" s="7" t="s">
        <v>23</v>
      </c>
      <c r="C5" s="7">
        <v>40</v>
      </c>
      <c r="D5" s="8">
        <v>10000</v>
      </c>
      <c r="E5" t="str">
        <f t="shared" si="0"/>
        <v>QuilicuraPadre Hurtado</v>
      </c>
    </row>
    <row r="6" spans="1:5" ht="15" customHeight="1" x14ac:dyDescent="0.35">
      <c r="A6" s="7" t="s">
        <v>25</v>
      </c>
      <c r="B6" s="7" t="s">
        <v>31</v>
      </c>
      <c r="C6" s="7">
        <v>157</v>
      </c>
      <c r="D6" s="8">
        <v>35227</v>
      </c>
      <c r="E6" t="str">
        <f t="shared" si="0"/>
        <v>MelipillaLlay Llay</v>
      </c>
    </row>
    <row r="7" spans="1:5" ht="15" customHeight="1" x14ac:dyDescent="0.35">
      <c r="A7" s="7" t="s">
        <v>25</v>
      </c>
      <c r="B7" s="7" t="s">
        <v>28</v>
      </c>
      <c r="C7" s="12">
        <v>60</v>
      </c>
      <c r="D7" s="13">
        <v>10000</v>
      </c>
      <c r="E7" t="str">
        <f t="shared" si="0"/>
        <v>MelipillaSan Bernardo</v>
      </c>
    </row>
    <row r="8" spans="1:5" ht="15" customHeight="1" x14ac:dyDescent="0.35">
      <c r="A8" s="7" t="s">
        <v>25</v>
      </c>
      <c r="B8" s="7" t="s">
        <v>29</v>
      </c>
      <c r="C8" s="12">
        <v>55</v>
      </c>
      <c r="D8" s="13">
        <v>10000</v>
      </c>
      <c r="E8" t="str">
        <f t="shared" si="0"/>
        <v>MelipillaLoginsa</v>
      </c>
    </row>
    <row r="9" spans="1:5" ht="15" customHeight="1" x14ac:dyDescent="0.35">
      <c r="A9" s="7" t="s">
        <v>25</v>
      </c>
      <c r="B9" s="7" t="s">
        <v>23</v>
      </c>
      <c r="C9" s="12">
        <v>50</v>
      </c>
      <c r="D9" s="13">
        <v>13000</v>
      </c>
      <c r="E9" t="str">
        <f t="shared" si="0"/>
        <v>MelipillaPadre Hurtado</v>
      </c>
    </row>
    <row r="10" spans="1:5" ht="15" customHeight="1" x14ac:dyDescent="0.35">
      <c r="A10" s="7" t="s">
        <v>26</v>
      </c>
      <c r="B10" s="7" t="s">
        <v>31</v>
      </c>
      <c r="C10" s="7">
        <v>72</v>
      </c>
      <c r="D10" s="8">
        <v>21300</v>
      </c>
      <c r="E10" t="str">
        <f t="shared" si="0"/>
        <v>LampaLlay Llay</v>
      </c>
    </row>
    <row r="11" spans="1:5" ht="15" customHeight="1" x14ac:dyDescent="0.35">
      <c r="A11" s="7" t="s">
        <v>26</v>
      </c>
      <c r="B11" s="7" t="s">
        <v>28</v>
      </c>
      <c r="C11" s="12">
        <v>45</v>
      </c>
      <c r="D11" s="13">
        <v>10000</v>
      </c>
      <c r="E11" t="str">
        <f t="shared" si="0"/>
        <v>LampaSan Bernardo</v>
      </c>
    </row>
    <row r="12" spans="1:5" ht="15" customHeight="1" x14ac:dyDescent="0.35">
      <c r="A12" s="7" t="s">
        <v>26</v>
      </c>
      <c r="B12" s="7" t="s">
        <v>29</v>
      </c>
      <c r="C12" s="12">
        <v>43</v>
      </c>
      <c r="D12" s="13">
        <v>10000</v>
      </c>
      <c r="E12" t="str">
        <f t="shared" si="0"/>
        <v>LampaLoginsa</v>
      </c>
    </row>
    <row r="13" spans="1:5" ht="15" customHeight="1" x14ac:dyDescent="0.35">
      <c r="A13" s="7" t="s">
        <v>26</v>
      </c>
      <c r="B13" s="7" t="s">
        <v>23</v>
      </c>
      <c r="C13" s="12">
        <v>46</v>
      </c>
      <c r="D13" s="13">
        <v>13000</v>
      </c>
      <c r="E13" t="str">
        <f t="shared" si="0"/>
        <v>LampaPadre Hurtado</v>
      </c>
    </row>
    <row r="14" spans="1:5" ht="15" customHeight="1" x14ac:dyDescent="0.35">
      <c r="A14" s="7" t="s">
        <v>27</v>
      </c>
      <c r="B14" s="7" t="s">
        <v>31</v>
      </c>
      <c r="C14" s="7">
        <v>20</v>
      </c>
      <c r="D14" s="8">
        <v>0</v>
      </c>
      <c r="E14" t="str">
        <f t="shared" si="0"/>
        <v>San FelipeLlay Llay</v>
      </c>
    </row>
    <row r="15" spans="1:5" ht="15" customHeight="1" x14ac:dyDescent="0.35">
      <c r="A15" s="29" t="s">
        <v>27</v>
      </c>
      <c r="B15" s="29" t="s">
        <v>28</v>
      </c>
      <c r="C15" s="30">
        <v>111</v>
      </c>
      <c r="D15" s="31">
        <v>24600</v>
      </c>
      <c r="E15" t="str">
        <f t="shared" si="0"/>
        <v>San FelipeSan Bernardo</v>
      </c>
    </row>
    <row r="16" spans="1:5" ht="15" customHeight="1" x14ac:dyDescent="0.35">
      <c r="A16" s="29" t="s">
        <v>27</v>
      </c>
      <c r="B16" s="29" t="s">
        <v>29</v>
      </c>
      <c r="C16" s="31">
        <v>130</v>
      </c>
      <c r="D16" s="31">
        <v>24600</v>
      </c>
      <c r="E16" t="str">
        <f t="shared" si="0"/>
        <v>San FelipeLoginsa</v>
      </c>
    </row>
    <row r="17" spans="1:5" ht="15" customHeight="1" x14ac:dyDescent="0.35">
      <c r="A17" s="29" t="s">
        <v>27</v>
      </c>
      <c r="B17" s="29" t="s">
        <v>23</v>
      </c>
      <c r="C17" s="31">
        <v>133</v>
      </c>
      <c r="D17" s="31">
        <v>24600</v>
      </c>
      <c r="E17" t="str">
        <f t="shared" si="0"/>
        <v>San FelipePadre Hurtado</v>
      </c>
    </row>
    <row r="18" spans="1:5" ht="15" customHeight="1" x14ac:dyDescent="0.35">
      <c r="A18" s="10" t="s">
        <v>32</v>
      </c>
      <c r="B18" s="10" t="s">
        <v>31</v>
      </c>
      <c r="C18" s="12">
        <v>140</v>
      </c>
      <c r="D18" s="13">
        <v>25000</v>
      </c>
      <c r="E18" s="9" t="str">
        <f t="shared" si="0"/>
        <v>Alto JahuelLlay Llay</v>
      </c>
    </row>
    <row r="19" spans="1:5" ht="15" customHeight="1" x14ac:dyDescent="0.35">
      <c r="A19" s="10" t="s">
        <v>32</v>
      </c>
      <c r="B19" s="10" t="s">
        <v>28</v>
      </c>
      <c r="C19" s="12">
        <v>41</v>
      </c>
      <c r="D19" s="13">
        <v>10000</v>
      </c>
      <c r="E19" s="9" t="str">
        <f t="shared" si="0"/>
        <v>Alto JahuelSan Bernardo</v>
      </c>
    </row>
    <row r="20" spans="1:5" ht="15" customHeight="1" x14ac:dyDescent="0.35">
      <c r="A20" s="10" t="s">
        <v>32</v>
      </c>
      <c r="B20" s="10" t="s">
        <v>29</v>
      </c>
      <c r="C20" s="12">
        <v>49</v>
      </c>
      <c r="D20" s="13">
        <v>10000</v>
      </c>
      <c r="E20" s="9" t="str">
        <f t="shared" si="0"/>
        <v>Alto JahuelLoginsa</v>
      </c>
    </row>
    <row r="21" spans="1:5" ht="15" customHeight="1" x14ac:dyDescent="0.35">
      <c r="A21" s="10" t="s">
        <v>32</v>
      </c>
      <c r="B21" s="10" t="s">
        <v>23</v>
      </c>
      <c r="C21" s="12">
        <v>45</v>
      </c>
      <c r="D21" s="13">
        <v>10000</v>
      </c>
      <c r="E21" s="9" t="str">
        <f t="shared" si="0"/>
        <v>Alto JahuelPadre Hurtado</v>
      </c>
    </row>
    <row r="22" spans="1:5" ht="15" customHeight="1" x14ac:dyDescent="0.35">
      <c r="A22" s="10" t="s">
        <v>33</v>
      </c>
      <c r="B22" s="10" t="s">
        <v>31</v>
      </c>
      <c r="C22" s="12">
        <v>137</v>
      </c>
      <c r="D22" s="13">
        <v>25000</v>
      </c>
      <c r="E22" s="9" t="str">
        <f t="shared" si="0"/>
        <v>BuinLlay Llay</v>
      </c>
    </row>
    <row r="23" spans="1:5" ht="15" customHeight="1" x14ac:dyDescent="0.35">
      <c r="A23" s="10" t="s">
        <v>33</v>
      </c>
      <c r="B23" s="10" t="s">
        <v>28</v>
      </c>
      <c r="C23" s="12">
        <v>38</v>
      </c>
      <c r="D23" s="13">
        <v>10000</v>
      </c>
      <c r="E23" s="9" t="str">
        <f t="shared" si="0"/>
        <v>BuinSan Bernardo</v>
      </c>
    </row>
    <row r="24" spans="1:5" ht="15" customHeight="1" x14ac:dyDescent="0.35">
      <c r="A24" s="10" t="s">
        <v>33</v>
      </c>
      <c r="B24" s="10" t="s">
        <v>29</v>
      </c>
      <c r="C24" s="12">
        <v>46</v>
      </c>
      <c r="D24" s="13">
        <v>10000</v>
      </c>
      <c r="E24" s="9" t="str">
        <f t="shared" si="0"/>
        <v>BuinLoginsa</v>
      </c>
    </row>
    <row r="25" spans="1:5" ht="15" customHeight="1" x14ac:dyDescent="0.35">
      <c r="A25" s="10" t="s">
        <v>33</v>
      </c>
      <c r="B25" s="10" t="s">
        <v>23</v>
      </c>
      <c r="C25" s="12">
        <v>42</v>
      </c>
      <c r="D25" s="13">
        <v>10000</v>
      </c>
      <c r="E25" s="9" t="str">
        <f t="shared" si="0"/>
        <v>BuinPadre Hurtado</v>
      </c>
    </row>
    <row r="26" spans="1:5" ht="15" customHeight="1" x14ac:dyDescent="0.35">
      <c r="A26" s="10" t="s">
        <v>34</v>
      </c>
      <c r="B26" s="10" t="s">
        <v>31</v>
      </c>
      <c r="C26" s="12">
        <v>170</v>
      </c>
      <c r="D26" s="13">
        <v>25000</v>
      </c>
      <c r="E26" s="9" t="str">
        <f t="shared" si="0"/>
        <v>CasablancaLlay Llay</v>
      </c>
    </row>
    <row r="27" spans="1:5" ht="15" customHeight="1" x14ac:dyDescent="0.35">
      <c r="A27" s="10" t="s">
        <v>34</v>
      </c>
      <c r="B27" s="10" t="s">
        <v>28</v>
      </c>
      <c r="C27" s="12">
        <v>71</v>
      </c>
      <c r="D27" s="13">
        <v>10000</v>
      </c>
      <c r="E27" s="9" t="str">
        <f t="shared" si="0"/>
        <v>CasablancaSan Bernardo</v>
      </c>
    </row>
    <row r="28" spans="1:5" ht="15" customHeight="1" x14ac:dyDescent="0.35">
      <c r="A28" s="10" t="s">
        <v>34</v>
      </c>
      <c r="B28" s="10" t="s">
        <v>29</v>
      </c>
      <c r="C28" s="12">
        <v>79</v>
      </c>
      <c r="D28" s="13">
        <v>10000</v>
      </c>
      <c r="E28" s="9" t="str">
        <f t="shared" si="0"/>
        <v>CasablancaLoginsa</v>
      </c>
    </row>
    <row r="29" spans="1:5" ht="15" customHeight="1" x14ac:dyDescent="0.35">
      <c r="A29" s="10" t="s">
        <v>34</v>
      </c>
      <c r="B29" s="10" t="s">
        <v>23</v>
      </c>
      <c r="C29" s="12">
        <v>75</v>
      </c>
      <c r="D29" s="13">
        <v>10000</v>
      </c>
      <c r="E29" s="9" t="str">
        <f t="shared" si="0"/>
        <v>CasablancaPadre Hurtado</v>
      </c>
    </row>
    <row r="30" spans="1:5" ht="15" customHeight="1" x14ac:dyDescent="0.35">
      <c r="A30" s="10" t="s">
        <v>35</v>
      </c>
      <c r="B30" s="10" t="s">
        <v>31</v>
      </c>
      <c r="C30" s="12">
        <v>120</v>
      </c>
      <c r="D30" s="13">
        <v>25000</v>
      </c>
      <c r="E30" s="9" t="str">
        <f t="shared" si="0"/>
        <v>CerrillosLlay Llay</v>
      </c>
    </row>
    <row r="31" spans="1:5" ht="15" customHeight="1" x14ac:dyDescent="0.35">
      <c r="A31" s="10" t="s">
        <v>35</v>
      </c>
      <c r="B31" s="10" t="s">
        <v>28</v>
      </c>
      <c r="C31" s="12">
        <v>21</v>
      </c>
      <c r="D31" s="13">
        <v>10000</v>
      </c>
      <c r="E31" s="9" t="str">
        <f t="shared" si="0"/>
        <v>CerrillosSan Bernardo</v>
      </c>
    </row>
    <row r="32" spans="1:5" ht="15" customHeight="1" x14ac:dyDescent="0.35">
      <c r="A32" s="10" t="s">
        <v>35</v>
      </c>
      <c r="B32" s="10" t="s">
        <v>29</v>
      </c>
      <c r="C32" s="12">
        <v>29</v>
      </c>
      <c r="D32" s="13">
        <v>10000</v>
      </c>
      <c r="E32" s="9" t="str">
        <f t="shared" si="0"/>
        <v>CerrillosLoginsa</v>
      </c>
    </row>
    <row r="33" spans="1:5" ht="15" customHeight="1" x14ac:dyDescent="0.35">
      <c r="A33" s="10" t="s">
        <v>35</v>
      </c>
      <c r="B33" s="10" t="s">
        <v>23</v>
      </c>
      <c r="C33" s="12">
        <v>25</v>
      </c>
      <c r="D33" s="13">
        <v>10000</v>
      </c>
      <c r="E33" s="9" t="str">
        <f t="shared" si="0"/>
        <v>CerrillosPadre Hurtado</v>
      </c>
    </row>
    <row r="34" spans="1:5" ht="15" customHeight="1" x14ac:dyDescent="0.35">
      <c r="A34" s="10" t="s">
        <v>36</v>
      </c>
      <c r="B34" s="10" t="s">
        <v>31</v>
      </c>
      <c r="C34" s="12">
        <v>130</v>
      </c>
      <c r="D34" s="13">
        <v>25000</v>
      </c>
      <c r="E34" s="9" t="str">
        <f t="shared" ref="E34:E65" si="1">A34&amp;B34</f>
        <v>ColinaLlay Llay</v>
      </c>
    </row>
    <row r="35" spans="1:5" ht="15" customHeight="1" x14ac:dyDescent="0.35">
      <c r="A35" s="10" t="s">
        <v>36</v>
      </c>
      <c r="B35" s="10" t="s">
        <v>28</v>
      </c>
      <c r="C35" s="12">
        <v>31</v>
      </c>
      <c r="D35" s="13">
        <v>10000</v>
      </c>
      <c r="E35" s="9" t="str">
        <f t="shared" si="1"/>
        <v>ColinaSan Bernardo</v>
      </c>
    </row>
    <row r="36" spans="1:5" ht="15" customHeight="1" x14ac:dyDescent="0.35">
      <c r="A36" s="10" t="s">
        <v>36</v>
      </c>
      <c r="B36" s="10" t="s">
        <v>29</v>
      </c>
      <c r="C36" s="12">
        <v>39</v>
      </c>
      <c r="D36" s="13">
        <v>10000</v>
      </c>
      <c r="E36" s="9" t="str">
        <f t="shared" si="1"/>
        <v>ColinaLoginsa</v>
      </c>
    </row>
    <row r="37" spans="1:5" ht="15" customHeight="1" x14ac:dyDescent="0.35">
      <c r="A37" s="10" t="s">
        <v>36</v>
      </c>
      <c r="B37" s="10" t="s">
        <v>23</v>
      </c>
      <c r="C37" s="12">
        <v>35</v>
      </c>
      <c r="D37" s="13">
        <v>10000</v>
      </c>
      <c r="E37" s="9" t="str">
        <f t="shared" si="1"/>
        <v>ColinaPadre Hurtado</v>
      </c>
    </row>
    <row r="38" spans="1:5" ht="15" customHeight="1" x14ac:dyDescent="0.35">
      <c r="A38" s="10" t="s">
        <v>37</v>
      </c>
      <c r="B38" s="10" t="s">
        <v>31</v>
      </c>
      <c r="C38" s="12">
        <v>150</v>
      </c>
      <c r="D38" s="13">
        <v>25000</v>
      </c>
      <c r="E38" s="9" t="str">
        <f t="shared" si="1"/>
        <v>CuracavíLlay Llay</v>
      </c>
    </row>
    <row r="39" spans="1:5" ht="15" customHeight="1" x14ac:dyDescent="0.35">
      <c r="A39" s="10" t="s">
        <v>37</v>
      </c>
      <c r="B39" s="10" t="s">
        <v>28</v>
      </c>
      <c r="C39" s="12">
        <v>51</v>
      </c>
      <c r="D39" s="13">
        <v>10000</v>
      </c>
      <c r="E39" s="9" t="str">
        <f t="shared" si="1"/>
        <v>CuracavíSan Bernardo</v>
      </c>
    </row>
    <row r="40" spans="1:5" ht="15" customHeight="1" x14ac:dyDescent="0.35">
      <c r="A40" s="10" t="s">
        <v>37</v>
      </c>
      <c r="B40" s="10" t="s">
        <v>29</v>
      </c>
      <c r="C40" s="12">
        <v>59</v>
      </c>
      <c r="D40" s="13">
        <v>10000</v>
      </c>
      <c r="E40" s="9" t="str">
        <f t="shared" si="1"/>
        <v>CuracavíLoginsa</v>
      </c>
    </row>
    <row r="41" spans="1:5" ht="15" customHeight="1" x14ac:dyDescent="0.35">
      <c r="A41" s="10" t="s">
        <v>37</v>
      </c>
      <c r="B41" s="10" t="s">
        <v>23</v>
      </c>
      <c r="C41" s="12">
        <v>55</v>
      </c>
      <c r="D41" s="13">
        <v>10000</v>
      </c>
      <c r="E41" s="9" t="str">
        <f t="shared" si="1"/>
        <v>CuracavíPadre Hurtado</v>
      </c>
    </row>
    <row r="42" spans="1:5" ht="15" customHeight="1" x14ac:dyDescent="0.35">
      <c r="A42" s="10" t="s">
        <v>38</v>
      </c>
      <c r="B42" s="10" t="s">
        <v>31</v>
      </c>
      <c r="C42" s="12">
        <v>115</v>
      </c>
      <c r="D42" s="13">
        <v>25000</v>
      </c>
      <c r="E42" s="9" t="str">
        <f t="shared" si="1"/>
        <v>IndependenciaLlay Llay</v>
      </c>
    </row>
    <row r="43" spans="1:5" ht="15" customHeight="1" x14ac:dyDescent="0.35">
      <c r="A43" s="10" t="s">
        <v>38</v>
      </c>
      <c r="B43" s="10" t="s">
        <v>28</v>
      </c>
      <c r="C43" s="12">
        <v>16</v>
      </c>
      <c r="D43" s="13">
        <v>10000</v>
      </c>
      <c r="E43" s="9" t="str">
        <f t="shared" si="1"/>
        <v>IndependenciaSan Bernardo</v>
      </c>
    </row>
    <row r="44" spans="1:5" ht="15" customHeight="1" x14ac:dyDescent="0.35">
      <c r="A44" s="10" t="s">
        <v>38</v>
      </c>
      <c r="B44" s="10" t="s">
        <v>29</v>
      </c>
      <c r="C44" s="12">
        <v>24</v>
      </c>
      <c r="D44" s="13">
        <v>10000</v>
      </c>
      <c r="E44" s="9" t="str">
        <f t="shared" si="1"/>
        <v>IndependenciaLoginsa</v>
      </c>
    </row>
    <row r="45" spans="1:5" ht="15" customHeight="1" x14ac:dyDescent="0.35">
      <c r="A45" s="10" t="s">
        <v>38</v>
      </c>
      <c r="B45" s="10" t="s">
        <v>23</v>
      </c>
      <c r="C45" s="12">
        <v>20</v>
      </c>
      <c r="D45" s="13">
        <v>10000</v>
      </c>
      <c r="E45" s="9" t="str">
        <f t="shared" si="1"/>
        <v>IndependenciaPadre Hurtado</v>
      </c>
    </row>
    <row r="46" spans="1:5" ht="15" customHeight="1" x14ac:dyDescent="0.35">
      <c r="A46" s="10" t="s">
        <v>39</v>
      </c>
      <c r="B46" s="10" t="s">
        <v>31</v>
      </c>
      <c r="C46" s="12">
        <v>140</v>
      </c>
      <c r="D46" s="13">
        <v>25000</v>
      </c>
      <c r="E46" s="9" t="str">
        <f t="shared" si="1"/>
        <v>Isla de MaipoLlay Llay</v>
      </c>
    </row>
    <row r="47" spans="1:5" ht="15" customHeight="1" x14ac:dyDescent="0.35">
      <c r="A47" s="10" t="s">
        <v>39</v>
      </c>
      <c r="B47" s="10" t="s">
        <v>28</v>
      </c>
      <c r="C47" s="12">
        <v>41</v>
      </c>
      <c r="D47" s="13">
        <v>10000</v>
      </c>
      <c r="E47" s="9" t="str">
        <f t="shared" si="1"/>
        <v>Isla de MaipoSan Bernardo</v>
      </c>
    </row>
    <row r="48" spans="1:5" ht="15" customHeight="1" x14ac:dyDescent="0.35">
      <c r="A48" s="10" t="s">
        <v>39</v>
      </c>
      <c r="B48" s="10" t="s">
        <v>29</v>
      </c>
      <c r="C48" s="12">
        <v>49</v>
      </c>
      <c r="D48" s="13">
        <v>10000</v>
      </c>
      <c r="E48" s="9" t="str">
        <f t="shared" si="1"/>
        <v>Isla de MaipoLoginsa</v>
      </c>
    </row>
    <row r="49" spans="1:5" ht="15" customHeight="1" x14ac:dyDescent="0.35">
      <c r="A49" s="10" t="s">
        <v>39</v>
      </c>
      <c r="B49" s="10" t="s">
        <v>23</v>
      </c>
      <c r="C49" s="12">
        <v>45</v>
      </c>
      <c r="D49" s="13">
        <v>10000</v>
      </c>
      <c r="E49" s="9" t="str">
        <f t="shared" si="1"/>
        <v>Isla de MaipoPadre Hurtado</v>
      </c>
    </row>
    <row r="50" spans="1:5" ht="15" customHeight="1" x14ac:dyDescent="0.35">
      <c r="A50" s="10" t="s">
        <v>40</v>
      </c>
      <c r="B50" s="10" t="s">
        <v>31</v>
      </c>
      <c r="C50" s="12">
        <v>125</v>
      </c>
      <c r="D50" s="13">
        <v>25000</v>
      </c>
      <c r="E50" s="9" t="str">
        <f t="shared" si="1"/>
        <v>La PintanaLlay Llay</v>
      </c>
    </row>
    <row r="51" spans="1:5" ht="15" customHeight="1" x14ac:dyDescent="0.35">
      <c r="A51" s="10" t="s">
        <v>40</v>
      </c>
      <c r="B51" s="10" t="s">
        <v>28</v>
      </c>
      <c r="C51" s="12">
        <v>26</v>
      </c>
      <c r="D51" s="13">
        <v>10000</v>
      </c>
      <c r="E51" s="9" t="str">
        <f t="shared" si="1"/>
        <v>La PintanaSan Bernardo</v>
      </c>
    </row>
    <row r="52" spans="1:5" ht="15" customHeight="1" x14ac:dyDescent="0.35">
      <c r="A52" s="10" t="s">
        <v>40</v>
      </c>
      <c r="B52" s="10" t="s">
        <v>29</v>
      </c>
      <c r="C52" s="12">
        <v>34</v>
      </c>
      <c r="D52" s="13">
        <v>10000</v>
      </c>
      <c r="E52" s="9" t="str">
        <f t="shared" si="1"/>
        <v>La PintanaLoginsa</v>
      </c>
    </row>
    <row r="53" spans="1:5" ht="15" customHeight="1" x14ac:dyDescent="0.35">
      <c r="A53" s="10" t="s">
        <v>40</v>
      </c>
      <c r="B53" s="10" t="s">
        <v>23</v>
      </c>
      <c r="C53" s="12">
        <v>30</v>
      </c>
      <c r="D53" s="13">
        <v>10000</v>
      </c>
      <c r="E53" s="9" t="str">
        <f t="shared" si="1"/>
        <v>La PintanaPadre Hurtado</v>
      </c>
    </row>
    <row r="54" spans="1:5" ht="15" customHeight="1" x14ac:dyDescent="0.35">
      <c r="A54" s="10" t="s">
        <v>41</v>
      </c>
      <c r="B54" s="10" t="s">
        <v>31</v>
      </c>
      <c r="C54" s="12">
        <v>115</v>
      </c>
      <c r="D54" s="13">
        <v>25000</v>
      </c>
      <c r="E54" s="9" t="str">
        <f t="shared" si="1"/>
        <v>MaculLlay Llay</v>
      </c>
    </row>
    <row r="55" spans="1:5" ht="15" customHeight="1" x14ac:dyDescent="0.35">
      <c r="A55" s="10" t="s">
        <v>41</v>
      </c>
      <c r="B55" s="10" t="s">
        <v>28</v>
      </c>
      <c r="C55" s="12">
        <v>16</v>
      </c>
      <c r="D55" s="13">
        <v>10000</v>
      </c>
      <c r="E55" s="9" t="str">
        <f t="shared" si="1"/>
        <v>MaculSan Bernardo</v>
      </c>
    </row>
    <row r="56" spans="1:5" ht="15" customHeight="1" x14ac:dyDescent="0.35">
      <c r="A56" s="10" t="s">
        <v>41</v>
      </c>
      <c r="B56" s="10" t="s">
        <v>29</v>
      </c>
      <c r="C56" s="12">
        <v>24</v>
      </c>
      <c r="D56" s="13">
        <v>10000</v>
      </c>
      <c r="E56" s="9" t="str">
        <f t="shared" si="1"/>
        <v>MaculLoginsa</v>
      </c>
    </row>
    <row r="57" spans="1:5" ht="15" customHeight="1" x14ac:dyDescent="0.35">
      <c r="A57" s="10" t="s">
        <v>41</v>
      </c>
      <c r="B57" s="10" t="s">
        <v>23</v>
      </c>
      <c r="C57" s="12">
        <v>20</v>
      </c>
      <c r="D57" s="13">
        <v>10000</v>
      </c>
      <c r="E57" s="9" t="str">
        <f t="shared" si="1"/>
        <v>MaculPadre Hurtado</v>
      </c>
    </row>
    <row r="58" spans="1:5" ht="15" customHeight="1" x14ac:dyDescent="0.35">
      <c r="A58" s="10" t="s">
        <v>42</v>
      </c>
      <c r="B58" s="10" t="s">
        <v>31</v>
      </c>
      <c r="C58" s="12">
        <v>120</v>
      </c>
      <c r="D58" s="13">
        <v>25000</v>
      </c>
      <c r="E58" s="9" t="str">
        <f t="shared" si="1"/>
        <v>Maipú 1°Llay Llay</v>
      </c>
    </row>
    <row r="59" spans="1:5" ht="15" customHeight="1" x14ac:dyDescent="0.35">
      <c r="A59" s="10" t="s">
        <v>42</v>
      </c>
      <c r="B59" s="10" t="s">
        <v>28</v>
      </c>
      <c r="C59" s="12">
        <v>21</v>
      </c>
      <c r="D59" s="13">
        <v>10000</v>
      </c>
      <c r="E59" s="9" t="str">
        <f t="shared" si="1"/>
        <v>Maipú 1°San Bernardo</v>
      </c>
    </row>
    <row r="60" spans="1:5" ht="15" customHeight="1" x14ac:dyDescent="0.35">
      <c r="A60" s="10" t="s">
        <v>42</v>
      </c>
      <c r="B60" s="10" t="s">
        <v>29</v>
      </c>
      <c r="C60" s="12">
        <v>29</v>
      </c>
      <c r="D60" s="13">
        <v>10000</v>
      </c>
      <c r="E60" s="9" t="str">
        <f t="shared" si="1"/>
        <v>Maipú 1°Loginsa</v>
      </c>
    </row>
    <row r="61" spans="1:5" ht="15" customHeight="1" x14ac:dyDescent="0.35">
      <c r="A61" s="10" t="s">
        <v>42</v>
      </c>
      <c r="B61" s="10" t="s">
        <v>23</v>
      </c>
      <c r="C61" s="12">
        <v>25</v>
      </c>
      <c r="D61" s="13">
        <v>10000</v>
      </c>
      <c r="E61" s="9" t="str">
        <f t="shared" si="1"/>
        <v>Maipú 1°Padre Hurtado</v>
      </c>
    </row>
    <row r="62" spans="1:5" ht="15" customHeight="1" x14ac:dyDescent="0.35">
      <c r="A62" s="10" t="s">
        <v>43</v>
      </c>
      <c r="B62" s="10" t="s">
        <v>31</v>
      </c>
      <c r="C62" s="12">
        <v>120</v>
      </c>
      <c r="D62" s="13">
        <v>25000</v>
      </c>
      <c r="E62" s="9" t="str">
        <f t="shared" si="1"/>
        <v>Maipú 2°Llay Llay</v>
      </c>
    </row>
    <row r="63" spans="1:5" ht="15" customHeight="1" x14ac:dyDescent="0.35">
      <c r="A63" s="10" t="s">
        <v>43</v>
      </c>
      <c r="B63" s="10" t="s">
        <v>28</v>
      </c>
      <c r="C63" s="12">
        <v>21</v>
      </c>
      <c r="D63" s="13">
        <v>10000</v>
      </c>
      <c r="E63" s="9" t="str">
        <f t="shared" si="1"/>
        <v>Maipú 2°San Bernardo</v>
      </c>
    </row>
    <row r="64" spans="1:5" ht="15" customHeight="1" x14ac:dyDescent="0.35">
      <c r="A64" s="10" t="s">
        <v>43</v>
      </c>
      <c r="B64" s="10" t="s">
        <v>29</v>
      </c>
      <c r="C64" s="12">
        <v>29</v>
      </c>
      <c r="D64" s="13">
        <v>10000</v>
      </c>
      <c r="E64" s="9" t="str">
        <f t="shared" si="1"/>
        <v>Maipú 2°Loginsa</v>
      </c>
    </row>
    <row r="65" spans="1:5" ht="15" customHeight="1" x14ac:dyDescent="0.35">
      <c r="A65" s="10" t="s">
        <v>43</v>
      </c>
      <c r="B65" s="10" t="s">
        <v>23</v>
      </c>
      <c r="C65" s="12">
        <v>25</v>
      </c>
      <c r="D65" s="13">
        <v>10000</v>
      </c>
      <c r="E65" s="9" t="str">
        <f t="shared" si="1"/>
        <v>Maipú 2°Padre Hurtado</v>
      </c>
    </row>
    <row r="66" spans="1:5" ht="15" customHeight="1" x14ac:dyDescent="0.35">
      <c r="A66" s="10" t="s">
        <v>44</v>
      </c>
      <c r="B66" s="10" t="s">
        <v>31</v>
      </c>
      <c r="C66" s="12">
        <v>150</v>
      </c>
      <c r="D66" s="13">
        <v>25000</v>
      </c>
      <c r="E66" s="9" t="str">
        <f t="shared" ref="E66:E97" si="2">A66&amp;B66</f>
        <v>PaineLlay Llay</v>
      </c>
    </row>
    <row r="67" spans="1:5" ht="15" customHeight="1" x14ac:dyDescent="0.35">
      <c r="A67" s="10" t="s">
        <v>44</v>
      </c>
      <c r="B67" s="10" t="s">
        <v>28</v>
      </c>
      <c r="C67" s="12">
        <v>51</v>
      </c>
      <c r="D67" s="13">
        <v>10000</v>
      </c>
      <c r="E67" s="9" t="str">
        <f t="shared" si="2"/>
        <v>PaineSan Bernardo</v>
      </c>
    </row>
    <row r="68" spans="1:5" ht="15" customHeight="1" x14ac:dyDescent="0.35">
      <c r="A68" s="10" t="s">
        <v>44</v>
      </c>
      <c r="B68" s="10" t="s">
        <v>29</v>
      </c>
      <c r="C68" s="12">
        <v>59</v>
      </c>
      <c r="D68" s="13">
        <v>10000</v>
      </c>
      <c r="E68" s="9" t="str">
        <f t="shared" si="2"/>
        <v>PaineLoginsa</v>
      </c>
    </row>
    <row r="69" spans="1:5" ht="15" customHeight="1" x14ac:dyDescent="0.35">
      <c r="A69" s="10" t="s">
        <v>44</v>
      </c>
      <c r="B69" s="10" t="s">
        <v>23</v>
      </c>
      <c r="C69" s="12">
        <v>55</v>
      </c>
      <c r="D69" s="13">
        <v>10000</v>
      </c>
      <c r="E69" s="9" t="str">
        <f t="shared" si="2"/>
        <v>PainePadre Hurtado</v>
      </c>
    </row>
    <row r="70" spans="1:5" ht="15" customHeight="1" x14ac:dyDescent="0.35">
      <c r="A70" s="10" t="s">
        <v>45</v>
      </c>
      <c r="B70" s="10" t="s">
        <v>31</v>
      </c>
      <c r="C70" s="12">
        <v>130</v>
      </c>
      <c r="D70" s="13">
        <v>25000</v>
      </c>
      <c r="E70" s="9" t="str">
        <f t="shared" si="2"/>
        <v>PeñaflorLlay Llay</v>
      </c>
    </row>
    <row r="71" spans="1:5" ht="15" customHeight="1" x14ac:dyDescent="0.35">
      <c r="A71" s="10" t="s">
        <v>45</v>
      </c>
      <c r="B71" s="10" t="s">
        <v>28</v>
      </c>
      <c r="C71" s="12">
        <v>31</v>
      </c>
      <c r="D71" s="13">
        <v>10000</v>
      </c>
      <c r="E71" s="9" t="str">
        <f t="shared" si="2"/>
        <v>PeñaflorSan Bernardo</v>
      </c>
    </row>
    <row r="72" spans="1:5" ht="15" customHeight="1" x14ac:dyDescent="0.35">
      <c r="A72" s="10" t="s">
        <v>45</v>
      </c>
      <c r="B72" s="10" t="s">
        <v>29</v>
      </c>
      <c r="C72" s="12">
        <v>39</v>
      </c>
      <c r="D72" s="13">
        <v>10000</v>
      </c>
      <c r="E72" s="9" t="str">
        <f t="shared" si="2"/>
        <v>PeñaflorLoginsa</v>
      </c>
    </row>
    <row r="73" spans="1:5" ht="15" customHeight="1" x14ac:dyDescent="0.35">
      <c r="A73" s="10" t="s">
        <v>45</v>
      </c>
      <c r="B73" s="10" t="s">
        <v>23</v>
      </c>
      <c r="C73" s="12">
        <v>35</v>
      </c>
      <c r="D73" s="13">
        <v>10000</v>
      </c>
      <c r="E73" s="9" t="str">
        <f t="shared" si="2"/>
        <v>PeñaflorPadre Hurtado</v>
      </c>
    </row>
    <row r="74" spans="1:5" ht="15" customHeight="1" x14ac:dyDescent="0.35">
      <c r="A74" s="10" t="s">
        <v>46</v>
      </c>
      <c r="B74" s="10" t="s">
        <v>31</v>
      </c>
      <c r="C74" s="12">
        <v>120</v>
      </c>
      <c r="D74" s="13">
        <v>25000</v>
      </c>
      <c r="E74" s="9" t="str">
        <f t="shared" si="2"/>
        <v>PeñalolénLlay Llay</v>
      </c>
    </row>
    <row r="75" spans="1:5" ht="15" customHeight="1" x14ac:dyDescent="0.35">
      <c r="A75" s="10" t="s">
        <v>46</v>
      </c>
      <c r="B75" s="10" t="s">
        <v>28</v>
      </c>
      <c r="C75" s="12">
        <v>21</v>
      </c>
      <c r="D75" s="13">
        <v>10000</v>
      </c>
      <c r="E75" s="9" t="str">
        <f t="shared" si="2"/>
        <v>PeñalolénSan Bernardo</v>
      </c>
    </row>
    <row r="76" spans="1:5" ht="15" customHeight="1" x14ac:dyDescent="0.35">
      <c r="A76" s="10" t="s">
        <v>46</v>
      </c>
      <c r="B76" s="10" t="s">
        <v>29</v>
      </c>
      <c r="C76" s="12">
        <v>29</v>
      </c>
      <c r="D76" s="13">
        <v>10000</v>
      </c>
      <c r="E76" s="9" t="str">
        <f t="shared" si="2"/>
        <v>PeñalolénLoginsa</v>
      </c>
    </row>
    <row r="77" spans="1:5" ht="15" customHeight="1" x14ac:dyDescent="0.35">
      <c r="A77" s="10" t="s">
        <v>46</v>
      </c>
      <c r="B77" s="10" t="s">
        <v>23</v>
      </c>
      <c r="C77" s="12">
        <v>25</v>
      </c>
      <c r="D77" s="13">
        <v>10000</v>
      </c>
      <c r="E77" s="9" t="str">
        <f t="shared" si="2"/>
        <v>PeñalolénPadre Hurtado</v>
      </c>
    </row>
    <row r="78" spans="1:5" ht="15" customHeight="1" x14ac:dyDescent="0.35">
      <c r="A78" s="10" t="s">
        <v>47</v>
      </c>
      <c r="B78" s="10" t="s">
        <v>31</v>
      </c>
      <c r="C78" s="12">
        <v>130</v>
      </c>
      <c r="D78" s="13">
        <v>25000</v>
      </c>
      <c r="E78" s="9" t="str">
        <f t="shared" si="2"/>
        <v>PirqueLlay Llay</v>
      </c>
    </row>
    <row r="79" spans="1:5" ht="15" customHeight="1" x14ac:dyDescent="0.35">
      <c r="A79" s="10" t="s">
        <v>47</v>
      </c>
      <c r="B79" s="10" t="s">
        <v>28</v>
      </c>
      <c r="C79" s="12">
        <v>31</v>
      </c>
      <c r="D79" s="13">
        <v>10000</v>
      </c>
      <c r="E79" s="9" t="str">
        <f t="shared" si="2"/>
        <v>PirqueSan Bernardo</v>
      </c>
    </row>
    <row r="80" spans="1:5" ht="15" customHeight="1" x14ac:dyDescent="0.35">
      <c r="A80" s="10" t="s">
        <v>47</v>
      </c>
      <c r="B80" s="10" t="s">
        <v>29</v>
      </c>
      <c r="C80" s="12">
        <v>39</v>
      </c>
      <c r="D80" s="13">
        <v>10000</v>
      </c>
      <c r="E80" s="9" t="str">
        <f t="shared" si="2"/>
        <v>PirqueLoginsa</v>
      </c>
    </row>
    <row r="81" spans="1:5" ht="15" customHeight="1" x14ac:dyDescent="0.35">
      <c r="A81" s="10" t="s">
        <v>47</v>
      </c>
      <c r="B81" s="10" t="s">
        <v>23</v>
      </c>
      <c r="C81" s="12">
        <v>35</v>
      </c>
      <c r="D81" s="13">
        <v>10000</v>
      </c>
      <c r="E81" s="9" t="str">
        <f t="shared" si="2"/>
        <v>PirquePadre Hurtado</v>
      </c>
    </row>
    <row r="82" spans="1:5" ht="15" customHeight="1" x14ac:dyDescent="0.35">
      <c r="A82" s="10" t="s">
        <v>48</v>
      </c>
      <c r="B82" s="10" t="s">
        <v>31</v>
      </c>
      <c r="C82" s="12">
        <v>115</v>
      </c>
      <c r="D82" s="13">
        <v>25000</v>
      </c>
      <c r="E82" s="9" t="str">
        <f t="shared" si="2"/>
        <v>ProvidenciaLlay Llay</v>
      </c>
    </row>
    <row r="83" spans="1:5" ht="15" customHeight="1" x14ac:dyDescent="0.35">
      <c r="A83" s="10" t="s">
        <v>48</v>
      </c>
      <c r="B83" s="10" t="s">
        <v>28</v>
      </c>
      <c r="C83" s="12">
        <v>16</v>
      </c>
      <c r="D83" s="13">
        <v>10000</v>
      </c>
      <c r="E83" s="9" t="str">
        <f t="shared" si="2"/>
        <v>ProvidenciaSan Bernardo</v>
      </c>
    </row>
    <row r="84" spans="1:5" ht="15" customHeight="1" x14ac:dyDescent="0.35">
      <c r="A84" s="10" t="s">
        <v>48</v>
      </c>
      <c r="B84" s="10" t="s">
        <v>29</v>
      </c>
      <c r="C84" s="12">
        <v>24</v>
      </c>
      <c r="D84" s="13">
        <v>10000</v>
      </c>
      <c r="E84" s="9" t="str">
        <f t="shared" si="2"/>
        <v>ProvidenciaLoginsa</v>
      </c>
    </row>
    <row r="85" spans="1:5" ht="15" customHeight="1" x14ac:dyDescent="0.35">
      <c r="A85" s="10" t="s">
        <v>48</v>
      </c>
      <c r="B85" s="10" t="s">
        <v>23</v>
      </c>
      <c r="C85" s="12">
        <v>20</v>
      </c>
      <c r="D85" s="13">
        <v>10000</v>
      </c>
      <c r="E85" s="9" t="str">
        <f t="shared" si="2"/>
        <v>ProvidenciaPadre Hurtado</v>
      </c>
    </row>
    <row r="86" spans="1:5" ht="15" customHeight="1" x14ac:dyDescent="0.35">
      <c r="A86" s="10" t="s">
        <v>49</v>
      </c>
      <c r="B86" s="10" t="s">
        <v>31</v>
      </c>
      <c r="C86" s="12">
        <v>120</v>
      </c>
      <c r="D86" s="13">
        <v>25000</v>
      </c>
      <c r="E86" s="9" t="str">
        <f t="shared" si="2"/>
        <v>PudahuelLlay Llay</v>
      </c>
    </row>
    <row r="87" spans="1:5" ht="15" customHeight="1" x14ac:dyDescent="0.35">
      <c r="A87" s="10" t="s">
        <v>49</v>
      </c>
      <c r="B87" s="10" t="s">
        <v>28</v>
      </c>
      <c r="C87" s="12">
        <v>21</v>
      </c>
      <c r="D87" s="13">
        <v>10000</v>
      </c>
      <c r="E87" s="9" t="str">
        <f t="shared" si="2"/>
        <v>PudahuelSan Bernardo</v>
      </c>
    </row>
    <row r="88" spans="1:5" ht="15" customHeight="1" x14ac:dyDescent="0.35">
      <c r="A88" s="10" t="s">
        <v>49</v>
      </c>
      <c r="B88" s="10" t="s">
        <v>29</v>
      </c>
      <c r="C88" s="12">
        <v>29</v>
      </c>
      <c r="D88" s="13">
        <v>10000</v>
      </c>
      <c r="E88" s="9" t="str">
        <f t="shared" si="2"/>
        <v>PudahuelLoginsa</v>
      </c>
    </row>
    <row r="89" spans="1:5" ht="15" customHeight="1" x14ac:dyDescent="0.35">
      <c r="A89" s="10" t="s">
        <v>49</v>
      </c>
      <c r="B89" s="10" t="s">
        <v>23</v>
      </c>
      <c r="C89" s="12">
        <v>25</v>
      </c>
      <c r="D89" s="13">
        <v>10000</v>
      </c>
      <c r="E89" s="9" t="str">
        <f t="shared" si="2"/>
        <v>PudahuelPadre Hurtado</v>
      </c>
    </row>
    <row r="90" spans="1:5" ht="15" customHeight="1" x14ac:dyDescent="0.35">
      <c r="A90" s="10" t="s">
        <v>50</v>
      </c>
      <c r="B90" s="10" t="s">
        <v>31</v>
      </c>
      <c r="C90" s="12">
        <v>115</v>
      </c>
      <c r="D90" s="13">
        <v>25000</v>
      </c>
      <c r="E90" s="9" t="str">
        <f t="shared" si="2"/>
        <v>Quinta NormalLlay Llay</v>
      </c>
    </row>
    <row r="91" spans="1:5" ht="15" customHeight="1" x14ac:dyDescent="0.35">
      <c r="A91" s="10" t="s">
        <v>50</v>
      </c>
      <c r="B91" s="10" t="s">
        <v>28</v>
      </c>
      <c r="C91" s="12">
        <v>16</v>
      </c>
      <c r="D91" s="13">
        <v>10000</v>
      </c>
      <c r="E91" s="9" t="str">
        <f t="shared" si="2"/>
        <v>Quinta NormalSan Bernardo</v>
      </c>
    </row>
    <row r="92" spans="1:5" ht="15" customHeight="1" x14ac:dyDescent="0.35">
      <c r="A92" s="10" t="s">
        <v>50</v>
      </c>
      <c r="B92" s="10" t="s">
        <v>29</v>
      </c>
      <c r="C92" s="12">
        <v>24</v>
      </c>
      <c r="D92" s="13">
        <v>10000</v>
      </c>
      <c r="E92" s="9" t="str">
        <f t="shared" si="2"/>
        <v>Quinta NormalLoginsa</v>
      </c>
    </row>
    <row r="93" spans="1:5" ht="15" customHeight="1" x14ac:dyDescent="0.35">
      <c r="A93" s="10" t="s">
        <v>50</v>
      </c>
      <c r="B93" s="10" t="s">
        <v>23</v>
      </c>
      <c r="C93" s="12">
        <v>20</v>
      </c>
      <c r="D93" s="13">
        <v>10000</v>
      </c>
      <c r="E93" s="9" t="str">
        <f t="shared" si="2"/>
        <v>Quinta NormalPadre Hurtado</v>
      </c>
    </row>
    <row r="94" spans="1:5" ht="15" customHeight="1" x14ac:dyDescent="0.35">
      <c r="A94" s="10" t="s">
        <v>51</v>
      </c>
      <c r="B94" s="10" t="s">
        <v>31</v>
      </c>
      <c r="C94" s="12">
        <v>117</v>
      </c>
      <c r="D94" s="13">
        <v>25000</v>
      </c>
      <c r="E94" s="9" t="str">
        <f t="shared" si="2"/>
        <v>RencaLlay Llay</v>
      </c>
    </row>
    <row r="95" spans="1:5" ht="15" customHeight="1" x14ac:dyDescent="0.35">
      <c r="A95" s="10" t="s">
        <v>51</v>
      </c>
      <c r="B95" s="10" t="s">
        <v>28</v>
      </c>
      <c r="C95" s="12">
        <v>18</v>
      </c>
      <c r="D95" s="13">
        <v>10000</v>
      </c>
      <c r="E95" s="9" t="str">
        <f t="shared" si="2"/>
        <v>RencaSan Bernardo</v>
      </c>
    </row>
    <row r="96" spans="1:5" ht="15" customHeight="1" x14ac:dyDescent="0.35">
      <c r="A96" s="10" t="s">
        <v>51</v>
      </c>
      <c r="B96" s="10" t="s">
        <v>29</v>
      </c>
      <c r="C96" s="12">
        <v>26</v>
      </c>
      <c r="D96" s="13">
        <v>10000</v>
      </c>
      <c r="E96" s="9" t="str">
        <f t="shared" si="2"/>
        <v>RencaLoginsa</v>
      </c>
    </row>
    <row r="97" spans="1:5" ht="15" customHeight="1" x14ac:dyDescent="0.35">
      <c r="A97" s="10" t="s">
        <v>51</v>
      </c>
      <c r="B97" s="10" t="s">
        <v>23</v>
      </c>
      <c r="C97" s="12">
        <v>22</v>
      </c>
      <c r="D97" s="13">
        <v>10000</v>
      </c>
      <c r="E97" s="9" t="str">
        <f t="shared" si="2"/>
        <v>RencaPadre Hurtado</v>
      </c>
    </row>
    <row r="98" spans="1:5" ht="15" customHeight="1" x14ac:dyDescent="0.35">
      <c r="A98" s="10" t="s">
        <v>52</v>
      </c>
      <c r="B98" s="10" t="s">
        <v>31</v>
      </c>
      <c r="C98" s="12">
        <v>190</v>
      </c>
      <c r="D98" s="13">
        <v>25000</v>
      </c>
      <c r="E98" s="9" t="str">
        <f t="shared" ref="E98:E129" si="3">A98&amp;B98</f>
        <v>San AntonioLlay Llay</v>
      </c>
    </row>
    <row r="99" spans="1:5" ht="15" customHeight="1" x14ac:dyDescent="0.35">
      <c r="A99" s="10" t="s">
        <v>52</v>
      </c>
      <c r="B99" s="10" t="s">
        <v>28</v>
      </c>
      <c r="C99" s="12">
        <v>91</v>
      </c>
      <c r="D99" s="13">
        <v>10000</v>
      </c>
      <c r="E99" s="9" t="str">
        <f t="shared" si="3"/>
        <v>San AntonioSan Bernardo</v>
      </c>
    </row>
    <row r="100" spans="1:5" ht="15" customHeight="1" x14ac:dyDescent="0.35">
      <c r="A100" s="10" t="s">
        <v>52</v>
      </c>
      <c r="B100" s="10" t="s">
        <v>29</v>
      </c>
      <c r="C100" s="12">
        <v>99</v>
      </c>
      <c r="D100" s="13">
        <v>10000</v>
      </c>
      <c r="E100" s="9" t="str">
        <f t="shared" si="3"/>
        <v>San AntonioLoginsa</v>
      </c>
    </row>
    <row r="101" spans="1:5" ht="15" customHeight="1" x14ac:dyDescent="0.35">
      <c r="A101" s="10" t="s">
        <v>52</v>
      </c>
      <c r="B101" s="10" t="s">
        <v>23</v>
      </c>
      <c r="C101" s="12">
        <v>95</v>
      </c>
      <c r="D101" s="13">
        <v>10000</v>
      </c>
      <c r="E101" s="9" t="str">
        <f t="shared" si="3"/>
        <v>San AntonioPadre Hurtado</v>
      </c>
    </row>
    <row r="102" spans="1:5" ht="15" customHeight="1" x14ac:dyDescent="0.35">
      <c r="A102" s="10" t="s">
        <v>53</v>
      </c>
      <c r="B102" s="10" t="s">
        <v>31</v>
      </c>
      <c r="C102" s="12">
        <v>115</v>
      </c>
      <c r="D102" s="13">
        <v>25000</v>
      </c>
      <c r="E102" s="9" t="str">
        <f t="shared" si="3"/>
        <v>San MiguelLlay Llay</v>
      </c>
    </row>
    <row r="103" spans="1:5" ht="15" customHeight="1" x14ac:dyDescent="0.35">
      <c r="A103" s="10" t="s">
        <v>53</v>
      </c>
      <c r="B103" s="10" t="s">
        <v>28</v>
      </c>
      <c r="C103" s="12">
        <v>16</v>
      </c>
      <c r="D103" s="13">
        <v>10000</v>
      </c>
      <c r="E103" s="9" t="str">
        <f t="shared" si="3"/>
        <v>San MiguelSan Bernardo</v>
      </c>
    </row>
    <row r="104" spans="1:5" ht="15" customHeight="1" x14ac:dyDescent="0.35">
      <c r="A104" s="10" t="s">
        <v>53</v>
      </c>
      <c r="B104" s="10" t="s">
        <v>29</v>
      </c>
      <c r="C104" s="12">
        <v>24</v>
      </c>
      <c r="D104" s="13">
        <v>10000</v>
      </c>
      <c r="E104" s="9" t="str">
        <f t="shared" si="3"/>
        <v>San MiguelLoginsa</v>
      </c>
    </row>
    <row r="105" spans="1:5" ht="15" customHeight="1" x14ac:dyDescent="0.35">
      <c r="A105" s="10" t="s">
        <v>53</v>
      </c>
      <c r="B105" s="10" t="s">
        <v>23</v>
      </c>
      <c r="C105" s="12">
        <v>20</v>
      </c>
      <c r="D105" s="13">
        <v>10000</v>
      </c>
      <c r="E105" s="9" t="str">
        <f t="shared" si="3"/>
        <v>San MiguelPadre Hurtado</v>
      </c>
    </row>
    <row r="106" spans="1:5" ht="15" customHeight="1" x14ac:dyDescent="0.35">
      <c r="A106" s="10" t="s">
        <v>54</v>
      </c>
      <c r="B106" s="10" t="s">
        <v>31</v>
      </c>
      <c r="C106" s="12">
        <v>155</v>
      </c>
      <c r="D106" s="13">
        <v>25000</v>
      </c>
      <c r="E106" s="9" t="str">
        <f t="shared" si="3"/>
        <v>San PedroLlay Llay</v>
      </c>
    </row>
    <row r="107" spans="1:5" ht="15" customHeight="1" x14ac:dyDescent="0.35">
      <c r="A107" s="10" t="s">
        <v>54</v>
      </c>
      <c r="B107" s="10" t="s">
        <v>28</v>
      </c>
      <c r="C107" s="12">
        <v>56</v>
      </c>
      <c r="D107" s="13">
        <v>10000</v>
      </c>
      <c r="E107" s="9" t="str">
        <f t="shared" si="3"/>
        <v>San PedroSan Bernardo</v>
      </c>
    </row>
    <row r="108" spans="1:5" ht="15" customHeight="1" x14ac:dyDescent="0.35">
      <c r="A108" s="10" t="s">
        <v>54</v>
      </c>
      <c r="B108" s="10" t="s">
        <v>29</v>
      </c>
      <c r="C108" s="12">
        <v>64</v>
      </c>
      <c r="D108" s="13">
        <v>10000</v>
      </c>
      <c r="E108" s="9" t="str">
        <f t="shared" si="3"/>
        <v>San PedroLoginsa</v>
      </c>
    </row>
    <row r="109" spans="1:5" ht="15" customHeight="1" x14ac:dyDescent="0.35">
      <c r="A109" s="10" t="s">
        <v>54</v>
      </c>
      <c r="B109" s="10" t="s">
        <v>23</v>
      </c>
      <c r="C109" s="12">
        <v>60</v>
      </c>
      <c r="D109" s="13">
        <v>10000</v>
      </c>
      <c r="E109" s="9" t="str">
        <f t="shared" si="3"/>
        <v>San PedroPadre Hurtado</v>
      </c>
    </row>
    <row r="110" spans="1:5" ht="15" customHeight="1" x14ac:dyDescent="0.35">
      <c r="A110" s="10" t="s">
        <v>55</v>
      </c>
      <c r="B110" s="10" t="s">
        <v>31</v>
      </c>
      <c r="C110" s="12">
        <v>115</v>
      </c>
      <c r="D110" s="13">
        <v>25000</v>
      </c>
      <c r="E110" s="9" t="str">
        <f t="shared" si="3"/>
        <v>SantiagoLlay Llay</v>
      </c>
    </row>
    <row r="111" spans="1:5" ht="15" customHeight="1" x14ac:dyDescent="0.35">
      <c r="A111" s="10" t="s">
        <v>55</v>
      </c>
      <c r="B111" s="10" t="s">
        <v>28</v>
      </c>
      <c r="C111" s="12">
        <v>16</v>
      </c>
      <c r="D111" s="13">
        <v>10000</v>
      </c>
      <c r="E111" s="9" t="str">
        <f t="shared" si="3"/>
        <v>SantiagoSan Bernardo</v>
      </c>
    </row>
    <row r="112" spans="1:5" ht="15" customHeight="1" x14ac:dyDescent="0.35">
      <c r="A112" s="10" t="s">
        <v>55</v>
      </c>
      <c r="B112" s="10" t="s">
        <v>29</v>
      </c>
      <c r="C112" s="12">
        <v>24</v>
      </c>
      <c r="D112" s="13">
        <v>10000</v>
      </c>
      <c r="E112" s="9" t="str">
        <f t="shared" si="3"/>
        <v>SantiagoLoginsa</v>
      </c>
    </row>
    <row r="113" spans="1:5" ht="15" customHeight="1" x14ac:dyDescent="0.35">
      <c r="A113" s="10" t="s">
        <v>55</v>
      </c>
      <c r="B113" s="10" t="s">
        <v>23</v>
      </c>
      <c r="C113" s="12">
        <v>20</v>
      </c>
      <c r="D113" s="13">
        <v>10000</v>
      </c>
      <c r="E113" s="9" t="str">
        <f t="shared" si="3"/>
        <v>SantiagoPadre Hurtado</v>
      </c>
    </row>
    <row r="114" spans="1:5" ht="15" customHeight="1" x14ac:dyDescent="0.35">
      <c r="A114" s="10" t="s">
        <v>56</v>
      </c>
      <c r="B114" s="10" t="s">
        <v>31</v>
      </c>
      <c r="C114" s="12">
        <v>135</v>
      </c>
      <c r="D114" s="13">
        <v>25000</v>
      </c>
      <c r="E114" s="9" t="str">
        <f t="shared" si="3"/>
        <v>TalaganteLlay Llay</v>
      </c>
    </row>
    <row r="115" spans="1:5" ht="15" customHeight="1" x14ac:dyDescent="0.35">
      <c r="A115" s="10" t="s">
        <v>56</v>
      </c>
      <c r="B115" s="10" t="s">
        <v>28</v>
      </c>
      <c r="C115" s="12">
        <v>36</v>
      </c>
      <c r="D115" s="13">
        <v>10000</v>
      </c>
      <c r="E115" s="9" t="str">
        <f t="shared" si="3"/>
        <v>TalaganteSan Bernardo</v>
      </c>
    </row>
    <row r="116" spans="1:5" ht="15" customHeight="1" x14ac:dyDescent="0.35">
      <c r="A116" s="10" t="s">
        <v>56</v>
      </c>
      <c r="B116" s="10" t="s">
        <v>29</v>
      </c>
      <c r="C116" s="12">
        <v>44</v>
      </c>
      <c r="D116" s="13">
        <v>10000</v>
      </c>
      <c r="E116" s="9" t="str">
        <f t="shared" si="3"/>
        <v>TalaganteLoginsa</v>
      </c>
    </row>
    <row r="117" spans="1:5" ht="15" customHeight="1" x14ac:dyDescent="0.35">
      <c r="A117" s="10" t="s">
        <v>56</v>
      </c>
      <c r="B117" s="10" t="s">
        <v>23</v>
      </c>
      <c r="C117" s="12">
        <v>40</v>
      </c>
      <c r="D117" s="13">
        <v>10000</v>
      </c>
      <c r="E117" s="9" t="str">
        <f t="shared" si="3"/>
        <v>TalagantePadre Hurtado</v>
      </c>
    </row>
    <row r="118" spans="1:5" ht="15" customHeight="1" x14ac:dyDescent="0.35">
      <c r="A118" s="10" t="s">
        <v>57</v>
      </c>
      <c r="B118" s="10" t="s">
        <v>31</v>
      </c>
      <c r="C118" s="12">
        <v>150</v>
      </c>
      <c r="D118" s="13">
        <v>25000</v>
      </c>
      <c r="E118" s="9" t="str">
        <f t="shared" si="3"/>
        <v>TiltilLlay Llay</v>
      </c>
    </row>
    <row r="119" spans="1:5" ht="15" customHeight="1" x14ac:dyDescent="0.35">
      <c r="A119" s="10" t="s">
        <v>57</v>
      </c>
      <c r="B119" s="10" t="s">
        <v>28</v>
      </c>
      <c r="C119" s="12">
        <v>51</v>
      </c>
      <c r="D119" s="13">
        <v>10000</v>
      </c>
      <c r="E119" s="9" t="str">
        <f t="shared" si="3"/>
        <v>TiltilSan Bernardo</v>
      </c>
    </row>
    <row r="120" spans="1:5" ht="15" customHeight="1" x14ac:dyDescent="0.35">
      <c r="A120" s="10" t="s">
        <v>57</v>
      </c>
      <c r="B120" s="10" t="s">
        <v>29</v>
      </c>
      <c r="C120" s="12">
        <v>59</v>
      </c>
      <c r="D120" s="13">
        <v>10000</v>
      </c>
      <c r="E120" s="9" t="str">
        <f t="shared" si="3"/>
        <v>TiltilLoginsa</v>
      </c>
    </row>
    <row r="121" spans="1:5" ht="15" customHeight="1" x14ac:dyDescent="0.35">
      <c r="A121" s="10" t="s">
        <v>57</v>
      </c>
      <c r="B121" s="10" t="s">
        <v>23</v>
      </c>
      <c r="C121" s="12">
        <v>55</v>
      </c>
      <c r="D121" s="13">
        <v>10000</v>
      </c>
      <c r="E121" s="9" t="str">
        <f t="shared" si="3"/>
        <v>TiltilPadre Hurtado</v>
      </c>
    </row>
    <row r="122" spans="1:5" ht="15" customHeight="1" x14ac:dyDescent="0.35">
      <c r="A122" s="10" t="s">
        <v>58</v>
      </c>
      <c r="B122" s="10" t="s">
        <v>31</v>
      </c>
      <c r="C122" s="12">
        <v>200</v>
      </c>
      <c r="D122" s="13">
        <v>25000</v>
      </c>
      <c r="E122" s="9" t="str">
        <f t="shared" si="3"/>
        <v>Viña del MarLlay Llay</v>
      </c>
    </row>
    <row r="123" spans="1:5" ht="15" customHeight="1" x14ac:dyDescent="0.35">
      <c r="A123" s="10" t="s">
        <v>58</v>
      </c>
      <c r="B123" s="10" t="s">
        <v>28</v>
      </c>
      <c r="C123" s="12">
        <v>101</v>
      </c>
      <c r="D123" s="13">
        <v>10000</v>
      </c>
      <c r="E123" s="9" t="str">
        <f t="shared" si="3"/>
        <v>Viña del MarSan Bernardo</v>
      </c>
    </row>
    <row r="124" spans="1:5" ht="15" customHeight="1" x14ac:dyDescent="0.35">
      <c r="A124" s="10" t="s">
        <v>58</v>
      </c>
      <c r="B124" s="10" t="s">
        <v>29</v>
      </c>
      <c r="C124" s="12">
        <v>109</v>
      </c>
      <c r="D124" s="13">
        <v>10000</v>
      </c>
      <c r="E124" s="9" t="str">
        <f t="shared" si="3"/>
        <v>Viña del MarLoginsa</v>
      </c>
    </row>
    <row r="125" spans="1:5" ht="15" customHeight="1" x14ac:dyDescent="0.35">
      <c r="A125" s="10" t="s">
        <v>58</v>
      </c>
      <c r="B125" s="10" t="s">
        <v>23</v>
      </c>
      <c r="C125" s="12">
        <v>105</v>
      </c>
      <c r="D125" s="13">
        <v>10000</v>
      </c>
      <c r="E125" s="9" t="str">
        <f t="shared" si="3"/>
        <v>Viña del MarPadre Hurtado</v>
      </c>
    </row>
    <row r="126" spans="1:5" ht="15" customHeight="1" x14ac:dyDescent="0.35">
      <c r="A126" s="10" t="s">
        <v>59</v>
      </c>
      <c r="B126" s="10" t="s">
        <v>31</v>
      </c>
      <c r="C126" s="12">
        <v>117</v>
      </c>
      <c r="D126" s="13">
        <v>25000</v>
      </c>
      <c r="E126" s="9" t="str">
        <f t="shared" si="3"/>
        <v>VitacuraLlay Llay</v>
      </c>
    </row>
    <row r="127" spans="1:5" ht="15" customHeight="1" x14ac:dyDescent="0.35">
      <c r="A127" s="10" t="s">
        <v>59</v>
      </c>
      <c r="B127" s="10" t="s">
        <v>28</v>
      </c>
      <c r="C127" s="12">
        <v>18</v>
      </c>
      <c r="D127" s="13">
        <v>10000</v>
      </c>
      <c r="E127" s="9" t="str">
        <f t="shared" si="3"/>
        <v>VitacuraSan Bernardo</v>
      </c>
    </row>
    <row r="128" spans="1:5" ht="15" customHeight="1" x14ac:dyDescent="0.35">
      <c r="A128" s="10" t="s">
        <v>59</v>
      </c>
      <c r="B128" s="10" t="s">
        <v>29</v>
      </c>
      <c r="C128" s="12">
        <v>26</v>
      </c>
      <c r="D128" s="13">
        <v>10000</v>
      </c>
      <c r="E128" s="9" t="str">
        <f t="shared" si="3"/>
        <v>VitacuraLoginsa</v>
      </c>
    </row>
    <row r="129" spans="1:5" ht="15" customHeight="1" x14ac:dyDescent="0.35">
      <c r="A129" s="10" t="s">
        <v>59</v>
      </c>
      <c r="B129" s="10" t="s">
        <v>23</v>
      </c>
      <c r="C129" s="12">
        <v>22</v>
      </c>
      <c r="D129" s="13">
        <v>10000</v>
      </c>
      <c r="E129" s="9" t="str">
        <f t="shared" si="3"/>
        <v>VitacuraPadre Hurtado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7"/>
  <sheetViews>
    <sheetView zoomScaleNormal="100" workbookViewId="0"/>
  </sheetViews>
  <sheetFormatPr baseColWidth="10" defaultColWidth="8.6328125" defaultRowHeight="14.5" x14ac:dyDescent="0.35"/>
  <cols>
    <col min="1" max="1" width="14" customWidth="1"/>
    <col min="2" max="2" width="16" customWidth="1"/>
    <col min="3" max="3" width="11" customWidth="1"/>
    <col min="4" max="4" width="26" customWidth="1"/>
    <col min="5" max="5" width="13" customWidth="1"/>
  </cols>
  <sheetData>
    <row r="1" spans="1:6" ht="23.25" customHeight="1" x14ac:dyDescent="0.35">
      <c r="A1" s="3" t="s">
        <v>96</v>
      </c>
      <c r="B1" s="3" t="s">
        <v>121</v>
      </c>
      <c r="C1" s="3" t="s">
        <v>19</v>
      </c>
      <c r="D1" s="3" t="s">
        <v>122</v>
      </c>
      <c r="E1" s="3" t="s">
        <v>123</v>
      </c>
      <c r="F1" s="25" t="s">
        <v>22</v>
      </c>
    </row>
    <row r="2" spans="1:6" ht="15" customHeight="1" x14ac:dyDescent="0.35">
      <c r="A2" s="7" t="s">
        <v>23</v>
      </c>
      <c r="B2" s="7" t="s">
        <v>124</v>
      </c>
      <c r="C2" s="8">
        <v>141290</v>
      </c>
      <c r="D2" s="7">
        <v>80</v>
      </c>
      <c r="E2" s="32" t="str">
        <f>IF(D2&lt;Supuestos!$B$15,"Corta","Larga")</f>
        <v>Corta</v>
      </c>
      <c r="F2" s="9" t="str">
        <f t="shared" ref="F2:F33" si="0">A2&amp;B2</f>
        <v>Padre HurtadoGraneros</v>
      </c>
    </row>
    <row r="3" spans="1:6" ht="15" customHeight="1" x14ac:dyDescent="0.35">
      <c r="A3" s="10" t="s">
        <v>31</v>
      </c>
      <c r="B3" s="10" t="s">
        <v>124</v>
      </c>
      <c r="C3" s="8">
        <v>284347</v>
      </c>
      <c r="D3" s="7">
        <v>160</v>
      </c>
      <c r="E3" s="32" t="str">
        <f>IF(D3&lt;Supuestos!$B$15,"Corta","Larga")</f>
        <v>Corta</v>
      </c>
      <c r="F3" s="9" t="str">
        <f t="shared" si="0"/>
        <v>Llay LlayGraneros</v>
      </c>
    </row>
    <row r="4" spans="1:6" ht="15" customHeight="1" x14ac:dyDescent="0.35">
      <c r="A4" s="10" t="s">
        <v>28</v>
      </c>
      <c r="B4" s="10" t="s">
        <v>124</v>
      </c>
      <c r="C4" s="8">
        <v>167544</v>
      </c>
      <c r="D4" s="7">
        <v>60</v>
      </c>
      <c r="E4" s="32" t="str">
        <f>IF(D4&lt;Supuestos!$B$15,"Corta","Larga")</f>
        <v>Corta</v>
      </c>
      <c r="F4" s="9" t="str">
        <f t="shared" si="0"/>
        <v>San BernardoGraneros</v>
      </c>
    </row>
    <row r="5" spans="1:6" ht="15" customHeight="1" x14ac:dyDescent="0.35">
      <c r="A5" s="10" t="s">
        <v>29</v>
      </c>
      <c r="B5" s="10" t="s">
        <v>124</v>
      </c>
      <c r="C5" s="8">
        <v>156565</v>
      </c>
      <c r="D5" s="7">
        <v>72</v>
      </c>
      <c r="E5" s="32" t="str">
        <f>IF(D5&lt;Supuestos!$B$15,"Corta","Larga")</f>
        <v>Corta</v>
      </c>
      <c r="F5" s="9" t="str">
        <f t="shared" si="0"/>
        <v>LoginsaGraneros</v>
      </c>
    </row>
    <row r="6" spans="1:6" ht="15" customHeight="1" x14ac:dyDescent="0.35">
      <c r="A6" s="7" t="s">
        <v>23</v>
      </c>
      <c r="B6" s="7" t="s">
        <v>125</v>
      </c>
      <c r="C6" s="8">
        <v>160384</v>
      </c>
      <c r="D6" s="7">
        <v>85</v>
      </c>
      <c r="E6" s="32" t="str">
        <f>IF(D6&lt;Supuestos!$B$15,"Corta","Larga")</f>
        <v>Corta</v>
      </c>
      <c r="F6" s="9" t="str">
        <f t="shared" si="0"/>
        <v>Padre HurtadoRancagua</v>
      </c>
    </row>
    <row r="7" spans="1:6" ht="15" customHeight="1" x14ac:dyDescent="0.35">
      <c r="A7" s="10" t="s">
        <v>31</v>
      </c>
      <c r="B7" s="10" t="s">
        <v>125</v>
      </c>
      <c r="C7" s="8">
        <v>303775</v>
      </c>
      <c r="D7" s="7">
        <v>171</v>
      </c>
      <c r="E7" s="32" t="str">
        <f>IF(D7&lt;Supuestos!$B$15,"Corta","Larga")</f>
        <v>Larga</v>
      </c>
      <c r="F7" s="9" t="str">
        <f t="shared" si="0"/>
        <v>Llay LlayRancagua</v>
      </c>
    </row>
    <row r="8" spans="1:6" ht="15" customHeight="1" x14ac:dyDescent="0.35">
      <c r="A8" s="10" t="s">
        <v>28</v>
      </c>
      <c r="B8" s="10" t="s">
        <v>125</v>
      </c>
      <c r="C8" s="8">
        <v>186637</v>
      </c>
      <c r="D8" s="7">
        <v>70</v>
      </c>
      <c r="E8" s="32" t="str">
        <f>IF(D8&lt;Supuestos!$B$15,"Corta","Larga")</f>
        <v>Corta</v>
      </c>
      <c r="F8" s="9" t="str">
        <f t="shared" si="0"/>
        <v>San BernardoRancagua</v>
      </c>
    </row>
    <row r="9" spans="1:6" ht="15" customHeight="1" x14ac:dyDescent="0.35">
      <c r="A9" s="10" t="s">
        <v>29</v>
      </c>
      <c r="B9" s="10" t="s">
        <v>125</v>
      </c>
      <c r="C9" s="8">
        <v>175658</v>
      </c>
      <c r="D9" s="7">
        <v>82</v>
      </c>
      <c r="E9" s="32" t="str">
        <f>IF(D9&lt;Supuestos!$B$15,"Corta","Larga")</f>
        <v>Corta</v>
      </c>
      <c r="F9" s="9" t="str">
        <f t="shared" si="0"/>
        <v>LoginsaRancagua</v>
      </c>
    </row>
    <row r="10" spans="1:6" ht="15" customHeight="1" x14ac:dyDescent="0.35">
      <c r="A10" s="7" t="s">
        <v>23</v>
      </c>
      <c r="B10" s="7" t="s">
        <v>126</v>
      </c>
      <c r="C10" s="8">
        <v>219573</v>
      </c>
      <c r="D10" s="7">
        <v>110</v>
      </c>
      <c r="E10" s="32" t="str">
        <f>IF(D10&lt;Supuestos!$B$15,"Corta","Larga")</f>
        <v>Corta</v>
      </c>
      <c r="F10" s="9" t="str">
        <f t="shared" si="0"/>
        <v>Padre HurtadoRequínoa</v>
      </c>
    </row>
    <row r="11" spans="1:6" ht="15" customHeight="1" x14ac:dyDescent="0.35">
      <c r="A11" s="10" t="s">
        <v>31</v>
      </c>
      <c r="B11" s="10" t="s">
        <v>126</v>
      </c>
      <c r="C11" s="8">
        <v>362773</v>
      </c>
      <c r="D11" s="7">
        <v>188</v>
      </c>
      <c r="E11" s="32" t="str">
        <f>IF(D11&lt;Supuestos!$B$15,"Corta","Larga")</f>
        <v>Larga</v>
      </c>
      <c r="F11" s="9" t="str">
        <f t="shared" si="0"/>
        <v>Llay LlayRequínoa</v>
      </c>
    </row>
    <row r="12" spans="1:6" ht="15" customHeight="1" x14ac:dyDescent="0.35">
      <c r="A12" s="10" t="s">
        <v>28</v>
      </c>
      <c r="B12" s="10" t="s">
        <v>126</v>
      </c>
      <c r="C12" s="8">
        <v>245826</v>
      </c>
      <c r="D12" s="7">
        <v>87</v>
      </c>
      <c r="E12" s="32" t="str">
        <f>IF(D12&lt;Supuestos!$B$15,"Corta","Larga")</f>
        <v>Corta</v>
      </c>
      <c r="F12" s="9" t="str">
        <f t="shared" si="0"/>
        <v>San BernardoRequínoa</v>
      </c>
    </row>
    <row r="13" spans="1:6" ht="15" customHeight="1" x14ac:dyDescent="0.35">
      <c r="A13" s="10" t="s">
        <v>29</v>
      </c>
      <c r="B13" s="10" t="s">
        <v>126</v>
      </c>
      <c r="C13" s="8">
        <v>234848</v>
      </c>
      <c r="D13" s="7">
        <v>100</v>
      </c>
      <c r="E13" s="32" t="str">
        <f>IF(D13&lt;Supuestos!$B$15,"Corta","Larga")</f>
        <v>Corta</v>
      </c>
      <c r="F13" s="9" t="str">
        <f t="shared" si="0"/>
        <v>LoginsaRequínoa</v>
      </c>
    </row>
    <row r="14" spans="1:6" ht="15" customHeight="1" x14ac:dyDescent="0.35">
      <c r="A14" s="7" t="s">
        <v>23</v>
      </c>
      <c r="B14" s="7" t="s">
        <v>127</v>
      </c>
      <c r="C14" s="8">
        <v>276853</v>
      </c>
      <c r="D14" s="7">
        <v>123</v>
      </c>
      <c r="E14" s="32" t="str">
        <f>IF(D14&lt;Supuestos!$B$15,"Corta","Larga")</f>
        <v>Corta</v>
      </c>
      <c r="F14" s="9" t="str">
        <f t="shared" si="0"/>
        <v>Padre HurtadoPelequén</v>
      </c>
    </row>
    <row r="15" spans="1:6" ht="15" customHeight="1" x14ac:dyDescent="0.35">
      <c r="A15" s="10" t="s">
        <v>31</v>
      </c>
      <c r="B15" s="10" t="s">
        <v>127</v>
      </c>
      <c r="C15" s="8">
        <v>400959</v>
      </c>
      <c r="D15" s="7">
        <v>209</v>
      </c>
      <c r="E15" s="32" t="str">
        <f>IF(D15&lt;Supuestos!$B$15,"Corta","Larga")</f>
        <v>Larga</v>
      </c>
      <c r="F15" s="9" t="str">
        <f t="shared" si="0"/>
        <v>Llay LlayPelequén</v>
      </c>
    </row>
    <row r="16" spans="1:6" ht="15" customHeight="1" x14ac:dyDescent="0.35">
      <c r="A16" s="10" t="s">
        <v>28</v>
      </c>
      <c r="B16" s="10" t="s">
        <v>127</v>
      </c>
      <c r="C16" s="8">
        <v>303106</v>
      </c>
      <c r="D16" s="7">
        <v>108</v>
      </c>
      <c r="E16" s="32" t="str">
        <f>IF(D16&lt;Supuestos!$B$15,"Corta","Larga")</f>
        <v>Corta</v>
      </c>
      <c r="F16" s="9" t="str">
        <f t="shared" si="0"/>
        <v>San BernardoPelequén</v>
      </c>
    </row>
    <row r="17" spans="1:6" ht="15" customHeight="1" x14ac:dyDescent="0.35">
      <c r="A17" s="10" t="s">
        <v>29</v>
      </c>
      <c r="B17" s="10" t="s">
        <v>127</v>
      </c>
      <c r="C17" s="8">
        <v>292128</v>
      </c>
      <c r="D17" s="7">
        <v>121</v>
      </c>
      <c r="E17" s="32" t="str">
        <f>IF(D17&lt;Supuestos!$B$15,"Corta","Larga")</f>
        <v>Corta</v>
      </c>
      <c r="F17" s="9" t="str">
        <f t="shared" si="0"/>
        <v>LoginsaPelequén</v>
      </c>
    </row>
    <row r="18" spans="1:6" ht="15" customHeight="1" x14ac:dyDescent="0.35">
      <c r="A18" s="7" t="s">
        <v>23</v>
      </c>
      <c r="B18" s="7" t="s">
        <v>128</v>
      </c>
      <c r="C18" s="8">
        <v>234848</v>
      </c>
      <c r="D18" s="7">
        <v>123</v>
      </c>
      <c r="E18" s="32" t="str">
        <f>IF(D18&lt;Supuestos!$B$15,"Corta","Larga")</f>
        <v>Corta</v>
      </c>
      <c r="F18" s="9" t="str">
        <f t="shared" si="0"/>
        <v>Padre HurtadoMalloa</v>
      </c>
    </row>
    <row r="19" spans="1:6" ht="15" customHeight="1" x14ac:dyDescent="0.35">
      <c r="A19" s="10" t="s">
        <v>31</v>
      </c>
      <c r="B19" s="10" t="s">
        <v>128</v>
      </c>
      <c r="C19" s="8">
        <v>369121</v>
      </c>
      <c r="D19" s="7">
        <v>209</v>
      </c>
      <c r="E19" s="32" t="str">
        <f>IF(D19&lt;Supuestos!$B$15,"Corta","Larga")</f>
        <v>Larga</v>
      </c>
      <c r="F19" s="9" t="str">
        <f t="shared" si="0"/>
        <v>Llay LlayMalloa</v>
      </c>
    </row>
    <row r="20" spans="1:6" ht="15" customHeight="1" x14ac:dyDescent="0.35">
      <c r="A20" s="10" t="s">
        <v>28</v>
      </c>
      <c r="B20" s="10" t="s">
        <v>128</v>
      </c>
      <c r="C20" s="8">
        <v>261101</v>
      </c>
      <c r="D20" s="7">
        <v>108</v>
      </c>
      <c r="E20" s="32" t="str">
        <f>IF(D20&lt;Supuestos!$B$15,"Corta","Larga")</f>
        <v>Corta</v>
      </c>
      <c r="F20" s="9" t="str">
        <f t="shared" si="0"/>
        <v>San BernardoMalloa</v>
      </c>
    </row>
    <row r="21" spans="1:6" ht="15" customHeight="1" x14ac:dyDescent="0.35">
      <c r="A21" s="10" t="s">
        <v>29</v>
      </c>
      <c r="B21" s="10" t="s">
        <v>128</v>
      </c>
      <c r="C21" s="8">
        <v>250122</v>
      </c>
      <c r="D21" s="7">
        <v>108</v>
      </c>
      <c r="E21" s="32" t="str">
        <f>IF(D21&lt;Supuestos!$B$15,"Corta","Larga")</f>
        <v>Corta</v>
      </c>
      <c r="F21" s="9" t="str">
        <f t="shared" si="0"/>
        <v>LoginsaMalloa</v>
      </c>
    </row>
    <row r="22" spans="1:6" ht="15" customHeight="1" x14ac:dyDescent="0.35">
      <c r="A22" s="7" t="s">
        <v>23</v>
      </c>
      <c r="B22" s="7" t="s">
        <v>129</v>
      </c>
      <c r="C22" s="8">
        <v>219573</v>
      </c>
      <c r="D22" s="7">
        <v>127</v>
      </c>
      <c r="E22" s="32" t="str">
        <f>IF(D22&lt;Supuestos!$B$15,"Corta","Larga")</f>
        <v>Corta</v>
      </c>
      <c r="F22" s="9" t="str">
        <f t="shared" si="0"/>
        <v>Padre HurtadoRengo</v>
      </c>
    </row>
    <row r="23" spans="1:6" ht="15" customHeight="1" x14ac:dyDescent="0.35">
      <c r="A23" s="10" t="s">
        <v>31</v>
      </c>
      <c r="B23" s="10" t="s">
        <v>129</v>
      </c>
      <c r="C23" s="8">
        <v>354992</v>
      </c>
      <c r="D23" s="7">
        <v>203</v>
      </c>
      <c r="E23" s="32" t="str">
        <f>IF(D23&lt;Supuestos!$B$15,"Corta","Larga")</f>
        <v>Larga</v>
      </c>
      <c r="F23" s="9" t="str">
        <f t="shared" si="0"/>
        <v>Llay LlayRengo</v>
      </c>
    </row>
    <row r="24" spans="1:6" ht="15" customHeight="1" x14ac:dyDescent="0.35">
      <c r="A24" s="10" t="s">
        <v>28</v>
      </c>
      <c r="B24" s="10" t="s">
        <v>129</v>
      </c>
      <c r="C24" s="8">
        <v>245826</v>
      </c>
      <c r="D24" s="7">
        <v>102</v>
      </c>
      <c r="E24" s="32" t="str">
        <f>IF(D24&lt;Supuestos!$B$15,"Corta","Larga")</f>
        <v>Corta</v>
      </c>
      <c r="F24" s="9" t="str">
        <f t="shared" si="0"/>
        <v>San BernardoRengo</v>
      </c>
    </row>
    <row r="25" spans="1:6" ht="15" customHeight="1" x14ac:dyDescent="0.35">
      <c r="A25" s="10" t="s">
        <v>29</v>
      </c>
      <c r="B25" s="10" t="s">
        <v>129</v>
      </c>
      <c r="C25" s="8">
        <v>234848</v>
      </c>
      <c r="D25" s="7">
        <v>115</v>
      </c>
      <c r="E25" s="32" t="str">
        <f>IF(D25&lt;Supuestos!$B$15,"Corta","Larga")</f>
        <v>Corta</v>
      </c>
      <c r="F25" s="9" t="str">
        <f t="shared" si="0"/>
        <v>LoginsaRengo</v>
      </c>
    </row>
    <row r="26" spans="1:6" ht="15" customHeight="1" x14ac:dyDescent="0.35">
      <c r="A26" s="7" t="s">
        <v>23</v>
      </c>
      <c r="B26" s="7" t="s">
        <v>130</v>
      </c>
      <c r="C26" s="8">
        <v>263488</v>
      </c>
      <c r="D26" s="7">
        <v>138</v>
      </c>
      <c r="E26" s="32" t="str">
        <f>IF(D26&lt;Supuestos!$B$15,"Corta","Larga")</f>
        <v>Corta</v>
      </c>
      <c r="F26" s="9" t="str">
        <f t="shared" si="0"/>
        <v>Padre HurtadoSan Fernando</v>
      </c>
    </row>
    <row r="27" spans="1:6" ht="15" customHeight="1" x14ac:dyDescent="0.35">
      <c r="A27" s="10" t="s">
        <v>31</v>
      </c>
      <c r="B27" s="10" t="s">
        <v>130</v>
      </c>
      <c r="C27" s="8">
        <v>399146</v>
      </c>
      <c r="D27" s="7">
        <v>224</v>
      </c>
      <c r="E27" s="32" t="str">
        <f>IF(D27&lt;Supuestos!$B$15,"Corta","Larga")</f>
        <v>Larga</v>
      </c>
      <c r="F27" s="9" t="str">
        <f t="shared" si="0"/>
        <v>Llay LlaySan Fernando</v>
      </c>
    </row>
    <row r="28" spans="1:6" ht="15" customHeight="1" x14ac:dyDescent="0.35">
      <c r="A28" s="10" t="s">
        <v>28</v>
      </c>
      <c r="B28" s="10" t="s">
        <v>130</v>
      </c>
      <c r="C28" s="8">
        <v>289741</v>
      </c>
      <c r="D28" s="7">
        <v>123</v>
      </c>
      <c r="E28" s="32" t="str">
        <f>IF(D28&lt;Supuestos!$B$15,"Corta","Larga")</f>
        <v>Corta</v>
      </c>
      <c r="F28" s="9" t="str">
        <f t="shared" si="0"/>
        <v>San BernardoSan Fernando</v>
      </c>
    </row>
    <row r="29" spans="1:6" ht="15" customHeight="1" x14ac:dyDescent="0.35">
      <c r="A29" s="10" t="s">
        <v>29</v>
      </c>
      <c r="B29" s="10" t="s">
        <v>130</v>
      </c>
      <c r="C29" s="8">
        <v>278762</v>
      </c>
      <c r="D29" s="7">
        <v>142</v>
      </c>
      <c r="E29" s="32" t="str">
        <f>IF(D29&lt;Supuestos!$B$15,"Corta","Larga")</f>
        <v>Corta</v>
      </c>
      <c r="F29" s="9" t="str">
        <f t="shared" si="0"/>
        <v>LoginsaSan Fernando</v>
      </c>
    </row>
    <row r="30" spans="1:6" ht="15" customHeight="1" x14ac:dyDescent="0.35">
      <c r="A30" s="7" t="s">
        <v>23</v>
      </c>
      <c r="B30" s="7" t="s">
        <v>131</v>
      </c>
      <c r="C30" s="8">
        <v>278762</v>
      </c>
      <c r="D30" s="7">
        <v>150</v>
      </c>
      <c r="E30" s="32" t="str">
        <f>IF(D30&lt;Supuestos!$B$15,"Corta","Larga")</f>
        <v>Corta</v>
      </c>
      <c r="F30" s="9" t="str">
        <f t="shared" si="0"/>
        <v>Padre HurtadoPeumo</v>
      </c>
    </row>
    <row r="31" spans="1:6" ht="15" customHeight="1" x14ac:dyDescent="0.35">
      <c r="A31" s="10" t="s">
        <v>31</v>
      </c>
      <c r="B31" s="10" t="s">
        <v>131</v>
      </c>
      <c r="C31" s="8">
        <v>415041</v>
      </c>
      <c r="D31" s="7">
        <v>226</v>
      </c>
      <c r="E31" s="32" t="str">
        <f>IF(D31&lt;Supuestos!$B$15,"Corta","Larga")</f>
        <v>Larga</v>
      </c>
      <c r="F31" s="9" t="str">
        <f t="shared" si="0"/>
        <v>Llay LlayPeumo</v>
      </c>
    </row>
    <row r="32" spans="1:6" ht="15" customHeight="1" x14ac:dyDescent="0.35">
      <c r="A32" s="10" t="s">
        <v>28</v>
      </c>
      <c r="B32" s="10" t="s">
        <v>131</v>
      </c>
      <c r="C32" s="8">
        <v>305016</v>
      </c>
      <c r="D32" s="7">
        <v>126</v>
      </c>
      <c r="E32" s="32" t="str">
        <f>IF(D32&lt;Supuestos!$B$15,"Corta","Larga")</f>
        <v>Corta</v>
      </c>
      <c r="F32" s="9" t="str">
        <f t="shared" si="0"/>
        <v>San BernardoPeumo</v>
      </c>
    </row>
    <row r="33" spans="1:6" ht="15" customHeight="1" x14ac:dyDescent="0.35">
      <c r="A33" s="10" t="s">
        <v>29</v>
      </c>
      <c r="B33" s="10" t="s">
        <v>131</v>
      </c>
      <c r="C33" s="8">
        <v>294037</v>
      </c>
      <c r="D33" s="7">
        <v>138</v>
      </c>
      <c r="E33" s="32" t="str">
        <f>IF(D33&lt;Supuestos!$B$15,"Corta","Larga")</f>
        <v>Corta</v>
      </c>
      <c r="F33" s="9" t="str">
        <f t="shared" si="0"/>
        <v>LoginsaPeumo</v>
      </c>
    </row>
    <row r="34" spans="1:6" ht="15" customHeight="1" x14ac:dyDescent="0.35">
      <c r="A34" s="7" t="s">
        <v>23</v>
      </c>
      <c r="B34" s="7" t="s">
        <v>132</v>
      </c>
      <c r="C34" s="8">
        <v>290218</v>
      </c>
      <c r="D34" s="7">
        <v>155</v>
      </c>
      <c r="E34" s="32" t="str">
        <f>IF(D34&lt;Supuestos!$B$15,"Corta","Larga")</f>
        <v>Corta</v>
      </c>
      <c r="F34" s="9" t="str">
        <f t="shared" ref="F34:F65" si="1">A34&amp;B34</f>
        <v>Padre HurtadoChimbarongo</v>
      </c>
    </row>
    <row r="35" spans="1:6" ht="15" customHeight="1" x14ac:dyDescent="0.35">
      <c r="A35" s="10" t="s">
        <v>31</v>
      </c>
      <c r="B35" s="10" t="s">
        <v>132</v>
      </c>
      <c r="C35" s="8">
        <v>427404</v>
      </c>
      <c r="D35" s="7">
        <v>241</v>
      </c>
      <c r="E35" s="32" t="str">
        <f>IF(D35&lt;Supuestos!$B$15,"Corta","Larga")</f>
        <v>Larga</v>
      </c>
      <c r="F35" s="9" t="str">
        <f t="shared" si="1"/>
        <v>Llay LlayChimbarongo</v>
      </c>
    </row>
    <row r="36" spans="1:6" ht="15" customHeight="1" x14ac:dyDescent="0.35">
      <c r="A36" s="10" t="s">
        <v>28</v>
      </c>
      <c r="B36" s="10" t="s">
        <v>132</v>
      </c>
      <c r="C36" s="8">
        <v>316472</v>
      </c>
      <c r="D36" s="7">
        <v>140</v>
      </c>
      <c r="E36" s="32" t="str">
        <f>IF(D36&lt;Supuestos!$B$15,"Corta","Larga")</f>
        <v>Corta</v>
      </c>
      <c r="F36" s="9" t="str">
        <f t="shared" si="1"/>
        <v>San BernardoChimbarongo</v>
      </c>
    </row>
    <row r="37" spans="1:6" ht="15" customHeight="1" x14ac:dyDescent="0.35">
      <c r="A37" s="10" t="s">
        <v>29</v>
      </c>
      <c r="B37" s="10" t="s">
        <v>132</v>
      </c>
      <c r="C37" s="8">
        <v>305493</v>
      </c>
      <c r="D37" s="7">
        <v>153</v>
      </c>
      <c r="E37" s="32" t="str">
        <f>IF(D37&lt;Supuestos!$B$15,"Corta","Larga")</f>
        <v>Corta</v>
      </c>
      <c r="F37" s="9" t="str">
        <f t="shared" si="1"/>
        <v>LoginsaChimbarongo</v>
      </c>
    </row>
    <row r="38" spans="1:6" ht="15" customHeight="1" x14ac:dyDescent="0.35">
      <c r="A38" s="7" t="s">
        <v>23</v>
      </c>
      <c r="B38" s="7" t="s">
        <v>133</v>
      </c>
      <c r="C38" s="8">
        <v>328405</v>
      </c>
      <c r="D38" s="7">
        <v>155</v>
      </c>
      <c r="E38" s="32" t="str">
        <f>IF(D38&lt;Supuestos!$B$15,"Corta","Larga")</f>
        <v>Corta</v>
      </c>
      <c r="F38" s="9" t="str">
        <f t="shared" si="1"/>
        <v>Padre HurtadoPlacilla</v>
      </c>
    </row>
    <row r="39" spans="1:6" ht="15" customHeight="1" x14ac:dyDescent="0.35">
      <c r="A39" s="10" t="s">
        <v>31</v>
      </c>
      <c r="B39" s="10" t="s">
        <v>133</v>
      </c>
      <c r="C39" s="8">
        <v>425638</v>
      </c>
      <c r="D39" s="7">
        <v>241</v>
      </c>
      <c r="E39" s="32" t="str">
        <f>IF(D39&lt;Supuestos!$B$15,"Corta","Larga")</f>
        <v>Larga</v>
      </c>
      <c r="F39" s="9" t="str">
        <f t="shared" si="1"/>
        <v>Llay LlayPlacilla</v>
      </c>
    </row>
    <row r="40" spans="1:6" ht="15" customHeight="1" x14ac:dyDescent="0.35">
      <c r="A40" s="10" t="s">
        <v>28</v>
      </c>
      <c r="B40" s="10" t="s">
        <v>133</v>
      </c>
      <c r="C40" s="8">
        <v>354658</v>
      </c>
      <c r="D40" s="7">
        <v>151</v>
      </c>
      <c r="E40" s="32" t="str">
        <f>IF(D40&lt;Supuestos!$B$15,"Corta","Larga")</f>
        <v>Corta</v>
      </c>
      <c r="F40" s="9" t="str">
        <f t="shared" si="1"/>
        <v>San BernardoPlacilla</v>
      </c>
    </row>
    <row r="41" spans="1:6" ht="15" customHeight="1" x14ac:dyDescent="0.35">
      <c r="A41" s="10" t="s">
        <v>29</v>
      </c>
      <c r="B41" s="10" t="s">
        <v>133</v>
      </c>
      <c r="C41" s="8">
        <v>343680</v>
      </c>
      <c r="D41" s="7">
        <v>159</v>
      </c>
      <c r="E41" s="32" t="str">
        <f>IF(D41&lt;Supuestos!$B$15,"Corta","Larga")</f>
        <v>Corta</v>
      </c>
      <c r="F41" s="9" t="str">
        <f t="shared" si="1"/>
        <v>LoginsaPlacilla</v>
      </c>
    </row>
    <row r="42" spans="1:6" ht="15" customHeight="1" x14ac:dyDescent="0.35">
      <c r="A42" s="7" t="s">
        <v>23</v>
      </c>
      <c r="B42" s="7" t="s">
        <v>134</v>
      </c>
      <c r="C42" s="8">
        <v>305493</v>
      </c>
      <c r="D42" s="7">
        <v>155</v>
      </c>
      <c r="E42" s="32" t="str">
        <f>IF(D42&lt;Supuestos!$B$15,"Corta","Larga")</f>
        <v>Corta</v>
      </c>
      <c r="F42" s="9" t="str">
        <f t="shared" si="1"/>
        <v>Padre HurtadoSan Vicente</v>
      </c>
    </row>
    <row r="43" spans="1:6" ht="15" customHeight="1" x14ac:dyDescent="0.35">
      <c r="A43" s="10" t="s">
        <v>31</v>
      </c>
      <c r="B43" s="10" t="s">
        <v>134</v>
      </c>
      <c r="C43" s="8">
        <v>439146</v>
      </c>
      <c r="D43" s="7">
        <v>227</v>
      </c>
      <c r="E43" s="32" t="str">
        <f>IF(D43&lt;Supuestos!$B$15,"Corta","Larga")</f>
        <v>Larga</v>
      </c>
      <c r="F43" s="9" t="str">
        <f t="shared" si="1"/>
        <v>Llay LlaySan Vicente</v>
      </c>
    </row>
    <row r="44" spans="1:6" ht="15" customHeight="1" x14ac:dyDescent="0.35">
      <c r="A44" s="10" t="s">
        <v>28</v>
      </c>
      <c r="B44" s="10" t="s">
        <v>134</v>
      </c>
      <c r="C44" s="8">
        <v>331746</v>
      </c>
      <c r="D44" s="7">
        <v>151</v>
      </c>
      <c r="E44" s="32" t="str">
        <f>IF(D44&lt;Supuestos!$B$15,"Corta","Larga")</f>
        <v>Corta</v>
      </c>
      <c r="F44" s="9" t="str">
        <f t="shared" si="1"/>
        <v>San BernardoSan Vicente</v>
      </c>
    </row>
    <row r="45" spans="1:6" ht="15" customHeight="1" x14ac:dyDescent="0.35">
      <c r="A45" s="10" t="s">
        <v>29</v>
      </c>
      <c r="B45" s="10" t="s">
        <v>134</v>
      </c>
      <c r="C45" s="8">
        <v>320768</v>
      </c>
      <c r="D45" s="7">
        <v>159</v>
      </c>
      <c r="E45" s="32" t="str">
        <f>IF(D45&lt;Supuestos!$B$15,"Corta","Larga")</f>
        <v>Corta</v>
      </c>
      <c r="F45" s="9" t="str">
        <f t="shared" si="1"/>
        <v>LoginsaSan Vicente</v>
      </c>
    </row>
    <row r="46" spans="1:6" ht="15" customHeight="1" x14ac:dyDescent="0.35">
      <c r="A46" s="7" t="s">
        <v>23</v>
      </c>
      <c r="B46" s="7" t="s">
        <v>135</v>
      </c>
      <c r="C46" s="8">
        <v>305493</v>
      </c>
      <c r="D46" s="7">
        <v>159</v>
      </c>
      <c r="E46" s="32" t="str">
        <f>IF(D46&lt;Supuestos!$B$15,"Corta","Larga")</f>
        <v>Corta</v>
      </c>
      <c r="F46" s="9" t="str">
        <f t="shared" si="1"/>
        <v>Padre HurtadoPeralillo</v>
      </c>
    </row>
    <row r="47" spans="1:6" ht="15" customHeight="1" x14ac:dyDescent="0.35">
      <c r="A47" s="10" t="s">
        <v>31</v>
      </c>
      <c r="B47" s="10" t="s">
        <v>135</v>
      </c>
      <c r="C47" s="8">
        <v>503347</v>
      </c>
      <c r="D47" s="7">
        <v>280</v>
      </c>
      <c r="E47" s="32" t="str">
        <f>IF(D47&lt;Supuestos!$B$15,"Corta","Larga")</f>
        <v>Larga</v>
      </c>
      <c r="F47" s="9" t="str">
        <f t="shared" si="1"/>
        <v>Llay LlayPeralillo</v>
      </c>
    </row>
    <row r="48" spans="1:6" ht="15" customHeight="1" x14ac:dyDescent="0.35">
      <c r="A48" s="10" t="s">
        <v>28</v>
      </c>
      <c r="B48" s="10" t="s">
        <v>135</v>
      </c>
      <c r="C48" s="8">
        <v>331746</v>
      </c>
      <c r="D48" s="7">
        <v>155</v>
      </c>
      <c r="E48" s="32" t="str">
        <f>IF(D48&lt;Supuestos!$B$15,"Corta","Larga")</f>
        <v>Corta</v>
      </c>
      <c r="F48" s="9" t="str">
        <f t="shared" si="1"/>
        <v>San BernardoPeralillo</v>
      </c>
    </row>
    <row r="49" spans="1:6" ht="15" customHeight="1" x14ac:dyDescent="0.35">
      <c r="A49" s="10" t="s">
        <v>29</v>
      </c>
      <c r="B49" s="10" t="s">
        <v>135</v>
      </c>
      <c r="C49" s="8">
        <v>320768</v>
      </c>
      <c r="D49" s="7">
        <v>163</v>
      </c>
      <c r="E49" s="32" t="str">
        <f>IF(D49&lt;Supuestos!$B$15,"Corta","Larga")</f>
        <v>Larga</v>
      </c>
      <c r="F49" s="9" t="str">
        <f t="shared" si="1"/>
        <v>LoginsaPeralillo</v>
      </c>
    </row>
    <row r="50" spans="1:6" ht="15" customHeight="1" x14ac:dyDescent="0.35">
      <c r="A50" s="7" t="s">
        <v>23</v>
      </c>
      <c r="B50" s="7" t="s">
        <v>136</v>
      </c>
      <c r="C50" s="8">
        <v>297856</v>
      </c>
      <c r="D50" s="7">
        <v>160</v>
      </c>
      <c r="E50" s="32" t="str">
        <f>IF(D50&lt;Supuestos!$B$15,"Corta","Larga")</f>
        <v>Corta</v>
      </c>
      <c r="F50" s="9" t="str">
        <f t="shared" si="1"/>
        <v>Padre HurtadoMarchihue</v>
      </c>
    </row>
    <row r="51" spans="1:6" ht="15" customHeight="1" x14ac:dyDescent="0.35">
      <c r="A51" s="10" t="s">
        <v>31</v>
      </c>
      <c r="B51" s="10" t="s">
        <v>136</v>
      </c>
      <c r="C51" s="8">
        <v>468025</v>
      </c>
      <c r="D51" s="7">
        <v>267</v>
      </c>
      <c r="E51" s="32" t="str">
        <f>IF(D51&lt;Supuestos!$B$15,"Corta","Larga")</f>
        <v>Larga</v>
      </c>
      <c r="F51" s="9" t="str">
        <f t="shared" si="1"/>
        <v>Llay LlayMarchihue</v>
      </c>
    </row>
    <row r="52" spans="1:6" ht="15" customHeight="1" x14ac:dyDescent="0.35">
      <c r="A52" s="10" t="s">
        <v>28</v>
      </c>
      <c r="B52" s="10" t="s">
        <v>136</v>
      </c>
      <c r="C52" s="8">
        <v>324109</v>
      </c>
      <c r="D52" s="7">
        <v>156</v>
      </c>
      <c r="E52" s="32" t="str">
        <f>IF(D52&lt;Supuestos!$B$15,"Corta","Larga")</f>
        <v>Corta</v>
      </c>
      <c r="F52" s="9" t="str">
        <f t="shared" si="1"/>
        <v>San BernardoMarchihue</v>
      </c>
    </row>
    <row r="53" spans="1:6" ht="15" customHeight="1" x14ac:dyDescent="0.35">
      <c r="A53" s="10" t="s">
        <v>29</v>
      </c>
      <c r="B53" s="10" t="s">
        <v>136</v>
      </c>
      <c r="C53" s="8">
        <v>313130</v>
      </c>
      <c r="D53" s="7">
        <v>164</v>
      </c>
      <c r="E53" s="32" t="str">
        <f>IF(D53&lt;Supuestos!$B$15,"Corta","Larga")</f>
        <v>Larga</v>
      </c>
      <c r="F53" s="9" t="str">
        <f t="shared" si="1"/>
        <v>LoginsaMarchihue</v>
      </c>
    </row>
    <row r="54" spans="1:6" ht="15" customHeight="1" x14ac:dyDescent="0.35">
      <c r="A54" s="7" t="s">
        <v>23</v>
      </c>
      <c r="B54" s="7" t="s">
        <v>137</v>
      </c>
      <c r="C54" s="8">
        <v>309312</v>
      </c>
      <c r="D54" s="7">
        <v>163</v>
      </c>
      <c r="E54" s="32" t="str">
        <f>IF(D54&lt;Supuestos!$B$15,"Corta","Larga")</f>
        <v>Larga</v>
      </c>
      <c r="F54" s="9" t="str">
        <f t="shared" si="1"/>
        <v>Padre HurtadoNancagua</v>
      </c>
    </row>
    <row r="55" spans="1:6" ht="15" customHeight="1" x14ac:dyDescent="0.35">
      <c r="A55" s="10" t="s">
        <v>31</v>
      </c>
      <c r="B55" s="10" t="s">
        <v>137</v>
      </c>
      <c r="C55" s="8">
        <v>439767</v>
      </c>
      <c r="D55" s="7">
        <v>249</v>
      </c>
      <c r="E55" s="32" t="str">
        <f>IF(D55&lt;Supuestos!$B$15,"Corta","Larga")</f>
        <v>Larga</v>
      </c>
      <c r="F55" s="9" t="str">
        <f t="shared" si="1"/>
        <v>Llay LlayNancagua</v>
      </c>
    </row>
    <row r="56" spans="1:6" ht="15" customHeight="1" x14ac:dyDescent="0.35">
      <c r="A56" s="10" t="s">
        <v>28</v>
      </c>
      <c r="B56" s="10" t="s">
        <v>137</v>
      </c>
      <c r="C56" s="8">
        <v>335565</v>
      </c>
      <c r="D56" s="7">
        <v>159</v>
      </c>
      <c r="E56" s="32" t="str">
        <f>IF(D56&lt;Supuestos!$B$15,"Corta","Larga")</f>
        <v>Corta</v>
      </c>
      <c r="F56" s="9" t="str">
        <f t="shared" si="1"/>
        <v>San BernardoNancagua</v>
      </c>
    </row>
    <row r="57" spans="1:6" ht="15" customHeight="1" x14ac:dyDescent="0.35">
      <c r="A57" s="10" t="s">
        <v>29</v>
      </c>
      <c r="B57" s="10" t="s">
        <v>137</v>
      </c>
      <c r="C57" s="8">
        <v>324586</v>
      </c>
      <c r="D57" s="7">
        <v>167</v>
      </c>
      <c r="E57" s="32" t="str">
        <f>IF(D57&lt;Supuestos!$B$15,"Corta","Larga")</f>
        <v>Larga</v>
      </c>
      <c r="F57" s="9" t="str">
        <f t="shared" si="1"/>
        <v>LoginsaNancagua</v>
      </c>
    </row>
    <row r="58" spans="1:6" ht="15" customHeight="1" x14ac:dyDescent="0.35">
      <c r="A58" s="7" t="s">
        <v>23</v>
      </c>
      <c r="B58" s="7" t="s">
        <v>138</v>
      </c>
      <c r="C58" s="8">
        <v>334133</v>
      </c>
      <c r="D58" s="7">
        <v>178</v>
      </c>
      <c r="E58" s="32" t="str">
        <f>IF(D58&lt;Supuestos!$B$15,"Corta","Larga")</f>
        <v>Larga</v>
      </c>
      <c r="F58" s="9" t="str">
        <f t="shared" si="1"/>
        <v>Padre HurtadoSanta Cruz</v>
      </c>
    </row>
    <row r="59" spans="1:6" ht="15" customHeight="1" x14ac:dyDescent="0.35">
      <c r="A59" s="10" t="s">
        <v>31</v>
      </c>
      <c r="B59" s="10" t="s">
        <v>138</v>
      </c>
      <c r="C59" s="8">
        <v>468025</v>
      </c>
      <c r="D59" s="7">
        <v>265</v>
      </c>
      <c r="E59" s="32" t="str">
        <f>IF(D59&lt;Supuestos!$B$15,"Corta","Larga")</f>
        <v>Larga</v>
      </c>
      <c r="F59" s="9" t="str">
        <f t="shared" si="1"/>
        <v>Llay LlaySanta Cruz</v>
      </c>
    </row>
    <row r="60" spans="1:6" ht="15" customHeight="1" x14ac:dyDescent="0.35">
      <c r="A60" s="10" t="s">
        <v>28</v>
      </c>
      <c r="B60" s="10" t="s">
        <v>138</v>
      </c>
      <c r="C60" s="8">
        <v>360386</v>
      </c>
      <c r="D60" s="7">
        <v>174</v>
      </c>
      <c r="E60" s="32" t="str">
        <f>IF(D60&lt;Supuestos!$B$15,"Corta","Larga")</f>
        <v>Larga</v>
      </c>
      <c r="F60" s="9" t="str">
        <f t="shared" si="1"/>
        <v>San BernardoSanta Cruz</v>
      </c>
    </row>
    <row r="61" spans="1:6" ht="15" customHeight="1" x14ac:dyDescent="0.35">
      <c r="A61" s="10" t="s">
        <v>29</v>
      </c>
      <c r="B61" s="10" t="s">
        <v>138</v>
      </c>
      <c r="C61" s="8">
        <v>349408</v>
      </c>
      <c r="D61" s="7">
        <v>182</v>
      </c>
      <c r="E61" s="32" t="str">
        <f>IF(D61&lt;Supuestos!$B$15,"Corta","Larga")</f>
        <v>Larga</v>
      </c>
      <c r="F61" s="9" t="str">
        <f t="shared" si="1"/>
        <v>LoginsaSanta Cruz</v>
      </c>
    </row>
    <row r="62" spans="1:6" ht="15" customHeight="1" x14ac:dyDescent="0.35">
      <c r="A62" s="7" t="s">
        <v>23</v>
      </c>
      <c r="B62" s="7" t="s">
        <v>139</v>
      </c>
      <c r="C62" s="8">
        <v>345589</v>
      </c>
      <c r="D62" s="7">
        <v>180</v>
      </c>
      <c r="E62" s="32" t="str">
        <f>IF(D62&lt;Supuestos!$B$15,"Corta","Larga")</f>
        <v>Larga</v>
      </c>
      <c r="F62" s="9" t="str">
        <f t="shared" si="1"/>
        <v>Padre HurtadoTeno</v>
      </c>
    </row>
    <row r="63" spans="1:6" ht="15" customHeight="1" x14ac:dyDescent="0.35">
      <c r="A63" s="10" t="s">
        <v>31</v>
      </c>
      <c r="B63" s="10" t="s">
        <v>139</v>
      </c>
      <c r="C63" s="8">
        <v>468025</v>
      </c>
      <c r="D63" s="7">
        <v>265</v>
      </c>
      <c r="E63" s="32" t="str">
        <f>IF(D63&lt;Supuestos!$B$15,"Corta","Larga")</f>
        <v>Larga</v>
      </c>
      <c r="F63" s="9" t="str">
        <f t="shared" si="1"/>
        <v>Llay LlayTeno</v>
      </c>
    </row>
    <row r="64" spans="1:6" ht="15" customHeight="1" x14ac:dyDescent="0.35">
      <c r="A64" s="10" t="s">
        <v>28</v>
      </c>
      <c r="B64" s="10" t="s">
        <v>139</v>
      </c>
      <c r="C64" s="8">
        <v>371842</v>
      </c>
      <c r="D64" s="7">
        <v>176</v>
      </c>
      <c r="E64" s="32" t="str">
        <f>IF(D64&lt;Supuestos!$B$15,"Corta","Larga")</f>
        <v>Larga</v>
      </c>
      <c r="F64" s="9" t="str">
        <f t="shared" si="1"/>
        <v>San BernardoTeno</v>
      </c>
    </row>
    <row r="65" spans="1:6" ht="15" customHeight="1" x14ac:dyDescent="0.35">
      <c r="A65" s="10" t="s">
        <v>29</v>
      </c>
      <c r="B65" s="10" t="s">
        <v>139</v>
      </c>
      <c r="C65" s="8">
        <v>360864</v>
      </c>
      <c r="D65" s="7">
        <v>184</v>
      </c>
      <c r="E65" s="32" t="str">
        <f>IF(D65&lt;Supuestos!$B$15,"Corta","Larga")</f>
        <v>Larga</v>
      </c>
      <c r="F65" s="9" t="str">
        <f t="shared" si="1"/>
        <v>LoginsaTeno</v>
      </c>
    </row>
    <row r="66" spans="1:6" ht="15" customHeight="1" x14ac:dyDescent="0.35">
      <c r="A66" s="7" t="s">
        <v>23</v>
      </c>
      <c r="B66" s="7" t="s">
        <v>140</v>
      </c>
      <c r="C66" s="8">
        <v>372320</v>
      </c>
      <c r="D66" s="7">
        <v>193</v>
      </c>
      <c r="E66" s="32" t="str">
        <f>IF(D66&lt;Supuestos!$B$15,"Corta","Larga")</f>
        <v>Larga</v>
      </c>
      <c r="F66" s="9" t="str">
        <f t="shared" ref="F66:F97" si="2">A66&amp;B66</f>
        <v>Padre HurtadoCurico</v>
      </c>
    </row>
    <row r="67" spans="1:6" ht="15" customHeight="1" x14ac:dyDescent="0.35">
      <c r="A67" s="10" t="s">
        <v>31</v>
      </c>
      <c r="B67" s="10" t="s">
        <v>140</v>
      </c>
      <c r="C67" s="8">
        <v>492751</v>
      </c>
      <c r="D67" s="7">
        <v>279</v>
      </c>
      <c r="E67" s="32" t="str">
        <f>IF(D67&lt;Supuestos!$B$15,"Corta","Larga")</f>
        <v>Larga</v>
      </c>
      <c r="F67" s="9" t="str">
        <f t="shared" si="2"/>
        <v>Llay LlayCurico</v>
      </c>
    </row>
    <row r="68" spans="1:6" ht="15" customHeight="1" x14ac:dyDescent="0.35">
      <c r="A68" s="10" t="s">
        <v>28</v>
      </c>
      <c r="B68" s="10" t="s">
        <v>140</v>
      </c>
      <c r="C68" s="8">
        <v>398573</v>
      </c>
      <c r="D68" s="7">
        <v>189</v>
      </c>
      <c r="E68" s="32" t="str">
        <f>IF(D68&lt;Supuestos!$B$15,"Corta","Larga")</f>
        <v>Larga</v>
      </c>
      <c r="F68" s="9" t="str">
        <f t="shared" si="2"/>
        <v>San BernardoCurico</v>
      </c>
    </row>
    <row r="69" spans="1:6" ht="15" customHeight="1" x14ac:dyDescent="0.35">
      <c r="A69" s="10" t="s">
        <v>29</v>
      </c>
      <c r="B69" s="10" t="s">
        <v>140</v>
      </c>
      <c r="C69" s="8">
        <v>387594</v>
      </c>
      <c r="D69" s="7">
        <v>197</v>
      </c>
      <c r="E69" s="32" t="str">
        <f>IF(D69&lt;Supuestos!$B$15,"Corta","Larga")</f>
        <v>Larga</v>
      </c>
      <c r="F69" s="9" t="str">
        <f t="shared" si="2"/>
        <v>LoginsaCurico</v>
      </c>
    </row>
    <row r="70" spans="1:6" ht="15" customHeight="1" x14ac:dyDescent="0.35">
      <c r="A70" s="7" t="s">
        <v>23</v>
      </c>
      <c r="B70" s="7" t="s">
        <v>141</v>
      </c>
      <c r="C70" s="8">
        <v>402869</v>
      </c>
      <c r="D70" s="7">
        <v>201</v>
      </c>
      <c r="E70" s="32" t="str">
        <f>IF(D70&lt;Supuestos!$B$15,"Corta","Larga")</f>
        <v>Larga</v>
      </c>
      <c r="F70" s="9" t="str">
        <f t="shared" si="2"/>
        <v>Padre HurtadoLontué</v>
      </c>
    </row>
    <row r="71" spans="1:6" ht="15" customHeight="1" x14ac:dyDescent="0.35">
      <c r="A71" s="10" t="s">
        <v>31</v>
      </c>
      <c r="B71" s="10" t="s">
        <v>141</v>
      </c>
      <c r="C71" s="8">
        <v>553706</v>
      </c>
      <c r="D71" s="7">
        <v>287</v>
      </c>
      <c r="E71" s="32" t="str">
        <f>IF(D71&lt;Supuestos!$B$15,"Corta","Larga")</f>
        <v>Larga</v>
      </c>
      <c r="F71" s="9" t="str">
        <f t="shared" si="2"/>
        <v>Llay LlayLontué</v>
      </c>
    </row>
    <row r="72" spans="1:6" ht="15" customHeight="1" x14ac:dyDescent="0.35">
      <c r="A72" s="10" t="s">
        <v>28</v>
      </c>
      <c r="B72" s="10" t="s">
        <v>141</v>
      </c>
      <c r="C72" s="8">
        <v>484493</v>
      </c>
      <c r="D72" s="7">
        <v>197</v>
      </c>
      <c r="E72" s="32" t="str">
        <f>IF(D72&lt;Supuestos!$B$15,"Corta","Larga")</f>
        <v>Larga</v>
      </c>
      <c r="F72" s="9" t="str">
        <f t="shared" si="2"/>
        <v>San BernardoLontué</v>
      </c>
    </row>
    <row r="73" spans="1:6" ht="15" customHeight="1" x14ac:dyDescent="0.35">
      <c r="A73" s="10" t="s">
        <v>29</v>
      </c>
      <c r="B73" s="10" t="s">
        <v>141</v>
      </c>
      <c r="C73" s="8">
        <v>418143</v>
      </c>
      <c r="D73" s="7">
        <v>205</v>
      </c>
      <c r="E73" s="32" t="str">
        <f>IF(D73&lt;Supuestos!$B$15,"Corta","Larga")</f>
        <v>Larga</v>
      </c>
      <c r="F73" s="9" t="str">
        <f t="shared" si="2"/>
        <v>LoginsaLontué</v>
      </c>
    </row>
    <row r="74" spans="1:6" ht="15" customHeight="1" x14ac:dyDescent="0.35">
      <c r="A74" s="7" t="s">
        <v>23</v>
      </c>
      <c r="B74" s="7" t="s">
        <v>142</v>
      </c>
      <c r="C74" s="8">
        <v>404778</v>
      </c>
      <c r="D74" s="7">
        <v>210</v>
      </c>
      <c r="E74" s="32" t="str">
        <f>IF(D74&lt;Supuestos!$B$15,"Corta","Larga")</f>
        <v>Larga</v>
      </c>
      <c r="F74" s="9" t="str">
        <f t="shared" si="2"/>
        <v>Padre HurtadoMolina</v>
      </c>
    </row>
    <row r="75" spans="1:6" ht="15" customHeight="1" x14ac:dyDescent="0.35">
      <c r="A75" s="10" t="s">
        <v>31</v>
      </c>
      <c r="B75" s="10" t="s">
        <v>142</v>
      </c>
      <c r="C75" s="8">
        <v>522775</v>
      </c>
      <c r="D75" s="7">
        <v>296</v>
      </c>
      <c r="E75" s="32" t="str">
        <f>IF(D75&lt;Supuestos!$B$15,"Corta","Larga")</f>
        <v>Larga</v>
      </c>
      <c r="F75" s="9" t="str">
        <f t="shared" si="2"/>
        <v>Llay LlayMolina</v>
      </c>
    </row>
    <row r="76" spans="1:6" ht="15" customHeight="1" x14ac:dyDescent="0.35">
      <c r="A76" s="10" t="s">
        <v>28</v>
      </c>
      <c r="B76" s="10" t="s">
        <v>142</v>
      </c>
      <c r="C76" s="8">
        <v>431031</v>
      </c>
      <c r="D76" s="7">
        <v>206</v>
      </c>
      <c r="E76" s="32" t="str">
        <f>IF(D76&lt;Supuestos!$B$15,"Corta","Larga")</f>
        <v>Larga</v>
      </c>
      <c r="F76" s="9" t="str">
        <f t="shared" si="2"/>
        <v>San BernardoMolina</v>
      </c>
    </row>
    <row r="77" spans="1:6" ht="15" customHeight="1" x14ac:dyDescent="0.35">
      <c r="A77" s="10" t="s">
        <v>29</v>
      </c>
      <c r="B77" s="10" t="s">
        <v>142</v>
      </c>
      <c r="C77" s="8">
        <v>420053</v>
      </c>
      <c r="D77" s="7">
        <v>214</v>
      </c>
      <c r="E77" s="32" t="str">
        <f>IF(D77&lt;Supuestos!$B$15,"Corta","Larga")</f>
        <v>Larga</v>
      </c>
      <c r="F77" s="9" t="str">
        <f t="shared" si="2"/>
        <v>LoginsaMolina</v>
      </c>
    </row>
    <row r="78" spans="1:6" ht="15" customHeight="1" x14ac:dyDescent="0.35">
      <c r="A78" s="7" t="s">
        <v>23</v>
      </c>
      <c r="B78" s="7" t="s">
        <v>143</v>
      </c>
      <c r="C78" s="8">
        <v>408597</v>
      </c>
      <c r="D78" s="7">
        <v>212</v>
      </c>
      <c r="E78" s="32" t="str">
        <f>IF(D78&lt;Supuestos!$B$15,"Corta","Larga")</f>
        <v>Larga</v>
      </c>
      <c r="F78" s="9" t="str">
        <f t="shared" si="2"/>
        <v>Padre HurtadoSagrada Familia</v>
      </c>
    </row>
    <row r="79" spans="1:6" ht="15" customHeight="1" x14ac:dyDescent="0.35">
      <c r="A79" s="10" t="s">
        <v>31</v>
      </c>
      <c r="B79" s="10" t="s">
        <v>143</v>
      </c>
      <c r="C79" s="8">
        <v>526307</v>
      </c>
      <c r="D79" s="7">
        <v>297</v>
      </c>
      <c r="E79" s="32" t="str">
        <f>IF(D79&lt;Supuestos!$B$15,"Corta","Larga")</f>
        <v>Larga</v>
      </c>
      <c r="F79" s="9" t="str">
        <f t="shared" si="2"/>
        <v>Llay LlaySagrada Familia</v>
      </c>
    </row>
    <row r="80" spans="1:6" ht="15" customHeight="1" x14ac:dyDescent="0.35">
      <c r="A80" s="10" t="s">
        <v>28</v>
      </c>
      <c r="B80" s="10" t="s">
        <v>143</v>
      </c>
      <c r="C80" s="8">
        <v>434850</v>
      </c>
      <c r="D80" s="7">
        <v>208</v>
      </c>
      <c r="E80" s="32" t="str">
        <f>IF(D80&lt;Supuestos!$B$15,"Corta","Larga")</f>
        <v>Larga</v>
      </c>
      <c r="F80" s="9" t="str">
        <f t="shared" si="2"/>
        <v>San BernardoSagrada Familia</v>
      </c>
    </row>
    <row r="81" spans="1:6" ht="15" customHeight="1" x14ac:dyDescent="0.35">
      <c r="A81" s="10" t="s">
        <v>29</v>
      </c>
      <c r="B81" s="10" t="s">
        <v>143</v>
      </c>
      <c r="C81" s="8">
        <v>423871</v>
      </c>
      <c r="D81" s="7">
        <v>216</v>
      </c>
      <c r="E81" s="32" t="str">
        <f>IF(D81&lt;Supuestos!$B$15,"Corta","Larga")</f>
        <v>Larga</v>
      </c>
      <c r="F81" s="9" t="str">
        <f t="shared" si="2"/>
        <v>LoginsaSagrada Familia</v>
      </c>
    </row>
    <row r="82" spans="1:6" ht="15" customHeight="1" x14ac:dyDescent="0.35">
      <c r="A82" s="7" t="s">
        <v>23</v>
      </c>
      <c r="B82" s="7" t="s">
        <v>67</v>
      </c>
      <c r="C82" s="8">
        <v>490698</v>
      </c>
      <c r="D82" s="7">
        <v>250</v>
      </c>
      <c r="E82" s="32" t="str">
        <f>IF(D82&lt;Supuestos!$B$15,"Corta","Larga")</f>
        <v>Larga</v>
      </c>
      <c r="F82" s="9" t="str">
        <f t="shared" si="2"/>
        <v>Padre HurtadoTalca</v>
      </c>
    </row>
    <row r="83" spans="1:6" ht="15" customHeight="1" x14ac:dyDescent="0.35">
      <c r="A83" s="7" t="s">
        <v>31</v>
      </c>
      <c r="B83" s="7" t="s">
        <v>67</v>
      </c>
      <c r="C83" s="8">
        <v>602251</v>
      </c>
      <c r="D83" s="7">
        <v>345</v>
      </c>
      <c r="E83" s="32" t="str">
        <f>IF(D83&lt;Supuestos!$B$15,"Corta","Larga")</f>
        <v>Larga</v>
      </c>
      <c r="F83" s="9" t="str">
        <f t="shared" si="2"/>
        <v>Llay LlayTalca</v>
      </c>
    </row>
    <row r="84" spans="1:6" ht="15" customHeight="1" x14ac:dyDescent="0.35">
      <c r="A84" s="10" t="s">
        <v>28</v>
      </c>
      <c r="B84" s="10" t="s">
        <v>67</v>
      </c>
      <c r="C84" s="8">
        <v>516951</v>
      </c>
      <c r="D84" s="7">
        <v>246</v>
      </c>
      <c r="E84" s="32" t="str">
        <f>IF(D84&lt;Supuestos!$B$15,"Corta","Larga")</f>
        <v>Larga</v>
      </c>
      <c r="F84" s="9" t="str">
        <f t="shared" si="2"/>
        <v>San BernardoTalca</v>
      </c>
    </row>
    <row r="85" spans="1:6" ht="15" customHeight="1" x14ac:dyDescent="0.35">
      <c r="A85" s="10" t="s">
        <v>29</v>
      </c>
      <c r="B85" s="10" t="s">
        <v>67</v>
      </c>
      <c r="C85" s="8">
        <v>505973</v>
      </c>
      <c r="D85" s="7">
        <v>254</v>
      </c>
      <c r="E85" s="32" t="str">
        <f>IF(D85&lt;Supuestos!$B$15,"Corta","Larga")</f>
        <v>Larga</v>
      </c>
      <c r="F85" s="9" t="str">
        <f t="shared" si="2"/>
        <v>LoginsaTalca</v>
      </c>
    </row>
    <row r="86" spans="1:6" ht="15" customHeight="1" x14ac:dyDescent="0.35">
      <c r="A86" s="7" t="s">
        <v>23</v>
      </c>
      <c r="B86" s="7" t="s">
        <v>144</v>
      </c>
      <c r="C86" s="8">
        <v>528885</v>
      </c>
      <c r="D86" s="7">
        <v>275</v>
      </c>
      <c r="E86" s="32" t="str">
        <f>IF(D86&lt;Supuestos!$B$15,"Corta","Larga")</f>
        <v>Larga</v>
      </c>
      <c r="F86" s="9" t="str">
        <f t="shared" si="2"/>
        <v>Padre HurtadoSan Javier</v>
      </c>
    </row>
    <row r="87" spans="1:6" ht="15" customHeight="1" x14ac:dyDescent="0.35">
      <c r="A87" s="10" t="s">
        <v>31</v>
      </c>
      <c r="B87" s="10" t="s">
        <v>144</v>
      </c>
      <c r="C87" s="8">
        <v>637573</v>
      </c>
      <c r="D87" s="7">
        <v>360</v>
      </c>
      <c r="E87" s="32" t="str">
        <f>IF(D87&lt;Supuestos!$B$15,"Corta","Larga")</f>
        <v>Larga</v>
      </c>
      <c r="F87" s="9" t="str">
        <f t="shared" si="2"/>
        <v>Llay LlaySan Javier</v>
      </c>
    </row>
    <row r="88" spans="1:6" ht="15" customHeight="1" x14ac:dyDescent="0.35">
      <c r="A88" s="10" t="s">
        <v>28</v>
      </c>
      <c r="B88" s="10" t="s">
        <v>144</v>
      </c>
      <c r="C88" s="8">
        <v>555138</v>
      </c>
      <c r="D88" s="7">
        <v>271</v>
      </c>
      <c r="E88" s="32" t="str">
        <f>IF(D88&lt;Supuestos!$B$15,"Corta","Larga")</f>
        <v>Larga</v>
      </c>
      <c r="F88" s="9" t="str">
        <f t="shared" si="2"/>
        <v>San BernardoSan Javier</v>
      </c>
    </row>
    <row r="89" spans="1:6" ht="15" customHeight="1" x14ac:dyDescent="0.35">
      <c r="A89" s="10" t="s">
        <v>29</v>
      </c>
      <c r="B89" s="10" t="s">
        <v>144</v>
      </c>
      <c r="C89" s="8">
        <v>544159</v>
      </c>
      <c r="D89" s="7">
        <v>279</v>
      </c>
      <c r="E89" s="32" t="str">
        <f>IF(D89&lt;Supuestos!$B$15,"Corta","Larga")</f>
        <v>Larga</v>
      </c>
      <c r="F89" s="9" t="str">
        <f t="shared" si="2"/>
        <v>LoginsaSan Javier</v>
      </c>
    </row>
    <row r="90" spans="1:6" ht="15" customHeight="1" x14ac:dyDescent="0.35">
      <c r="A90" s="7" t="s">
        <v>23</v>
      </c>
      <c r="B90" s="7" t="s">
        <v>145</v>
      </c>
      <c r="C90" s="8">
        <v>555615</v>
      </c>
      <c r="D90" s="7">
        <v>305</v>
      </c>
      <c r="E90" s="32" t="str">
        <f>IF(D90&lt;Supuestos!$B$15,"Corta","Larga")</f>
        <v>Larga</v>
      </c>
      <c r="F90" s="9" t="str">
        <f t="shared" si="2"/>
        <v>Padre HurtadoVilla Alegre</v>
      </c>
    </row>
    <row r="91" spans="1:6" ht="15" customHeight="1" x14ac:dyDescent="0.35">
      <c r="A91" s="10" t="s">
        <v>31</v>
      </c>
      <c r="B91" s="10" t="s">
        <v>145</v>
      </c>
      <c r="C91" s="8">
        <v>662299</v>
      </c>
      <c r="D91" s="7">
        <v>373</v>
      </c>
      <c r="E91" s="32" t="str">
        <f>IF(D91&lt;Supuestos!$B$15,"Corta","Larga")</f>
        <v>Larga</v>
      </c>
      <c r="F91" s="9" t="str">
        <f t="shared" si="2"/>
        <v>Llay LlayVilla Alegre</v>
      </c>
    </row>
    <row r="92" spans="1:6" ht="15" customHeight="1" x14ac:dyDescent="0.35">
      <c r="A92" s="10" t="s">
        <v>28</v>
      </c>
      <c r="B92" s="10" t="s">
        <v>145</v>
      </c>
      <c r="C92" s="8">
        <v>581869</v>
      </c>
      <c r="D92" s="7">
        <v>301</v>
      </c>
      <c r="E92" s="32" t="str">
        <f>IF(D92&lt;Supuestos!$B$15,"Corta","Larga")</f>
        <v>Larga</v>
      </c>
      <c r="F92" s="9" t="str">
        <f t="shared" si="2"/>
        <v>San BernardoVilla Alegre</v>
      </c>
    </row>
    <row r="93" spans="1:6" ht="15" customHeight="1" x14ac:dyDescent="0.35">
      <c r="A93" s="10" t="s">
        <v>29</v>
      </c>
      <c r="B93" s="10" t="s">
        <v>145</v>
      </c>
      <c r="C93" s="8">
        <v>570890</v>
      </c>
      <c r="D93" s="7">
        <v>309</v>
      </c>
      <c r="E93" s="32" t="str">
        <f>IF(D93&lt;Supuestos!$B$15,"Corta","Larga")</f>
        <v>Larga</v>
      </c>
      <c r="F93" s="9" t="str">
        <f t="shared" si="2"/>
        <v>LoginsaVilla Alegre</v>
      </c>
    </row>
    <row r="94" spans="1:6" ht="15" customHeight="1" x14ac:dyDescent="0.35">
      <c r="A94" s="10" t="s">
        <v>23</v>
      </c>
      <c r="B94" s="10" t="s">
        <v>146</v>
      </c>
      <c r="C94" s="8">
        <v>685450</v>
      </c>
      <c r="D94" s="7">
        <v>330</v>
      </c>
      <c r="E94" s="9" t="str">
        <f>IF(D94&lt;Supuestos!$B$15,"Corta","Larga")</f>
        <v>Larga</v>
      </c>
      <c r="F94" s="9" t="str">
        <f t="shared" si="2"/>
        <v>Padre HurtadoCauquenes</v>
      </c>
    </row>
    <row r="95" spans="1:6" ht="15" customHeight="1" x14ac:dyDescent="0.35">
      <c r="A95" s="10" t="s">
        <v>31</v>
      </c>
      <c r="B95" s="10" t="s">
        <v>146</v>
      </c>
      <c r="C95" s="8">
        <v>782396</v>
      </c>
      <c r="D95" s="7">
        <v>480</v>
      </c>
      <c r="E95" s="9" t="str">
        <f>IF(D95&lt;Supuestos!$B$15,"Corta","Larga")</f>
        <v>Larga</v>
      </c>
      <c r="F95" s="9" t="str">
        <f t="shared" si="2"/>
        <v>Llay LlayCauquenes</v>
      </c>
    </row>
    <row r="96" spans="1:6" ht="15" customHeight="1" x14ac:dyDescent="0.35">
      <c r="A96" s="10" t="s">
        <v>28</v>
      </c>
      <c r="B96" s="10" t="s">
        <v>146</v>
      </c>
      <c r="C96" s="8">
        <v>711703</v>
      </c>
      <c r="D96" s="7">
        <v>340</v>
      </c>
      <c r="E96" s="9" t="str">
        <f>IF(D96&lt;Supuestos!$B$15,"Corta","Larga")</f>
        <v>Larga</v>
      </c>
      <c r="F96" s="9" t="str">
        <f t="shared" si="2"/>
        <v>San BernardoCauquenes</v>
      </c>
    </row>
    <row r="97" spans="1:6" ht="15" customHeight="1" x14ac:dyDescent="0.35">
      <c r="A97" s="10" t="s">
        <v>29</v>
      </c>
      <c r="B97" s="10" t="s">
        <v>146</v>
      </c>
      <c r="C97" s="8">
        <v>700724</v>
      </c>
      <c r="D97" s="7">
        <v>352</v>
      </c>
      <c r="E97" s="9" t="str">
        <f>IF(D97&lt;Supuestos!$B$15,"Corta","Larga")</f>
        <v>Larga</v>
      </c>
      <c r="F97" s="9" t="str">
        <f t="shared" si="2"/>
        <v>LoginsaCauquenes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zoomScaleNormal="100" workbookViewId="0"/>
  </sheetViews>
  <sheetFormatPr baseColWidth="10" defaultColWidth="8.6328125" defaultRowHeight="14.5" x14ac:dyDescent="0.35"/>
  <cols>
    <col min="1" max="1" width="14" customWidth="1"/>
    <col min="2" max="2" width="12" customWidth="1"/>
    <col min="3" max="3" width="18" customWidth="1"/>
  </cols>
  <sheetData>
    <row r="1" spans="1:3" ht="23.25" customHeight="1" x14ac:dyDescent="0.35">
      <c r="A1" s="3" t="s">
        <v>147</v>
      </c>
      <c r="B1" s="3" t="s">
        <v>148</v>
      </c>
      <c r="C1" s="3" t="s">
        <v>149</v>
      </c>
    </row>
    <row r="2" spans="1:3" ht="15" customHeight="1" x14ac:dyDescent="0.35">
      <c r="A2" s="7" t="s">
        <v>124</v>
      </c>
      <c r="B2" s="7">
        <v>80</v>
      </c>
      <c r="C2" s="8">
        <v>141290</v>
      </c>
    </row>
    <row r="3" spans="1:3" ht="15" customHeight="1" x14ac:dyDescent="0.35">
      <c r="A3" s="7" t="s">
        <v>125</v>
      </c>
      <c r="B3" s="7">
        <v>85</v>
      </c>
      <c r="C3" s="8">
        <v>160384</v>
      </c>
    </row>
    <row r="4" spans="1:3" ht="15" customHeight="1" x14ac:dyDescent="0.35">
      <c r="A4" s="7" t="s">
        <v>126</v>
      </c>
      <c r="B4" s="7">
        <v>110</v>
      </c>
      <c r="C4" s="8">
        <v>219573</v>
      </c>
    </row>
    <row r="5" spans="1:3" ht="15" customHeight="1" x14ac:dyDescent="0.35">
      <c r="A5" s="7" t="s">
        <v>127</v>
      </c>
      <c r="B5" s="7">
        <v>123</v>
      </c>
      <c r="C5" s="8">
        <v>276853</v>
      </c>
    </row>
    <row r="6" spans="1:3" ht="15" customHeight="1" x14ac:dyDescent="0.35">
      <c r="A6" s="7" t="s">
        <v>128</v>
      </c>
      <c r="B6" s="7">
        <v>123</v>
      </c>
      <c r="C6" s="8">
        <v>234848</v>
      </c>
    </row>
    <row r="7" spans="1:3" ht="15" customHeight="1" x14ac:dyDescent="0.35">
      <c r="A7" s="7" t="s">
        <v>129</v>
      </c>
      <c r="B7" s="7">
        <v>127</v>
      </c>
      <c r="C7" s="8">
        <v>219573</v>
      </c>
    </row>
    <row r="8" spans="1:3" ht="15" customHeight="1" x14ac:dyDescent="0.35">
      <c r="A8" s="7" t="s">
        <v>130</v>
      </c>
      <c r="B8" s="7">
        <v>138</v>
      </c>
      <c r="C8" s="8">
        <v>263488</v>
      </c>
    </row>
    <row r="9" spans="1:3" ht="15" customHeight="1" x14ac:dyDescent="0.35">
      <c r="A9" s="7" t="s">
        <v>131</v>
      </c>
      <c r="B9" s="7">
        <v>150</v>
      </c>
      <c r="C9" s="8">
        <v>278762</v>
      </c>
    </row>
    <row r="10" spans="1:3" ht="15" customHeight="1" x14ac:dyDescent="0.35">
      <c r="A10" s="7" t="s">
        <v>132</v>
      </c>
      <c r="B10" s="7">
        <v>155</v>
      </c>
      <c r="C10" s="8">
        <v>290218</v>
      </c>
    </row>
    <row r="11" spans="1:3" ht="15" customHeight="1" x14ac:dyDescent="0.35">
      <c r="A11" s="7" t="s">
        <v>133</v>
      </c>
      <c r="B11" s="7">
        <v>155</v>
      </c>
      <c r="C11" s="8">
        <v>328405</v>
      </c>
    </row>
    <row r="12" spans="1:3" ht="15" customHeight="1" x14ac:dyDescent="0.35">
      <c r="A12" s="7" t="s">
        <v>134</v>
      </c>
      <c r="B12" s="7">
        <v>155</v>
      </c>
      <c r="C12" s="8">
        <v>305493</v>
      </c>
    </row>
    <row r="13" spans="1:3" ht="15" customHeight="1" x14ac:dyDescent="0.35">
      <c r="A13" s="7" t="s">
        <v>135</v>
      </c>
      <c r="B13" s="7">
        <v>159</v>
      </c>
      <c r="C13" s="8">
        <v>305493</v>
      </c>
    </row>
    <row r="14" spans="1:3" ht="15" customHeight="1" x14ac:dyDescent="0.35">
      <c r="A14" s="7" t="s">
        <v>136</v>
      </c>
      <c r="B14" s="7">
        <v>160</v>
      </c>
      <c r="C14" s="8">
        <v>297856</v>
      </c>
    </row>
    <row r="15" spans="1:3" ht="15" customHeight="1" x14ac:dyDescent="0.35">
      <c r="A15" s="7" t="s">
        <v>137</v>
      </c>
      <c r="B15" s="7">
        <v>163</v>
      </c>
      <c r="C15" s="8">
        <v>309312</v>
      </c>
    </row>
    <row r="16" spans="1:3" ht="15" customHeight="1" x14ac:dyDescent="0.35">
      <c r="A16" s="7" t="s">
        <v>138</v>
      </c>
      <c r="B16" s="7">
        <v>178</v>
      </c>
      <c r="C16" s="8">
        <v>334133</v>
      </c>
    </row>
    <row r="17" spans="1:3" ht="15" customHeight="1" x14ac:dyDescent="0.35">
      <c r="A17" s="7" t="s">
        <v>139</v>
      </c>
      <c r="B17" s="7">
        <v>180</v>
      </c>
      <c r="C17" s="8">
        <v>345589</v>
      </c>
    </row>
    <row r="18" spans="1:3" ht="15" customHeight="1" x14ac:dyDescent="0.35">
      <c r="A18" s="7" t="s">
        <v>140</v>
      </c>
      <c r="B18" s="7">
        <v>193</v>
      </c>
      <c r="C18" s="8">
        <v>372320</v>
      </c>
    </row>
    <row r="19" spans="1:3" ht="15" customHeight="1" x14ac:dyDescent="0.35">
      <c r="A19" s="7" t="s">
        <v>141</v>
      </c>
      <c r="B19" s="7">
        <v>201</v>
      </c>
      <c r="C19" s="8">
        <v>402869</v>
      </c>
    </row>
    <row r="20" spans="1:3" ht="15" customHeight="1" x14ac:dyDescent="0.35">
      <c r="A20" s="7" t="s">
        <v>142</v>
      </c>
      <c r="B20" s="7">
        <v>210</v>
      </c>
      <c r="C20" s="8">
        <v>404778</v>
      </c>
    </row>
    <row r="21" spans="1:3" ht="15" customHeight="1" x14ac:dyDescent="0.35">
      <c r="A21" s="7" t="s">
        <v>143</v>
      </c>
      <c r="B21" s="7">
        <v>212</v>
      </c>
      <c r="C21" s="8">
        <v>408597</v>
      </c>
    </row>
    <row r="22" spans="1:3" ht="15" customHeight="1" x14ac:dyDescent="0.35">
      <c r="A22" s="7" t="s">
        <v>67</v>
      </c>
      <c r="B22" s="7">
        <v>250</v>
      </c>
      <c r="C22" s="8">
        <v>490698</v>
      </c>
    </row>
    <row r="23" spans="1:3" ht="15" customHeight="1" x14ac:dyDescent="0.35">
      <c r="A23" s="7" t="s">
        <v>144</v>
      </c>
      <c r="B23" s="7">
        <v>275</v>
      </c>
      <c r="C23" s="8">
        <v>528885</v>
      </c>
    </row>
    <row r="24" spans="1:3" ht="15" customHeight="1" x14ac:dyDescent="0.35">
      <c r="A24" s="7" t="s">
        <v>145</v>
      </c>
      <c r="B24" s="7">
        <v>305</v>
      </c>
      <c r="C24" s="8">
        <v>555615</v>
      </c>
    </row>
    <row r="25" spans="1:3" ht="15" customHeight="1" x14ac:dyDescent="0.35">
      <c r="A25" s="10" t="s">
        <v>146</v>
      </c>
      <c r="B25" s="12">
        <v>330</v>
      </c>
      <c r="C25" s="8">
        <v>685450</v>
      </c>
    </row>
    <row r="26" spans="1:3" ht="15" customHeight="1" x14ac:dyDescent="0.35">
      <c r="A26" s="7" t="s">
        <v>30</v>
      </c>
      <c r="B26" s="7">
        <v>0</v>
      </c>
      <c r="C26" s="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zoomScaleNormal="100" workbookViewId="0"/>
  </sheetViews>
  <sheetFormatPr baseColWidth="10" defaultColWidth="8.6328125" defaultRowHeight="14.5" x14ac:dyDescent="0.35"/>
  <cols>
    <col min="1" max="1" width="22" customWidth="1"/>
    <col min="2" max="3" width="16" customWidth="1"/>
    <col min="4" max="4" width="10" customWidth="1"/>
    <col min="5" max="5" width="12" customWidth="1"/>
  </cols>
  <sheetData>
    <row r="1" spans="1:5" ht="15.75" customHeight="1" x14ac:dyDescent="0.35">
      <c r="A1" s="33" t="s">
        <v>150</v>
      </c>
    </row>
    <row r="2" spans="1:5" ht="15" customHeight="1" x14ac:dyDescent="0.35">
      <c r="A2" s="16" t="s">
        <v>151</v>
      </c>
    </row>
    <row r="4" spans="1:5" ht="15" customHeight="1" x14ac:dyDescent="0.35">
      <c r="A4" s="6" t="s">
        <v>152</v>
      </c>
      <c r="B4" s="6" t="s">
        <v>153</v>
      </c>
      <c r="C4" s="6" t="s">
        <v>154</v>
      </c>
      <c r="D4" s="6" t="s">
        <v>155</v>
      </c>
      <c r="E4" s="6" t="s">
        <v>21</v>
      </c>
    </row>
    <row r="5" spans="1:5" ht="15" customHeight="1" x14ac:dyDescent="0.35">
      <c r="A5" s="34"/>
      <c r="B5" s="34"/>
      <c r="C5" s="34"/>
      <c r="D5" s="34"/>
      <c r="E5" s="34"/>
    </row>
    <row r="6" spans="1:5" ht="15" customHeight="1" x14ac:dyDescent="0.35">
      <c r="A6" s="34"/>
      <c r="B6" s="34"/>
      <c r="C6" s="34"/>
      <c r="D6" s="34"/>
      <c r="E6" s="34"/>
    </row>
    <row r="7" spans="1:5" ht="15" customHeight="1" x14ac:dyDescent="0.35">
      <c r="A7" s="34"/>
      <c r="B7" s="34"/>
      <c r="C7" s="34"/>
      <c r="D7" s="34"/>
      <c r="E7" s="34"/>
    </row>
    <row r="8" spans="1:5" ht="15" customHeight="1" x14ac:dyDescent="0.35">
      <c r="A8" s="34"/>
      <c r="B8" s="34"/>
      <c r="C8" s="34"/>
      <c r="D8" s="34"/>
      <c r="E8" s="34"/>
    </row>
    <row r="9" spans="1:5" ht="15" customHeight="1" x14ac:dyDescent="0.35">
      <c r="A9" s="34"/>
      <c r="B9" s="34"/>
      <c r="C9" s="34"/>
      <c r="D9" s="34"/>
      <c r="E9" s="34"/>
    </row>
    <row r="10" spans="1:5" ht="15" customHeight="1" x14ac:dyDescent="0.35">
      <c r="A10" s="34"/>
      <c r="B10" s="34"/>
      <c r="C10" s="34"/>
      <c r="D10" s="34"/>
      <c r="E10" s="34"/>
    </row>
    <row r="11" spans="1:5" ht="15" customHeight="1" x14ac:dyDescent="0.35">
      <c r="A11" s="34"/>
      <c r="B11" s="34"/>
      <c r="C11" s="34"/>
      <c r="D11" s="34"/>
      <c r="E11" s="34"/>
    </row>
    <row r="12" spans="1:5" ht="15" customHeight="1" x14ac:dyDescent="0.35">
      <c r="A12" s="34"/>
      <c r="B12" s="34"/>
      <c r="C12" s="34"/>
      <c r="D12" s="34"/>
      <c r="E12" s="34"/>
    </row>
    <row r="13" spans="1:5" ht="15" customHeight="1" x14ac:dyDescent="0.35">
      <c r="A13" s="34"/>
      <c r="B13" s="34"/>
      <c r="C13" s="34"/>
      <c r="D13" s="34"/>
      <c r="E13" s="34"/>
    </row>
    <row r="14" spans="1:5" ht="15" customHeight="1" x14ac:dyDescent="0.35">
      <c r="A14" s="34"/>
      <c r="B14" s="34"/>
      <c r="C14" s="34"/>
      <c r="D14" s="34"/>
      <c r="E14" s="3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Supuestos</vt:lpstr>
      <vt:lpstr>T1_Locales</vt:lpstr>
      <vt:lpstr>Simulador</vt:lpstr>
      <vt:lpstr>Simulador HORIZONTAL</vt:lpstr>
      <vt:lpstr>T2_Reposicionamiento</vt:lpstr>
      <vt:lpstr>T3_DestinosSur</vt:lpstr>
      <vt:lpstr>T4_Retornos</vt:lpstr>
      <vt:lpstr>T5_Sollem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Torres</cp:lastModifiedBy>
  <cp:revision>0</cp:revision>
  <dcterms:created xsi:type="dcterms:W3CDTF">2026-07-12T00:41:15Z</dcterms:created>
  <dcterms:modified xsi:type="dcterms:W3CDTF">2026-07-25T17:24:02Z</dcterms:modified>
  <dc:language>en-US</dc:language>
</cp:coreProperties>
</file>