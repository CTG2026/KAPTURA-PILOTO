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esktop\NEGOCIO TRANSPORTE SANTIAGO\GLOBAL SOLUTIONS SpA\1 COMERCIAL\TARIFARIOS\SOLLEM\"/>
    </mc:Choice>
  </mc:AlternateContent>
  <xr:revisionPtr revIDLastSave="0" documentId="8_{C85478E9-9335-418F-AF0E-7B2B0796D54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PIAPO" sheetId="2" r:id="rId1"/>
    <sheet name="CASABLANCA" sheetId="3" r:id="rId2"/>
    <sheet name="PENCO" sheetId="4" r:id="rId3"/>
    <sheet name="BULN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QMZFsivJExeIZMTm3cFPQUUJKEj0D9CAifhhf6WlLn0="/>
    </ext>
  </extLst>
</workbook>
</file>

<file path=xl/calcChain.xml><?xml version="1.0" encoding="utf-8"?>
<calcChain xmlns="http://schemas.openxmlformats.org/spreadsheetml/2006/main">
  <c r="M82" i="3" l="1"/>
  <c r="R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3" i="3"/>
  <c r="M84" i="3"/>
  <c r="M85" i="3"/>
  <c r="M61" i="3"/>
  <c r="V82" i="3"/>
  <c r="S15" i="2"/>
  <c r="S18" i="2"/>
  <c r="T18" i="2"/>
  <c r="S31" i="2"/>
  <c r="S36" i="2"/>
  <c r="S38" i="2"/>
  <c r="T38" i="2"/>
  <c r="S39" i="2"/>
  <c r="S41" i="2"/>
  <c r="S42" i="2"/>
  <c r="S53" i="2"/>
  <c r="S55" i="2"/>
  <c r="S57" i="2"/>
  <c r="T57" i="2"/>
  <c r="S64" i="2"/>
  <c r="S66" i="2"/>
  <c r="S68" i="2"/>
  <c r="S70" i="2"/>
  <c r="S74" i="2"/>
  <c r="S79" i="2"/>
  <c r="S83" i="2"/>
  <c r="T83" i="2"/>
  <c r="S88" i="2"/>
  <c r="S90" i="2"/>
  <c r="S93" i="2"/>
  <c r="R93" i="2" s="1"/>
  <c r="T93" i="2" s="1"/>
  <c r="S104" i="2"/>
  <c r="N76" i="5"/>
  <c r="O76" i="5" s="1"/>
  <c r="L76" i="5"/>
  <c r="M76" i="5" s="1"/>
  <c r="K76" i="5"/>
  <c r="H76" i="5"/>
  <c r="I76" i="5" s="1"/>
  <c r="N75" i="5"/>
  <c r="O75" i="5" s="1"/>
  <c r="K75" i="5"/>
  <c r="H75" i="5"/>
  <c r="L75" i="5" s="1"/>
  <c r="M75" i="5" s="1"/>
  <c r="N74" i="5"/>
  <c r="O74" i="5" s="1"/>
  <c r="K74" i="5"/>
  <c r="H74" i="5"/>
  <c r="N73" i="5"/>
  <c r="O73" i="5" s="1"/>
  <c r="K73" i="5"/>
  <c r="H73" i="5"/>
  <c r="L73" i="5" s="1"/>
  <c r="M73" i="5" s="1"/>
  <c r="N72" i="5"/>
  <c r="O72" i="5" s="1"/>
  <c r="K72" i="5"/>
  <c r="H72" i="5"/>
  <c r="I72" i="5" s="1"/>
  <c r="R72" i="5" s="1"/>
  <c r="Q72" i="5" s="1"/>
  <c r="S72" i="5" s="1"/>
  <c r="R71" i="5"/>
  <c r="Q71" i="5"/>
  <c r="S71" i="5" s="1"/>
  <c r="N71" i="5"/>
  <c r="O71" i="5" s="1"/>
  <c r="L71" i="5"/>
  <c r="K71" i="5"/>
  <c r="J71" i="5"/>
  <c r="I71" i="5"/>
  <c r="H71" i="5"/>
  <c r="R70" i="5"/>
  <c r="Q70" i="5" s="1"/>
  <c r="S70" i="5" s="1"/>
  <c r="O70" i="5"/>
  <c r="N70" i="5"/>
  <c r="L70" i="5"/>
  <c r="M70" i="5" s="1"/>
  <c r="K70" i="5"/>
  <c r="I70" i="5"/>
  <c r="J70" i="5" s="1"/>
  <c r="H70" i="5"/>
  <c r="O69" i="5"/>
  <c r="N69" i="5"/>
  <c r="L69" i="5"/>
  <c r="M69" i="5" s="1"/>
  <c r="K69" i="5"/>
  <c r="I69" i="5"/>
  <c r="H69" i="5"/>
  <c r="R68" i="5"/>
  <c r="Q68" i="5" s="1"/>
  <c r="S68" i="5" s="1"/>
  <c r="O68" i="5"/>
  <c r="N68" i="5"/>
  <c r="K68" i="5"/>
  <c r="J68" i="5"/>
  <c r="H68" i="5"/>
  <c r="I68" i="5" s="1"/>
  <c r="Q67" i="5"/>
  <c r="S67" i="5" s="1"/>
  <c r="N67" i="5"/>
  <c r="O67" i="5" s="1"/>
  <c r="M67" i="5"/>
  <c r="L67" i="5"/>
  <c r="K67" i="5"/>
  <c r="H67" i="5"/>
  <c r="I67" i="5" s="1"/>
  <c r="R67" i="5" s="1"/>
  <c r="N66" i="5"/>
  <c r="O66" i="5" s="1"/>
  <c r="K66" i="5"/>
  <c r="H66" i="5"/>
  <c r="R65" i="5"/>
  <c r="Q65" i="5" s="1"/>
  <c r="S65" i="5" s="1"/>
  <c r="N65" i="5"/>
  <c r="O65" i="5" s="1"/>
  <c r="L65" i="5"/>
  <c r="M65" i="5" s="1"/>
  <c r="K65" i="5"/>
  <c r="I65" i="5"/>
  <c r="J65" i="5" s="1"/>
  <c r="H65" i="5"/>
  <c r="N64" i="5"/>
  <c r="O64" i="5" s="1"/>
  <c r="K64" i="5"/>
  <c r="H64" i="5"/>
  <c r="R63" i="5"/>
  <c r="Q63" i="5" s="1"/>
  <c r="S63" i="5" s="1"/>
  <c r="O63" i="5"/>
  <c r="N63" i="5"/>
  <c r="L63" i="5"/>
  <c r="K63" i="5"/>
  <c r="J63" i="5"/>
  <c r="I63" i="5"/>
  <c r="H63" i="5"/>
  <c r="N62" i="5"/>
  <c r="O62" i="5" s="1"/>
  <c r="M62" i="5"/>
  <c r="K62" i="5"/>
  <c r="I62" i="5"/>
  <c r="H62" i="5"/>
  <c r="L62" i="5" s="1"/>
  <c r="O61" i="5"/>
  <c r="N61" i="5"/>
  <c r="L61" i="5"/>
  <c r="M61" i="5" s="1"/>
  <c r="K61" i="5"/>
  <c r="H61" i="5"/>
  <c r="I61" i="5" s="1"/>
  <c r="O60" i="5"/>
  <c r="N60" i="5"/>
  <c r="M60" i="5"/>
  <c r="L60" i="5"/>
  <c r="K60" i="5"/>
  <c r="H60" i="5"/>
  <c r="I60" i="5" s="1"/>
  <c r="O59" i="5"/>
  <c r="N59" i="5"/>
  <c r="K59" i="5"/>
  <c r="H59" i="5"/>
  <c r="L59" i="5" s="1"/>
  <c r="M59" i="5" s="1"/>
  <c r="N58" i="5"/>
  <c r="O58" i="5" s="1"/>
  <c r="K58" i="5"/>
  <c r="H58" i="5"/>
  <c r="L58" i="5" s="1"/>
  <c r="M58" i="5" s="1"/>
  <c r="O57" i="5"/>
  <c r="N57" i="5"/>
  <c r="K57" i="5"/>
  <c r="H57" i="5"/>
  <c r="N56" i="5"/>
  <c r="O56" i="5" s="1"/>
  <c r="L56" i="5"/>
  <c r="K56" i="5"/>
  <c r="I56" i="5"/>
  <c r="R56" i="5" s="1"/>
  <c r="Q56" i="5" s="1"/>
  <c r="S56" i="5" s="1"/>
  <c r="H56" i="5"/>
  <c r="R55" i="5"/>
  <c r="Q55" i="5"/>
  <c r="S55" i="5" s="1"/>
  <c r="O55" i="5"/>
  <c r="N55" i="5"/>
  <c r="L55" i="5"/>
  <c r="K55" i="5"/>
  <c r="J55" i="5"/>
  <c r="I55" i="5"/>
  <c r="H55" i="5"/>
  <c r="N53" i="5"/>
  <c r="O53" i="5" s="1"/>
  <c r="L53" i="5"/>
  <c r="K53" i="5"/>
  <c r="J53" i="5"/>
  <c r="I53" i="5"/>
  <c r="R53" i="5" s="1"/>
  <c r="Q53" i="5" s="1"/>
  <c r="S53" i="5" s="1"/>
  <c r="H53" i="5"/>
  <c r="O52" i="5"/>
  <c r="N52" i="5"/>
  <c r="K52" i="5"/>
  <c r="H52" i="5"/>
  <c r="L52" i="5" s="1"/>
  <c r="M52" i="5" s="1"/>
  <c r="R51" i="5"/>
  <c r="Q51" i="5"/>
  <c r="S51" i="5" s="1"/>
  <c r="O51" i="5"/>
  <c r="N51" i="5"/>
  <c r="L51" i="5"/>
  <c r="M51" i="5" s="1"/>
  <c r="K51" i="5"/>
  <c r="J51" i="5"/>
  <c r="H51" i="5"/>
  <c r="I51" i="5" s="1"/>
  <c r="Q50" i="5"/>
  <c r="S50" i="5" s="1"/>
  <c r="N50" i="5"/>
  <c r="O50" i="5" s="1"/>
  <c r="M50" i="5"/>
  <c r="L50" i="5"/>
  <c r="K50" i="5"/>
  <c r="H50" i="5"/>
  <c r="I50" i="5" s="1"/>
  <c r="R50" i="5" s="1"/>
  <c r="N49" i="5"/>
  <c r="O49" i="5" s="1"/>
  <c r="K49" i="5"/>
  <c r="I49" i="5"/>
  <c r="H49" i="5"/>
  <c r="L49" i="5" s="1"/>
  <c r="M49" i="5" s="1"/>
  <c r="R48" i="5"/>
  <c r="Q48" i="5"/>
  <c r="S48" i="5" s="1"/>
  <c r="N48" i="5"/>
  <c r="O48" i="5" s="1"/>
  <c r="L48" i="5"/>
  <c r="M48" i="5" s="1"/>
  <c r="K48" i="5"/>
  <c r="H48" i="5"/>
  <c r="I48" i="5" s="1"/>
  <c r="J48" i="5" s="1"/>
  <c r="R47" i="5"/>
  <c r="Q47" i="5" s="1"/>
  <c r="S47" i="5" s="1"/>
  <c r="N47" i="5"/>
  <c r="O47" i="5" s="1"/>
  <c r="L47" i="5"/>
  <c r="M47" i="5" s="1"/>
  <c r="K47" i="5"/>
  <c r="H47" i="5"/>
  <c r="I47" i="5" s="1"/>
  <c r="J47" i="5" s="1"/>
  <c r="N46" i="5"/>
  <c r="O46" i="5" s="1"/>
  <c r="M46" i="5"/>
  <c r="L46" i="5"/>
  <c r="K46" i="5"/>
  <c r="H46" i="5"/>
  <c r="I46" i="5" s="1"/>
  <c r="N45" i="5"/>
  <c r="O45" i="5" s="1"/>
  <c r="K45" i="5"/>
  <c r="H45" i="5"/>
  <c r="I45" i="5" s="1"/>
  <c r="R45" i="5" s="1"/>
  <c r="Q45" i="5" s="1"/>
  <c r="S45" i="5" s="1"/>
  <c r="O44" i="5"/>
  <c r="N44" i="5"/>
  <c r="L44" i="5"/>
  <c r="M44" i="5" s="1"/>
  <c r="K44" i="5"/>
  <c r="I44" i="5"/>
  <c r="H44" i="5"/>
  <c r="N43" i="5"/>
  <c r="O43" i="5" s="1"/>
  <c r="K43" i="5"/>
  <c r="H43" i="5"/>
  <c r="L43" i="5" s="1"/>
  <c r="M43" i="5" s="1"/>
  <c r="N42" i="5"/>
  <c r="O42" i="5" s="1"/>
  <c r="K42" i="5"/>
  <c r="M42" i="5" s="1"/>
  <c r="I42" i="5"/>
  <c r="R42" i="5" s="1"/>
  <c r="Q42" i="5" s="1"/>
  <c r="S42" i="5" s="1"/>
  <c r="H42" i="5"/>
  <c r="L42" i="5" s="1"/>
  <c r="N41" i="5"/>
  <c r="O41" i="5" s="1"/>
  <c r="K41" i="5"/>
  <c r="H41" i="5"/>
  <c r="R40" i="5"/>
  <c r="Q40" i="5"/>
  <c r="S40" i="5" s="1"/>
  <c r="N40" i="5"/>
  <c r="O40" i="5" s="1"/>
  <c r="L40" i="5"/>
  <c r="M40" i="5" s="1"/>
  <c r="K40" i="5"/>
  <c r="J40" i="5"/>
  <c r="H40" i="5"/>
  <c r="I40" i="5" s="1"/>
  <c r="N39" i="5"/>
  <c r="O39" i="5" s="1"/>
  <c r="K39" i="5"/>
  <c r="H39" i="5"/>
  <c r="L39" i="5" s="1"/>
  <c r="M39" i="5" s="1"/>
  <c r="R38" i="5"/>
  <c r="Q38" i="5" s="1"/>
  <c r="S38" i="5" s="1"/>
  <c r="O38" i="5"/>
  <c r="N38" i="5"/>
  <c r="L38" i="5"/>
  <c r="M38" i="5" s="1"/>
  <c r="K38" i="5"/>
  <c r="I38" i="5"/>
  <c r="J38" i="5" s="1"/>
  <c r="H38" i="5"/>
  <c r="N37" i="5"/>
  <c r="O37" i="5" s="1"/>
  <c r="M37" i="5"/>
  <c r="L37" i="5"/>
  <c r="K37" i="5"/>
  <c r="I37" i="5"/>
  <c r="R37" i="5" s="1"/>
  <c r="Q37" i="5" s="1"/>
  <c r="S37" i="5" s="1"/>
  <c r="H37" i="5"/>
  <c r="R36" i="5"/>
  <c r="Q36" i="5" s="1"/>
  <c r="S36" i="5" s="1"/>
  <c r="O36" i="5"/>
  <c r="N36" i="5"/>
  <c r="K36" i="5"/>
  <c r="I36" i="5"/>
  <c r="J36" i="5" s="1"/>
  <c r="H36" i="5"/>
  <c r="L36" i="5" s="1"/>
  <c r="M36" i="5" s="1"/>
  <c r="O35" i="5"/>
  <c r="N35" i="5"/>
  <c r="L35" i="5"/>
  <c r="M35" i="5" s="1"/>
  <c r="K35" i="5"/>
  <c r="H35" i="5"/>
  <c r="I35" i="5" s="1"/>
  <c r="S34" i="5"/>
  <c r="R34" i="5"/>
  <c r="Q34" i="5" s="1"/>
  <c r="O34" i="5"/>
  <c r="N34" i="5"/>
  <c r="L34" i="5"/>
  <c r="M34" i="5" s="1"/>
  <c r="K34" i="5"/>
  <c r="H34" i="5"/>
  <c r="I34" i="5" s="1"/>
  <c r="J34" i="5" s="1"/>
  <c r="N33" i="5"/>
  <c r="O33" i="5" s="1"/>
  <c r="L33" i="5"/>
  <c r="K33" i="5"/>
  <c r="J33" i="5"/>
  <c r="I33" i="5"/>
  <c r="R33" i="5" s="1"/>
  <c r="Q33" i="5" s="1"/>
  <c r="S33" i="5" s="1"/>
  <c r="H33" i="5"/>
  <c r="N32" i="5"/>
  <c r="O32" i="5" s="1"/>
  <c r="M32" i="5"/>
  <c r="K32" i="5"/>
  <c r="I32" i="5"/>
  <c r="H32" i="5"/>
  <c r="L32" i="5" s="1"/>
  <c r="N31" i="5"/>
  <c r="O31" i="5" s="1"/>
  <c r="L31" i="5"/>
  <c r="M31" i="5" s="1"/>
  <c r="K31" i="5"/>
  <c r="H31" i="5"/>
  <c r="I31" i="5" s="1"/>
  <c r="N30" i="5"/>
  <c r="O30" i="5" s="1"/>
  <c r="K30" i="5"/>
  <c r="H30" i="5"/>
  <c r="S29" i="5"/>
  <c r="R29" i="5"/>
  <c r="Q29" i="5" s="1"/>
  <c r="N29" i="5"/>
  <c r="O29" i="5" s="1"/>
  <c r="M29" i="5"/>
  <c r="K29" i="5"/>
  <c r="J29" i="5"/>
  <c r="I29" i="5"/>
  <c r="H29" i="5"/>
  <c r="L29" i="5" s="1"/>
  <c r="N27" i="5"/>
  <c r="O27" i="5" s="1"/>
  <c r="K27" i="5"/>
  <c r="H27" i="5"/>
  <c r="L27" i="5" s="1"/>
  <c r="M27" i="5" s="1"/>
  <c r="N26" i="5"/>
  <c r="O26" i="5" s="1"/>
  <c r="L26" i="5"/>
  <c r="M26" i="5" s="1"/>
  <c r="K26" i="5"/>
  <c r="H26" i="5"/>
  <c r="I26" i="5" s="1"/>
  <c r="N25" i="5"/>
  <c r="O25" i="5" s="1"/>
  <c r="K25" i="5"/>
  <c r="M25" i="5" s="1"/>
  <c r="I25" i="5"/>
  <c r="R25" i="5" s="1"/>
  <c r="Q25" i="5" s="1"/>
  <c r="S25" i="5" s="1"/>
  <c r="H25" i="5"/>
  <c r="L25" i="5" s="1"/>
  <c r="R24" i="5"/>
  <c r="Q24" i="5"/>
  <c r="S24" i="5" s="1"/>
  <c r="N24" i="5"/>
  <c r="O24" i="5" s="1"/>
  <c r="K24" i="5"/>
  <c r="I24" i="5"/>
  <c r="J24" i="5" s="1"/>
  <c r="H24" i="5"/>
  <c r="L24" i="5" s="1"/>
  <c r="M24" i="5" s="1"/>
  <c r="N23" i="5"/>
  <c r="O23" i="5" s="1"/>
  <c r="K23" i="5"/>
  <c r="H23" i="5"/>
  <c r="L23" i="5" s="1"/>
  <c r="M23" i="5" s="1"/>
  <c r="O22" i="5"/>
  <c r="N22" i="5"/>
  <c r="K22" i="5"/>
  <c r="I22" i="5"/>
  <c r="H22" i="5"/>
  <c r="L22" i="5" s="1"/>
  <c r="M22" i="5" s="1"/>
  <c r="R21" i="5"/>
  <c r="Q21" i="5"/>
  <c r="S21" i="5" s="1"/>
  <c r="N21" i="5"/>
  <c r="O21" i="5" s="1"/>
  <c r="L21" i="5"/>
  <c r="K21" i="5"/>
  <c r="I21" i="5"/>
  <c r="J21" i="5" s="1"/>
  <c r="H21" i="5"/>
  <c r="R20" i="5"/>
  <c r="Q20" i="5" s="1"/>
  <c r="S20" i="5" s="1"/>
  <c r="N20" i="5"/>
  <c r="O20" i="5" s="1"/>
  <c r="M20" i="5"/>
  <c r="L20" i="5"/>
  <c r="K20" i="5"/>
  <c r="J20" i="5"/>
  <c r="I20" i="5"/>
  <c r="H20" i="5"/>
  <c r="R19" i="5"/>
  <c r="Q19" i="5"/>
  <c r="S19" i="5" s="1"/>
  <c r="O19" i="5"/>
  <c r="N19" i="5"/>
  <c r="L19" i="5"/>
  <c r="M19" i="5" s="1"/>
  <c r="K19" i="5"/>
  <c r="H19" i="5"/>
  <c r="I19" i="5" s="1"/>
  <c r="J19" i="5" s="1"/>
  <c r="O18" i="5"/>
  <c r="N18" i="5"/>
  <c r="L18" i="5"/>
  <c r="K18" i="5"/>
  <c r="J18" i="5"/>
  <c r="H18" i="5"/>
  <c r="I18" i="5" s="1"/>
  <c r="R18" i="5" s="1"/>
  <c r="Q18" i="5" s="1"/>
  <c r="S18" i="5" s="1"/>
  <c r="R17" i="5"/>
  <c r="Q17" i="5" s="1"/>
  <c r="S17" i="5" s="1"/>
  <c r="O17" i="5"/>
  <c r="N17" i="5"/>
  <c r="L17" i="5"/>
  <c r="K17" i="5"/>
  <c r="H17" i="5"/>
  <c r="I17" i="5" s="1"/>
  <c r="J17" i="5" s="1"/>
  <c r="N16" i="5"/>
  <c r="O16" i="5" s="1"/>
  <c r="K16" i="5"/>
  <c r="H16" i="5"/>
  <c r="L16" i="5" s="1"/>
  <c r="M16" i="5" s="1"/>
  <c r="N15" i="5"/>
  <c r="O15" i="5" s="1"/>
  <c r="K15" i="5"/>
  <c r="H15" i="5"/>
  <c r="R14" i="5"/>
  <c r="Q14" i="5"/>
  <c r="S14" i="5" s="1"/>
  <c r="N14" i="5"/>
  <c r="O14" i="5" s="1"/>
  <c r="L14" i="5"/>
  <c r="K14" i="5"/>
  <c r="H14" i="5"/>
  <c r="I14" i="5" s="1"/>
  <c r="J14" i="5" s="1"/>
  <c r="N13" i="5"/>
  <c r="O13" i="5" s="1"/>
  <c r="K13" i="5"/>
  <c r="H13" i="5"/>
  <c r="L13" i="5" s="1"/>
  <c r="M13" i="5" s="1"/>
  <c r="R12" i="5"/>
  <c r="Q12" i="5" s="1"/>
  <c r="S12" i="5" s="1"/>
  <c r="N12" i="5"/>
  <c r="O12" i="5" s="1"/>
  <c r="L12" i="5"/>
  <c r="M12" i="5" s="1"/>
  <c r="K12" i="5"/>
  <c r="H12" i="5"/>
  <c r="I12" i="5" s="1"/>
  <c r="J12" i="5" s="1"/>
  <c r="O11" i="5"/>
  <c r="N11" i="5"/>
  <c r="K11" i="5"/>
  <c r="I11" i="5"/>
  <c r="H11" i="5"/>
  <c r="L11" i="5" s="1"/>
  <c r="M11" i="5" s="1"/>
  <c r="O10" i="5"/>
  <c r="N10" i="5"/>
  <c r="K10" i="5"/>
  <c r="H10" i="5"/>
  <c r="N95" i="4"/>
  <c r="O95" i="4" s="1"/>
  <c r="K95" i="4"/>
  <c r="I95" i="4"/>
  <c r="H95" i="4"/>
  <c r="L95" i="4" s="1"/>
  <c r="M95" i="4" s="1"/>
  <c r="R94" i="4"/>
  <c r="Q94" i="4"/>
  <c r="S94" i="4" s="1"/>
  <c r="O94" i="4"/>
  <c r="N94" i="4"/>
  <c r="K94" i="4"/>
  <c r="J94" i="4"/>
  <c r="I94" i="4"/>
  <c r="H94" i="4"/>
  <c r="L94" i="4" s="1"/>
  <c r="M94" i="4" s="1"/>
  <c r="O93" i="4"/>
  <c r="N93" i="4"/>
  <c r="L93" i="4"/>
  <c r="K93" i="4"/>
  <c r="I93" i="4"/>
  <c r="R93" i="4" s="1"/>
  <c r="Q93" i="4" s="1"/>
  <c r="S93" i="4" s="1"/>
  <c r="H93" i="4"/>
  <c r="O92" i="4"/>
  <c r="N92" i="4"/>
  <c r="L92" i="4"/>
  <c r="M92" i="4" s="1"/>
  <c r="K92" i="4"/>
  <c r="H92" i="4"/>
  <c r="I92" i="4" s="1"/>
  <c r="R91" i="4"/>
  <c r="Q91" i="4"/>
  <c r="S91" i="4" s="1"/>
  <c r="N91" i="4"/>
  <c r="O91" i="4" s="1"/>
  <c r="L91" i="4"/>
  <c r="K91" i="4"/>
  <c r="J91" i="4"/>
  <c r="I91" i="4"/>
  <c r="H91" i="4"/>
  <c r="Q90" i="4"/>
  <c r="S90" i="4" s="1"/>
  <c r="O90" i="4"/>
  <c r="N90" i="4"/>
  <c r="M90" i="4"/>
  <c r="L90" i="4"/>
  <c r="K90" i="4"/>
  <c r="I90" i="4"/>
  <c r="R90" i="4" s="1"/>
  <c r="H90" i="4"/>
  <c r="O89" i="4"/>
  <c r="N89" i="4"/>
  <c r="K89" i="4"/>
  <c r="I89" i="4"/>
  <c r="H89" i="4"/>
  <c r="L89" i="4" s="1"/>
  <c r="M89" i="4" s="1"/>
  <c r="R88" i="4"/>
  <c r="Q88" i="4"/>
  <c r="S88" i="4" s="1"/>
  <c r="O88" i="4"/>
  <c r="N88" i="4"/>
  <c r="K88" i="4"/>
  <c r="H88" i="4"/>
  <c r="I88" i="4" s="1"/>
  <c r="J88" i="4" s="1"/>
  <c r="N87" i="4"/>
  <c r="O87" i="4" s="1"/>
  <c r="L87" i="4"/>
  <c r="M87" i="4" s="1"/>
  <c r="K87" i="4"/>
  <c r="H87" i="4"/>
  <c r="I87" i="4" s="1"/>
  <c r="R86" i="4"/>
  <c r="Q86" i="4" s="1"/>
  <c r="S86" i="4" s="1"/>
  <c r="N86" i="4"/>
  <c r="O86" i="4" s="1"/>
  <c r="M86" i="4"/>
  <c r="L86" i="4"/>
  <c r="K86" i="4"/>
  <c r="J86" i="4"/>
  <c r="H86" i="4"/>
  <c r="I86" i="4" s="1"/>
  <c r="N85" i="4"/>
  <c r="O85" i="4" s="1"/>
  <c r="K85" i="4"/>
  <c r="I85" i="4"/>
  <c r="H85" i="4"/>
  <c r="L85" i="4" s="1"/>
  <c r="M85" i="4" s="1"/>
  <c r="N84" i="4"/>
  <c r="O84" i="4" s="1"/>
  <c r="L84" i="4"/>
  <c r="M84" i="4" s="1"/>
  <c r="K84" i="4"/>
  <c r="H84" i="4"/>
  <c r="I84" i="4" s="1"/>
  <c r="O83" i="4"/>
  <c r="N83" i="4"/>
  <c r="K83" i="4"/>
  <c r="H83" i="4"/>
  <c r="L83" i="4" s="1"/>
  <c r="M83" i="4" s="1"/>
  <c r="O82" i="4"/>
  <c r="N82" i="4"/>
  <c r="K82" i="4"/>
  <c r="I82" i="4"/>
  <c r="H82" i="4"/>
  <c r="L82" i="4" s="1"/>
  <c r="M82" i="4" s="1"/>
  <c r="R81" i="4"/>
  <c r="Q81" i="4"/>
  <c r="S81" i="4" s="1"/>
  <c r="O81" i="4"/>
  <c r="N81" i="4"/>
  <c r="L81" i="4"/>
  <c r="M81" i="4" s="1"/>
  <c r="K81" i="4"/>
  <c r="J81" i="4"/>
  <c r="I81" i="4"/>
  <c r="H81" i="4"/>
  <c r="N80" i="4"/>
  <c r="O80" i="4" s="1"/>
  <c r="K80" i="4"/>
  <c r="H80" i="4"/>
  <c r="L80" i="4" s="1"/>
  <c r="N79" i="4"/>
  <c r="O79" i="4" s="1"/>
  <c r="M79" i="4"/>
  <c r="K79" i="4"/>
  <c r="H79" i="4"/>
  <c r="L79" i="4" s="1"/>
  <c r="N78" i="4"/>
  <c r="O78" i="4" s="1"/>
  <c r="M78" i="4"/>
  <c r="K78" i="4"/>
  <c r="I78" i="4"/>
  <c r="H78" i="4"/>
  <c r="L78" i="4" s="1"/>
  <c r="R77" i="4"/>
  <c r="Q77" i="4"/>
  <c r="S77" i="4" s="1"/>
  <c r="O77" i="4"/>
  <c r="N77" i="4"/>
  <c r="K77" i="4"/>
  <c r="J77" i="4"/>
  <c r="I77" i="4"/>
  <c r="H77" i="4"/>
  <c r="L77" i="4" s="1"/>
  <c r="M77" i="4" s="1"/>
  <c r="N76" i="4"/>
  <c r="O76" i="4" s="1"/>
  <c r="K76" i="4"/>
  <c r="H76" i="4"/>
  <c r="L76" i="4" s="1"/>
  <c r="M76" i="4" s="1"/>
  <c r="N75" i="4"/>
  <c r="O75" i="4" s="1"/>
  <c r="L75" i="4"/>
  <c r="M75" i="4" s="1"/>
  <c r="K75" i="4"/>
  <c r="J75" i="4"/>
  <c r="I75" i="4"/>
  <c r="R75" i="4" s="1"/>
  <c r="Q75" i="4" s="1"/>
  <c r="S75" i="4" s="1"/>
  <c r="H75" i="4"/>
  <c r="R74" i="4"/>
  <c r="Q74" i="4" s="1"/>
  <c r="S74" i="4" s="1"/>
  <c r="N74" i="4"/>
  <c r="O74" i="4" s="1"/>
  <c r="M74" i="4"/>
  <c r="L74" i="4"/>
  <c r="K74" i="4"/>
  <c r="I74" i="4"/>
  <c r="J74" i="4" s="1"/>
  <c r="H74" i="4"/>
  <c r="O72" i="4"/>
  <c r="N72" i="4"/>
  <c r="L72" i="4"/>
  <c r="M72" i="4" s="1"/>
  <c r="K72" i="4"/>
  <c r="H72" i="4"/>
  <c r="I72" i="4" s="1"/>
  <c r="R72" i="4" s="1"/>
  <c r="Q72" i="4" s="1"/>
  <c r="S72" i="4" s="1"/>
  <c r="O71" i="4"/>
  <c r="N71" i="4"/>
  <c r="K71" i="4"/>
  <c r="H71" i="4"/>
  <c r="R70" i="4"/>
  <c r="Q70" i="4" s="1"/>
  <c r="S70" i="4" s="1"/>
  <c r="O70" i="4"/>
  <c r="N70" i="4"/>
  <c r="L70" i="4"/>
  <c r="M70" i="4" s="1"/>
  <c r="K70" i="4"/>
  <c r="J70" i="4"/>
  <c r="H70" i="4"/>
  <c r="I70" i="4" s="1"/>
  <c r="N69" i="4"/>
  <c r="O69" i="4" s="1"/>
  <c r="K69" i="4"/>
  <c r="H69" i="4"/>
  <c r="R68" i="4"/>
  <c r="Q68" i="4"/>
  <c r="S68" i="4" s="1"/>
  <c r="N68" i="4"/>
  <c r="O68" i="4" s="1"/>
  <c r="M68" i="4"/>
  <c r="K68" i="4"/>
  <c r="I68" i="4"/>
  <c r="J68" i="4" s="1"/>
  <c r="H68" i="4"/>
  <c r="L68" i="4" s="1"/>
  <c r="N67" i="4"/>
  <c r="O67" i="4" s="1"/>
  <c r="K67" i="4"/>
  <c r="H67" i="4"/>
  <c r="L67" i="4" s="1"/>
  <c r="M67" i="4" s="1"/>
  <c r="R66" i="4"/>
  <c r="Q66" i="4" s="1"/>
  <c r="S66" i="4" s="1"/>
  <c r="O66" i="4"/>
  <c r="N66" i="4"/>
  <c r="K66" i="4"/>
  <c r="J66" i="4"/>
  <c r="I66" i="4"/>
  <c r="H66" i="4"/>
  <c r="L66" i="4" s="1"/>
  <c r="M66" i="4" s="1"/>
  <c r="N65" i="4"/>
  <c r="O65" i="4" s="1"/>
  <c r="K65" i="4"/>
  <c r="H65" i="4"/>
  <c r="N64" i="4"/>
  <c r="O64" i="4" s="1"/>
  <c r="K64" i="4"/>
  <c r="H64" i="4"/>
  <c r="L64" i="4" s="1"/>
  <c r="M64" i="4" s="1"/>
  <c r="O63" i="4"/>
  <c r="N63" i="4"/>
  <c r="K63" i="4"/>
  <c r="H63" i="4"/>
  <c r="N62" i="4"/>
  <c r="O62" i="4" s="1"/>
  <c r="K62" i="4"/>
  <c r="I62" i="4"/>
  <c r="H62" i="4"/>
  <c r="L62" i="4" s="1"/>
  <c r="M62" i="4" s="1"/>
  <c r="R61" i="4"/>
  <c r="Q61" i="4"/>
  <c r="S61" i="4" s="1"/>
  <c r="O61" i="4"/>
  <c r="N61" i="4"/>
  <c r="M61" i="4"/>
  <c r="K61" i="4"/>
  <c r="J61" i="4"/>
  <c r="I61" i="4"/>
  <c r="H61" i="4"/>
  <c r="L61" i="4" s="1"/>
  <c r="N60" i="4"/>
  <c r="O60" i="4" s="1"/>
  <c r="L60" i="4"/>
  <c r="K60" i="4"/>
  <c r="J60" i="4"/>
  <c r="I60" i="4"/>
  <c r="R60" i="4" s="1"/>
  <c r="Q60" i="4" s="1"/>
  <c r="S60" i="4" s="1"/>
  <c r="H60" i="4"/>
  <c r="N59" i="4"/>
  <c r="O59" i="4" s="1"/>
  <c r="K59" i="4"/>
  <c r="H59" i="4"/>
  <c r="L59" i="4" s="1"/>
  <c r="M59" i="4" s="1"/>
  <c r="R58" i="4"/>
  <c r="Q58" i="4" s="1"/>
  <c r="S58" i="4" s="1"/>
  <c r="N58" i="4"/>
  <c r="O58" i="4" s="1"/>
  <c r="L58" i="4"/>
  <c r="M58" i="4" s="1"/>
  <c r="K58" i="4"/>
  <c r="I58" i="4"/>
  <c r="J58" i="4" s="1"/>
  <c r="H58" i="4"/>
  <c r="S57" i="4"/>
  <c r="N57" i="4"/>
  <c r="O57" i="4" s="1"/>
  <c r="L57" i="4"/>
  <c r="M57" i="4" s="1"/>
  <c r="K57" i="4"/>
  <c r="I57" i="4"/>
  <c r="R57" i="4" s="1"/>
  <c r="Q57" i="4" s="1"/>
  <c r="H57" i="4"/>
  <c r="O56" i="4"/>
  <c r="N56" i="4"/>
  <c r="K56" i="4"/>
  <c r="H56" i="4"/>
  <c r="L56" i="4" s="1"/>
  <c r="M56" i="4" s="1"/>
  <c r="R55" i="4"/>
  <c r="Q55" i="4"/>
  <c r="S55" i="4" s="1"/>
  <c r="O55" i="4"/>
  <c r="N55" i="4"/>
  <c r="L55" i="4"/>
  <c r="M55" i="4" s="1"/>
  <c r="K55" i="4"/>
  <c r="H55" i="4"/>
  <c r="I55" i="4" s="1"/>
  <c r="J55" i="4" s="1"/>
  <c r="O54" i="4"/>
  <c r="N54" i="4"/>
  <c r="L54" i="4"/>
  <c r="M54" i="4" s="1"/>
  <c r="K54" i="4"/>
  <c r="H54" i="4"/>
  <c r="I54" i="4" s="1"/>
  <c r="R54" i="4" s="1"/>
  <c r="Q54" i="4" s="1"/>
  <c r="S54" i="4" s="1"/>
  <c r="N53" i="4"/>
  <c r="O53" i="4" s="1"/>
  <c r="K53" i="4"/>
  <c r="H53" i="4"/>
  <c r="N52" i="4"/>
  <c r="O52" i="4" s="1"/>
  <c r="K52" i="4"/>
  <c r="H52" i="4"/>
  <c r="R51" i="4"/>
  <c r="Q51" i="4" s="1"/>
  <c r="S51" i="4" s="1"/>
  <c r="N51" i="4"/>
  <c r="O51" i="4" s="1"/>
  <c r="K51" i="4"/>
  <c r="I51" i="4"/>
  <c r="J51" i="4" s="1"/>
  <c r="H51" i="4"/>
  <c r="L51" i="4" s="1"/>
  <c r="M51" i="4" s="1"/>
  <c r="N50" i="4"/>
  <c r="O50" i="4" s="1"/>
  <c r="M50" i="4"/>
  <c r="L50" i="4"/>
  <c r="K50" i="4"/>
  <c r="I50" i="4"/>
  <c r="R50" i="4" s="1"/>
  <c r="Q50" i="4" s="1"/>
  <c r="S50" i="4" s="1"/>
  <c r="H50" i="4"/>
  <c r="O49" i="4"/>
  <c r="N49" i="4"/>
  <c r="M49" i="4"/>
  <c r="K49" i="4"/>
  <c r="I49" i="4"/>
  <c r="R49" i="4" s="1"/>
  <c r="Q49" i="4" s="1"/>
  <c r="S49" i="4" s="1"/>
  <c r="H49" i="4"/>
  <c r="L49" i="4" s="1"/>
  <c r="O48" i="4"/>
  <c r="N48" i="4"/>
  <c r="K48" i="4"/>
  <c r="H48" i="4"/>
  <c r="N46" i="4"/>
  <c r="O46" i="4" s="1"/>
  <c r="L46" i="4"/>
  <c r="M46" i="4" s="1"/>
  <c r="K46" i="4"/>
  <c r="J46" i="4"/>
  <c r="I46" i="4"/>
  <c r="R46" i="4" s="1"/>
  <c r="Q46" i="4" s="1"/>
  <c r="S46" i="4" s="1"/>
  <c r="H46" i="4"/>
  <c r="N45" i="4"/>
  <c r="O45" i="4" s="1"/>
  <c r="K45" i="4"/>
  <c r="J45" i="4"/>
  <c r="I45" i="4"/>
  <c r="R45" i="4" s="1"/>
  <c r="Q45" i="4" s="1"/>
  <c r="S45" i="4" s="1"/>
  <c r="H45" i="4"/>
  <c r="L45" i="4" s="1"/>
  <c r="M45" i="4" s="1"/>
  <c r="S44" i="4"/>
  <c r="R44" i="4"/>
  <c r="Q44" i="4" s="1"/>
  <c r="N44" i="4"/>
  <c r="O44" i="4" s="1"/>
  <c r="K44" i="4"/>
  <c r="M44" i="4" s="1"/>
  <c r="J44" i="4"/>
  <c r="I44" i="4"/>
  <c r="H44" i="4"/>
  <c r="L44" i="4" s="1"/>
  <c r="N43" i="4"/>
  <c r="O43" i="4" s="1"/>
  <c r="K43" i="4"/>
  <c r="I43" i="4"/>
  <c r="H43" i="4"/>
  <c r="L43" i="4" s="1"/>
  <c r="M43" i="4" s="1"/>
  <c r="R42" i="4"/>
  <c r="Q42" i="4"/>
  <c r="S42" i="4" s="1"/>
  <c r="O42" i="4"/>
  <c r="N42" i="4"/>
  <c r="L42" i="4"/>
  <c r="M42" i="4" s="1"/>
  <c r="K42" i="4"/>
  <c r="I42" i="4"/>
  <c r="J42" i="4" s="1"/>
  <c r="H42" i="4"/>
  <c r="O41" i="4"/>
  <c r="N41" i="4"/>
  <c r="L41" i="4"/>
  <c r="K41" i="4"/>
  <c r="I41" i="4"/>
  <c r="H41" i="4"/>
  <c r="R40" i="4"/>
  <c r="Q40" i="4" s="1"/>
  <c r="S40" i="4" s="1"/>
  <c r="O40" i="4"/>
  <c r="N40" i="4"/>
  <c r="L40" i="4"/>
  <c r="K40" i="4"/>
  <c r="M40" i="4" s="1"/>
  <c r="J40" i="4"/>
  <c r="I40" i="4"/>
  <c r="H40" i="4"/>
  <c r="O39" i="4"/>
  <c r="N39" i="4"/>
  <c r="M39" i="4"/>
  <c r="L39" i="4"/>
  <c r="K39" i="4"/>
  <c r="H39" i="4"/>
  <c r="I39" i="4" s="1"/>
  <c r="R38" i="4"/>
  <c r="Q38" i="4" s="1"/>
  <c r="S38" i="4" s="1"/>
  <c r="O38" i="4"/>
  <c r="N38" i="4"/>
  <c r="L38" i="4"/>
  <c r="M38" i="4" s="1"/>
  <c r="K38" i="4"/>
  <c r="H38" i="4"/>
  <c r="I38" i="4" s="1"/>
  <c r="J38" i="4" s="1"/>
  <c r="R37" i="4"/>
  <c r="Q37" i="4" s="1"/>
  <c r="S37" i="4" s="1"/>
  <c r="O37" i="4"/>
  <c r="N37" i="4"/>
  <c r="K37" i="4"/>
  <c r="J37" i="4"/>
  <c r="H37" i="4"/>
  <c r="I37" i="4" s="1"/>
  <c r="N36" i="4"/>
  <c r="O36" i="4" s="1"/>
  <c r="K36" i="4"/>
  <c r="H36" i="4"/>
  <c r="I36" i="4" s="1"/>
  <c r="R36" i="4" s="1"/>
  <c r="Q36" i="4" s="1"/>
  <c r="S36" i="4" s="1"/>
  <c r="N35" i="4"/>
  <c r="O35" i="4" s="1"/>
  <c r="K35" i="4"/>
  <c r="H35" i="4"/>
  <c r="I35" i="4" s="1"/>
  <c r="O34" i="4"/>
  <c r="N34" i="4"/>
  <c r="L34" i="4"/>
  <c r="K34" i="4"/>
  <c r="I34" i="4"/>
  <c r="H34" i="4"/>
  <c r="N33" i="4"/>
  <c r="O33" i="4" s="1"/>
  <c r="M33" i="4"/>
  <c r="K33" i="4"/>
  <c r="H33" i="4"/>
  <c r="L33" i="4" s="1"/>
  <c r="S32" i="4"/>
  <c r="O32" i="4"/>
  <c r="N32" i="4"/>
  <c r="L32" i="4"/>
  <c r="M32" i="4" s="1"/>
  <c r="K32" i="4"/>
  <c r="I32" i="4"/>
  <c r="R32" i="4" s="1"/>
  <c r="Q32" i="4" s="1"/>
  <c r="H32" i="4"/>
  <c r="O31" i="4"/>
  <c r="N31" i="4"/>
  <c r="K31" i="4"/>
  <c r="H31" i="4"/>
  <c r="N30" i="4"/>
  <c r="O30" i="4" s="1"/>
  <c r="L30" i="4"/>
  <c r="M30" i="4" s="1"/>
  <c r="K30" i="4"/>
  <c r="H30" i="4"/>
  <c r="I30" i="4" s="1"/>
  <c r="Q29" i="4"/>
  <c r="S29" i="4" s="1"/>
  <c r="N29" i="4"/>
  <c r="O29" i="4" s="1"/>
  <c r="M29" i="4"/>
  <c r="K29" i="4"/>
  <c r="I29" i="4"/>
  <c r="R29" i="4" s="1"/>
  <c r="H29" i="4"/>
  <c r="L29" i="4" s="1"/>
  <c r="N27" i="4"/>
  <c r="O27" i="4" s="1"/>
  <c r="K27" i="4"/>
  <c r="M27" i="4" s="1"/>
  <c r="I27" i="4"/>
  <c r="H27" i="4"/>
  <c r="L27" i="4" s="1"/>
  <c r="O26" i="4"/>
  <c r="N26" i="4"/>
  <c r="K26" i="4"/>
  <c r="H26" i="4"/>
  <c r="N25" i="4"/>
  <c r="O25" i="4" s="1"/>
  <c r="K25" i="4"/>
  <c r="H25" i="4"/>
  <c r="R24" i="4"/>
  <c r="Q24" i="4" s="1"/>
  <c r="S24" i="4" s="1"/>
  <c r="N24" i="4"/>
  <c r="O24" i="4" s="1"/>
  <c r="L24" i="4"/>
  <c r="K24" i="4"/>
  <c r="J24" i="4"/>
  <c r="I24" i="4"/>
  <c r="H24" i="4"/>
  <c r="R23" i="4"/>
  <c r="Q23" i="4" s="1"/>
  <c r="S23" i="4" s="1"/>
  <c r="N23" i="4"/>
  <c r="O23" i="4" s="1"/>
  <c r="M23" i="4"/>
  <c r="L23" i="4"/>
  <c r="K23" i="4"/>
  <c r="J23" i="4"/>
  <c r="I23" i="4"/>
  <c r="H23" i="4"/>
  <c r="O22" i="4"/>
  <c r="N22" i="4"/>
  <c r="M22" i="4"/>
  <c r="L22" i="4"/>
  <c r="K22" i="4"/>
  <c r="H22" i="4"/>
  <c r="I22" i="4" s="1"/>
  <c r="R21" i="4"/>
  <c r="Q21" i="4" s="1"/>
  <c r="S21" i="4" s="1"/>
  <c r="O21" i="4"/>
  <c r="N21" i="4"/>
  <c r="K21" i="4"/>
  <c r="J21" i="4"/>
  <c r="H21" i="4"/>
  <c r="I21" i="4" s="1"/>
  <c r="R20" i="4"/>
  <c r="Q20" i="4" s="1"/>
  <c r="S20" i="4" s="1"/>
  <c r="O20" i="4"/>
  <c r="N20" i="4"/>
  <c r="K20" i="4"/>
  <c r="H20" i="4"/>
  <c r="I20" i="4" s="1"/>
  <c r="J20" i="4" s="1"/>
  <c r="N19" i="4"/>
  <c r="O19" i="4" s="1"/>
  <c r="K19" i="4"/>
  <c r="H19" i="4"/>
  <c r="S18" i="4"/>
  <c r="R18" i="4"/>
  <c r="Q18" i="4"/>
  <c r="N18" i="4"/>
  <c r="O18" i="4" s="1"/>
  <c r="L18" i="4"/>
  <c r="M18" i="4" s="1"/>
  <c r="K18" i="4"/>
  <c r="I18" i="4"/>
  <c r="J18" i="4" s="1"/>
  <c r="H18" i="4"/>
  <c r="O17" i="4"/>
  <c r="N17" i="4"/>
  <c r="K17" i="4"/>
  <c r="H17" i="4"/>
  <c r="L17" i="4" s="1"/>
  <c r="M17" i="4" s="1"/>
  <c r="O16" i="4"/>
  <c r="N16" i="4"/>
  <c r="K16" i="4"/>
  <c r="H16" i="4"/>
  <c r="N15" i="4"/>
  <c r="O15" i="4" s="1"/>
  <c r="K15" i="4"/>
  <c r="H15" i="4"/>
  <c r="I15" i="4" s="1"/>
  <c r="N14" i="4"/>
  <c r="O14" i="4" s="1"/>
  <c r="L14" i="4"/>
  <c r="M14" i="4" s="1"/>
  <c r="K14" i="4"/>
  <c r="I14" i="4"/>
  <c r="J14" i="4" s="1"/>
  <c r="H14" i="4"/>
  <c r="N13" i="4"/>
  <c r="O13" i="4" s="1"/>
  <c r="M13" i="4"/>
  <c r="L13" i="4"/>
  <c r="K13" i="4"/>
  <c r="H13" i="4"/>
  <c r="I13" i="4" s="1"/>
  <c r="N12" i="4"/>
  <c r="O12" i="4" s="1"/>
  <c r="K12" i="4"/>
  <c r="H12" i="4"/>
  <c r="L12" i="4" s="1"/>
  <c r="M12" i="4" s="1"/>
  <c r="R11" i="4"/>
  <c r="Q11" i="4" s="1"/>
  <c r="S11" i="4" s="1"/>
  <c r="N11" i="4"/>
  <c r="O11" i="4" s="1"/>
  <c r="M11" i="4"/>
  <c r="K11" i="4"/>
  <c r="J11" i="4"/>
  <c r="I11" i="4"/>
  <c r="H11" i="4"/>
  <c r="L11" i="4" s="1"/>
  <c r="N10" i="4"/>
  <c r="O10" i="4" s="1"/>
  <c r="L10" i="4"/>
  <c r="K10" i="4"/>
  <c r="M10" i="4" s="1"/>
  <c r="I10" i="4"/>
  <c r="R10" i="4" s="1"/>
  <c r="Q10" i="4" s="1"/>
  <c r="S10" i="4" s="1"/>
  <c r="H10" i="4"/>
  <c r="N9" i="4"/>
  <c r="O9" i="4" s="1"/>
  <c r="K9" i="4"/>
  <c r="H9" i="4"/>
  <c r="S108" i="3"/>
  <c r="R108" i="3"/>
  <c r="T108" i="3" s="1"/>
  <c r="P108" i="3"/>
  <c r="O108" i="3"/>
  <c r="M108" i="3"/>
  <c r="L108" i="3"/>
  <c r="K108" i="3"/>
  <c r="J108" i="3"/>
  <c r="I108" i="3"/>
  <c r="O107" i="3"/>
  <c r="P107" i="3" s="1"/>
  <c r="M107" i="3"/>
  <c r="L107" i="3"/>
  <c r="K107" i="3"/>
  <c r="J107" i="3"/>
  <c r="S107" i="3" s="1"/>
  <c r="R107" i="3" s="1"/>
  <c r="T107" i="3" s="1"/>
  <c r="I107" i="3"/>
  <c r="T106" i="3"/>
  <c r="P106" i="3"/>
  <c r="O106" i="3"/>
  <c r="L106" i="3"/>
  <c r="K106" i="3"/>
  <c r="J106" i="3"/>
  <c r="S106" i="3" s="1"/>
  <c r="R106" i="3" s="1"/>
  <c r="I106" i="3"/>
  <c r="M106" i="3" s="1"/>
  <c r="N106" i="3" s="1"/>
  <c r="S105" i="3"/>
  <c r="R105" i="3"/>
  <c r="T105" i="3" s="1"/>
  <c r="P105" i="3"/>
  <c r="O105" i="3"/>
  <c r="M105" i="3"/>
  <c r="N105" i="3" s="1"/>
  <c r="L105" i="3"/>
  <c r="K105" i="3"/>
  <c r="I105" i="3"/>
  <c r="J105" i="3" s="1"/>
  <c r="O104" i="3"/>
  <c r="P104" i="3" s="1"/>
  <c r="L104" i="3"/>
  <c r="I104" i="3"/>
  <c r="T103" i="3"/>
  <c r="S103" i="3"/>
  <c r="R103" i="3"/>
  <c r="O103" i="3"/>
  <c r="P103" i="3" s="1"/>
  <c r="M103" i="3"/>
  <c r="N103" i="3" s="1"/>
  <c r="L103" i="3"/>
  <c r="I103" i="3"/>
  <c r="J103" i="3" s="1"/>
  <c r="K103" i="3" s="1"/>
  <c r="S102" i="3"/>
  <c r="R102" i="3"/>
  <c r="T102" i="3" s="1"/>
  <c r="O102" i="3"/>
  <c r="P102" i="3" s="1"/>
  <c r="L102" i="3"/>
  <c r="J102" i="3"/>
  <c r="K102" i="3" s="1"/>
  <c r="I102" i="3"/>
  <c r="M102" i="3" s="1"/>
  <c r="N102" i="3" s="1"/>
  <c r="P101" i="3"/>
  <c r="O101" i="3"/>
  <c r="L101" i="3"/>
  <c r="I101" i="3"/>
  <c r="O100" i="3"/>
  <c r="P100" i="3" s="1"/>
  <c r="M100" i="3"/>
  <c r="N100" i="3" s="1"/>
  <c r="L100" i="3"/>
  <c r="J100" i="3"/>
  <c r="S100" i="3" s="1"/>
  <c r="R100" i="3" s="1"/>
  <c r="T100" i="3" s="1"/>
  <c r="I100" i="3"/>
  <c r="P99" i="3"/>
  <c r="O99" i="3"/>
  <c r="L99" i="3"/>
  <c r="I99" i="3"/>
  <c r="V98" i="3"/>
  <c r="P98" i="3"/>
  <c r="O98" i="3"/>
  <c r="N98" i="3"/>
  <c r="L98" i="3"/>
  <c r="I98" i="3"/>
  <c r="M98" i="3" s="1"/>
  <c r="P97" i="3"/>
  <c r="O97" i="3"/>
  <c r="L97" i="3"/>
  <c r="I97" i="3"/>
  <c r="M97" i="3" s="1"/>
  <c r="N97" i="3" s="1"/>
  <c r="O96" i="3"/>
  <c r="P96" i="3" s="1"/>
  <c r="L96" i="3"/>
  <c r="I96" i="3"/>
  <c r="R95" i="3"/>
  <c r="T95" i="3" s="1"/>
  <c r="P95" i="3"/>
  <c r="O95" i="3"/>
  <c r="M95" i="3"/>
  <c r="L95" i="3"/>
  <c r="J95" i="3"/>
  <c r="S95" i="3" s="1"/>
  <c r="I95" i="3"/>
  <c r="P94" i="3"/>
  <c r="O94" i="3"/>
  <c r="M94" i="3"/>
  <c r="N94" i="3" s="1"/>
  <c r="L94" i="3"/>
  <c r="K94" i="3"/>
  <c r="J94" i="3"/>
  <c r="S94" i="3" s="1"/>
  <c r="R94" i="3" s="1"/>
  <c r="T94" i="3" s="1"/>
  <c r="I94" i="3"/>
  <c r="P93" i="3"/>
  <c r="O93" i="3"/>
  <c r="L93" i="3"/>
  <c r="I93" i="3"/>
  <c r="S92" i="3"/>
  <c r="R92" i="3"/>
  <c r="T92" i="3" s="1"/>
  <c r="P92" i="3"/>
  <c r="O92" i="3"/>
  <c r="M92" i="3"/>
  <c r="L92" i="3"/>
  <c r="K92" i="3"/>
  <c r="I92" i="3"/>
  <c r="J92" i="3" s="1"/>
  <c r="P91" i="3"/>
  <c r="O91" i="3"/>
  <c r="L91" i="3"/>
  <c r="I91" i="3"/>
  <c r="J91" i="3" s="1"/>
  <c r="T90" i="3"/>
  <c r="S90" i="3"/>
  <c r="R90" i="3"/>
  <c r="O90" i="3"/>
  <c r="P90" i="3" s="1"/>
  <c r="L90" i="3"/>
  <c r="N90" i="3" s="1"/>
  <c r="K90" i="3"/>
  <c r="J90" i="3"/>
  <c r="I90" i="3"/>
  <c r="M90" i="3" s="1"/>
  <c r="O89" i="3"/>
  <c r="P89" i="3" s="1"/>
  <c r="L89" i="3"/>
  <c r="I89" i="3"/>
  <c r="M89" i="3" s="1"/>
  <c r="N89" i="3" s="1"/>
  <c r="O88" i="3"/>
  <c r="P88" i="3" s="1"/>
  <c r="L88" i="3"/>
  <c r="I88" i="3"/>
  <c r="O87" i="3"/>
  <c r="P87" i="3" s="1"/>
  <c r="L87" i="3"/>
  <c r="I87" i="3"/>
  <c r="O85" i="3"/>
  <c r="P85" i="3" s="1"/>
  <c r="L85" i="3"/>
  <c r="I85" i="3"/>
  <c r="N85" i="3" s="1"/>
  <c r="O84" i="3"/>
  <c r="P84" i="3" s="1"/>
  <c r="L84" i="3"/>
  <c r="I84" i="3"/>
  <c r="O83" i="3"/>
  <c r="P83" i="3" s="1"/>
  <c r="L83" i="3"/>
  <c r="J83" i="3"/>
  <c r="I83" i="3"/>
  <c r="O82" i="3"/>
  <c r="P82" i="3" s="1"/>
  <c r="L82" i="3"/>
  <c r="J82" i="3"/>
  <c r="I82" i="3"/>
  <c r="P81" i="3"/>
  <c r="O81" i="3"/>
  <c r="L81" i="3"/>
  <c r="I81" i="3"/>
  <c r="N81" i="3" s="1"/>
  <c r="S80" i="3"/>
  <c r="R80" i="3"/>
  <c r="T80" i="3" s="1"/>
  <c r="P80" i="3"/>
  <c r="O80" i="3"/>
  <c r="L80" i="3"/>
  <c r="J80" i="3"/>
  <c r="K80" i="3" s="1"/>
  <c r="I80" i="3"/>
  <c r="O79" i="3"/>
  <c r="P79" i="3" s="1"/>
  <c r="N79" i="3"/>
  <c r="L79" i="3"/>
  <c r="I79" i="3"/>
  <c r="J79" i="3" s="1"/>
  <c r="S79" i="3" s="1"/>
  <c r="R79" i="3" s="1"/>
  <c r="T79" i="3" s="1"/>
  <c r="O78" i="3"/>
  <c r="P78" i="3" s="1"/>
  <c r="L78" i="3"/>
  <c r="J78" i="3"/>
  <c r="K78" i="3" s="1"/>
  <c r="I78" i="3"/>
  <c r="N78" i="3" s="1"/>
  <c r="R77" i="3"/>
  <c r="T77" i="3" s="1"/>
  <c r="O77" i="3"/>
  <c r="P77" i="3" s="1"/>
  <c r="L77" i="3"/>
  <c r="J77" i="3"/>
  <c r="S77" i="3" s="1"/>
  <c r="I77" i="3"/>
  <c r="N77" i="3" s="1"/>
  <c r="O76" i="3"/>
  <c r="P76" i="3" s="1"/>
  <c r="L76" i="3"/>
  <c r="I76" i="3"/>
  <c r="N76" i="3" s="1"/>
  <c r="O75" i="3"/>
  <c r="P75" i="3" s="1"/>
  <c r="L75" i="3"/>
  <c r="I75" i="3"/>
  <c r="O74" i="3"/>
  <c r="P74" i="3" s="1"/>
  <c r="L74" i="3"/>
  <c r="I74" i="3"/>
  <c r="P73" i="3"/>
  <c r="O73" i="3"/>
  <c r="L73" i="3"/>
  <c r="J73" i="3"/>
  <c r="I73" i="3"/>
  <c r="N73" i="3" s="1"/>
  <c r="O72" i="3"/>
  <c r="P72" i="3" s="1"/>
  <c r="L72" i="3"/>
  <c r="I72" i="3"/>
  <c r="O71" i="3"/>
  <c r="P71" i="3" s="1"/>
  <c r="N71" i="3"/>
  <c r="L71" i="3"/>
  <c r="I71" i="3"/>
  <c r="P70" i="3"/>
  <c r="O70" i="3"/>
  <c r="L70" i="3"/>
  <c r="I70" i="3"/>
  <c r="S69" i="3"/>
  <c r="R69" i="3"/>
  <c r="T69" i="3" s="1"/>
  <c r="O69" i="3"/>
  <c r="P69" i="3" s="1"/>
  <c r="N69" i="3"/>
  <c r="L69" i="3"/>
  <c r="J69" i="3"/>
  <c r="K69" i="3" s="1"/>
  <c r="I69" i="3"/>
  <c r="P68" i="3"/>
  <c r="O68" i="3"/>
  <c r="L68" i="3"/>
  <c r="J68" i="3"/>
  <c r="S68" i="3" s="1"/>
  <c r="R68" i="3" s="1"/>
  <c r="T68" i="3" s="1"/>
  <c r="I68" i="3"/>
  <c r="N68" i="3" s="1"/>
  <c r="O67" i="3"/>
  <c r="P67" i="3" s="1"/>
  <c r="L67" i="3"/>
  <c r="I67" i="3"/>
  <c r="S66" i="3"/>
  <c r="R66" i="3" s="1"/>
  <c r="T66" i="3" s="1"/>
  <c r="O66" i="3"/>
  <c r="P66" i="3" s="1"/>
  <c r="L66" i="3"/>
  <c r="K66" i="3"/>
  <c r="J66" i="3"/>
  <c r="I66" i="3"/>
  <c r="O65" i="3"/>
  <c r="P65" i="3" s="1"/>
  <c r="L65" i="3"/>
  <c r="I65" i="3"/>
  <c r="N65" i="3" s="1"/>
  <c r="P64" i="3"/>
  <c r="O64" i="3"/>
  <c r="L64" i="3"/>
  <c r="K64" i="3"/>
  <c r="J64" i="3"/>
  <c r="S64" i="3" s="1"/>
  <c r="R64" i="3" s="1"/>
  <c r="T64" i="3" s="1"/>
  <c r="I64" i="3"/>
  <c r="S63" i="3"/>
  <c r="R63" i="3"/>
  <c r="T63" i="3" s="1"/>
  <c r="P63" i="3"/>
  <c r="O63" i="3"/>
  <c r="N63" i="3"/>
  <c r="L63" i="3"/>
  <c r="I63" i="3"/>
  <c r="J63" i="3" s="1"/>
  <c r="K63" i="3" s="1"/>
  <c r="O62" i="3"/>
  <c r="P62" i="3" s="1"/>
  <c r="N62" i="3"/>
  <c r="L62" i="3"/>
  <c r="I62" i="3"/>
  <c r="J62" i="3" s="1"/>
  <c r="K62" i="3" s="1"/>
  <c r="O61" i="3"/>
  <c r="P61" i="3" s="1"/>
  <c r="L61" i="3"/>
  <c r="I61" i="3"/>
  <c r="S59" i="3"/>
  <c r="R59" i="3" s="1"/>
  <c r="T59" i="3" s="1"/>
  <c r="O59" i="3"/>
  <c r="P59" i="3" s="1"/>
  <c r="M59" i="3"/>
  <c r="N59" i="3" s="1"/>
  <c r="L59" i="3"/>
  <c r="J59" i="3"/>
  <c r="K59" i="3" s="1"/>
  <c r="I59" i="3"/>
  <c r="O58" i="3"/>
  <c r="P58" i="3" s="1"/>
  <c r="M58" i="3"/>
  <c r="N58" i="3" s="1"/>
  <c r="L58" i="3"/>
  <c r="J58" i="3"/>
  <c r="S58" i="3" s="1"/>
  <c r="R58" i="3" s="1"/>
  <c r="T58" i="3" s="1"/>
  <c r="I58" i="3"/>
  <c r="P57" i="3"/>
  <c r="O57" i="3"/>
  <c r="L57" i="3"/>
  <c r="J57" i="3"/>
  <c r="K57" i="3" s="1"/>
  <c r="I57" i="3"/>
  <c r="M57" i="3" s="1"/>
  <c r="N57" i="3" s="1"/>
  <c r="S56" i="3"/>
  <c r="R56" i="3"/>
  <c r="T56" i="3" s="1"/>
  <c r="O56" i="3"/>
  <c r="P56" i="3" s="1"/>
  <c r="M56" i="3"/>
  <c r="N56" i="3" s="1"/>
  <c r="L56" i="3"/>
  <c r="K56" i="3"/>
  <c r="J56" i="3"/>
  <c r="I56" i="3"/>
  <c r="O55" i="3"/>
  <c r="P55" i="3" s="1"/>
  <c r="L55" i="3"/>
  <c r="J55" i="3"/>
  <c r="I55" i="3"/>
  <c r="M55" i="3" s="1"/>
  <c r="N55" i="3" s="1"/>
  <c r="P54" i="3"/>
  <c r="O54" i="3"/>
  <c r="L54" i="3"/>
  <c r="I54" i="3"/>
  <c r="M54" i="3" s="1"/>
  <c r="N54" i="3" s="1"/>
  <c r="R53" i="3"/>
  <c r="T53" i="3" s="1"/>
  <c r="O53" i="3"/>
  <c r="P53" i="3" s="1"/>
  <c r="L53" i="3"/>
  <c r="N53" i="3" s="1"/>
  <c r="J53" i="3"/>
  <c r="S53" i="3" s="1"/>
  <c r="I53" i="3"/>
  <c r="M53" i="3" s="1"/>
  <c r="P52" i="3"/>
  <c r="O52" i="3"/>
  <c r="M52" i="3"/>
  <c r="N52" i="3" s="1"/>
  <c r="L52" i="3"/>
  <c r="I52" i="3"/>
  <c r="J52" i="3" s="1"/>
  <c r="S51" i="3"/>
  <c r="R51" i="3" s="1"/>
  <c r="T51" i="3" s="1"/>
  <c r="O51" i="3"/>
  <c r="P51" i="3" s="1"/>
  <c r="L51" i="3"/>
  <c r="J51" i="3"/>
  <c r="K51" i="3" s="1"/>
  <c r="I51" i="3"/>
  <c r="M51" i="3" s="1"/>
  <c r="N51" i="3" s="1"/>
  <c r="O50" i="3"/>
  <c r="P50" i="3" s="1"/>
  <c r="L50" i="3"/>
  <c r="I50" i="3"/>
  <c r="O49" i="3"/>
  <c r="P49" i="3" s="1"/>
  <c r="N49" i="3"/>
  <c r="M49" i="3"/>
  <c r="L49" i="3"/>
  <c r="K49" i="3"/>
  <c r="J49" i="3"/>
  <c r="S49" i="3" s="1"/>
  <c r="R49" i="3" s="1"/>
  <c r="T49" i="3" s="1"/>
  <c r="I49" i="3"/>
  <c r="P48" i="3"/>
  <c r="O48" i="3"/>
  <c r="L48" i="3"/>
  <c r="I48" i="3"/>
  <c r="R47" i="3"/>
  <c r="T47" i="3" s="1"/>
  <c r="P47" i="3"/>
  <c r="O47" i="3"/>
  <c r="M47" i="3"/>
  <c r="N47" i="3" s="1"/>
  <c r="L47" i="3"/>
  <c r="J47" i="3"/>
  <c r="S47" i="3" s="1"/>
  <c r="I47" i="3"/>
  <c r="O46" i="3"/>
  <c r="P46" i="3" s="1"/>
  <c r="L46" i="3"/>
  <c r="I46" i="3"/>
  <c r="O45" i="3"/>
  <c r="P45" i="3" s="1"/>
  <c r="L45" i="3"/>
  <c r="I45" i="3"/>
  <c r="M45" i="3" s="1"/>
  <c r="N45" i="3" s="1"/>
  <c r="O44" i="3"/>
  <c r="P44" i="3" s="1"/>
  <c r="N44" i="3"/>
  <c r="L44" i="3"/>
  <c r="I44" i="3"/>
  <c r="M44" i="3" s="1"/>
  <c r="O43" i="3"/>
  <c r="P43" i="3" s="1"/>
  <c r="M43" i="3"/>
  <c r="N43" i="3" s="1"/>
  <c r="L43" i="3"/>
  <c r="I43" i="3"/>
  <c r="J43" i="3" s="1"/>
  <c r="P42" i="3"/>
  <c r="O42" i="3"/>
  <c r="L42" i="3"/>
  <c r="I42" i="3"/>
  <c r="M42" i="3" s="1"/>
  <c r="N42" i="3" s="1"/>
  <c r="O40" i="3"/>
  <c r="P40" i="3" s="1"/>
  <c r="L40" i="3"/>
  <c r="I40" i="3"/>
  <c r="M40" i="3" s="1"/>
  <c r="P39" i="3"/>
  <c r="O39" i="3"/>
  <c r="M39" i="3"/>
  <c r="N39" i="3" s="1"/>
  <c r="L39" i="3"/>
  <c r="I39" i="3"/>
  <c r="J39" i="3" s="1"/>
  <c r="O38" i="3"/>
  <c r="P38" i="3" s="1"/>
  <c r="L38" i="3"/>
  <c r="I38" i="3"/>
  <c r="M38" i="3" s="1"/>
  <c r="N38" i="3" s="1"/>
  <c r="P37" i="3"/>
  <c r="O37" i="3"/>
  <c r="L37" i="3"/>
  <c r="J37" i="3"/>
  <c r="K37" i="3" s="1"/>
  <c r="I37" i="3"/>
  <c r="M37" i="3" s="1"/>
  <c r="N37" i="3" s="1"/>
  <c r="P36" i="3"/>
  <c r="O36" i="3"/>
  <c r="M36" i="3"/>
  <c r="N36" i="3" s="1"/>
  <c r="L36" i="3"/>
  <c r="J36" i="3"/>
  <c r="S36" i="3" s="1"/>
  <c r="R36" i="3" s="1"/>
  <c r="T36" i="3" s="1"/>
  <c r="I36" i="3"/>
  <c r="O35" i="3"/>
  <c r="P35" i="3" s="1"/>
  <c r="L35" i="3"/>
  <c r="I35" i="3"/>
  <c r="P34" i="3"/>
  <c r="O34" i="3"/>
  <c r="L34" i="3"/>
  <c r="I34" i="3"/>
  <c r="M34" i="3" s="1"/>
  <c r="N34" i="3" s="1"/>
  <c r="P33" i="3"/>
  <c r="O33" i="3"/>
  <c r="M33" i="3"/>
  <c r="L33" i="3"/>
  <c r="K33" i="3"/>
  <c r="I33" i="3"/>
  <c r="J33" i="3" s="1"/>
  <c r="S33" i="3" s="1"/>
  <c r="R33" i="3" s="1"/>
  <c r="T33" i="3" s="1"/>
  <c r="P32" i="3"/>
  <c r="O32" i="3"/>
  <c r="N32" i="3"/>
  <c r="L32" i="3"/>
  <c r="I32" i="3"/>
  <c r="M32" i="3" s="1"/>
  <c r="O31" i="3"/>
  <c r="P31" i="3" s="1"/>
  <c r="L31" i="3"/>
  <c r="I31" i="3"/>
  <c r="M31" i="3" s="1"/>
  <c r="N31" i="3" s="1"/>
  <c r="S30" i="3"/>
  <c r="R30" i="3"/>
  <c r="T30" i="3" s="1"/>
  <c r="O30" i="3"/>
  <c r="P30" i="3" s="1"/>
  <c r="M30" i="3"/>
  <c r="N30" i="3" s="1"/>
  <c r="L30" i="3"/>
  <c r="I30" i="3"/>
  <c r="J30" i="3" s="1"/>
  <c r="K30" i="3" s="1"/>
  <c r="O29" i="3"/>
  <c r="P29" i="3" s="1"/>
  <c r="L29" i="3"/>
  <c r="I29" i="3"/>
  <c r="J29" i="3" s="1"/>
  <c r="O28" i="3"/>
  <c r="P28" i="3" s="1"/>
  <c r="L28" i="3"/>
  <c r="K28" i="3"/>
  <c r="J28" i="3"/>
  <c r="S28" i="3" s="1"/>
  <c r="R28" i="3" s="1"/>
  <c r="T28" i="3" s="1"/>
  <c r="I28" i="3"/>
  <c r="M28" i="3" s="1"/>
  <c r="N28" i="3" s="1"/>
  <c r="S27" i="3"/>
  <c r="R27" i="3"/>
  <c r="T27" i="3" s="1"/>
  <c r="O27" i="3"/>
  <c r="P27" i="3" s="1"/>
  <c r="M27" i="3"/>
  <c r="N27" i="3" s="1"/>
  <c r="L27" i="3"/>
  <c r="I27" i="3"/>
  <c r="J27" i="3" s="1"/>
  <c r="K27" i="3" s="1"/>
  <c r="O26" i="3"/>
  <c r="P26" i="3" s="1"/>
  <c r="L26" i="3"/>
  <c r="I26" i="3"/>
  <c r="M26" i="3" s="1"/>
  <c r="N26" i="3" s="1"/>
  <c r="O25" i="3"/>
  <c r="P25" i="3" s="1"/>
  <c r="M25" i="3"/>
  <c r="N25" i="3" s="1"/>
  <c r="L25" i="3"/>
  <c r="I25" i="3"/>
  <c r="J25" i="3" s="1"/>
  <c r="O24" i="3"/>
  <c r="P24" i="3" s="1"/>
  <c r="L24" i="3"/>
  <c r="I24" i="3"/>
  <c r="S23" i="3"/>
  <c r="R23" i="3"/>
  <c r="T23" i="3" s="1"/>
  <c r="P23" i="3"/>
  <c r="O23" i="3"/>
  <c r="L23" i="3"/>
  <c r="J23" i="3"/>
  <c r="K23" i="3" s="1"/>
  <c r="I23" i="3"/>
  <c r="M23" i="3" s="1"/>
  <c r="N23" i="3" s="1"/>
  <c r="O22" i="3"/>
  <c r="P22" i="3" s="1"/>
  <c r="L22" i="3"/>
  <c r="I22" i="3"/>
  <c r="M22" i="3" s="1"/>
  <c r="N22" i="3" s="1"/>
  <c r="O20" i="3"/>
  <c r="P20" i="3" s="1"/>
  <c r="L20" i="3"/>
  <c r="I20" i="3"/>
  <c r="R19" i="3"/>
  <c r="T19" i="3" s="1"/>
  <c r="P19" i="3"/>
  <c r="O19" i="3"/>
  <c r="M19" i="3"/>
  <c r="N19" i="3" s="1"/>
  <c r="L19" i="3"/>
  <c r="J19" i="3"/>
  <c r="S19" i="3" s="1"/>
  <c r="I19" i="3"/>
  <c r="O18" i="3"/>
  <c r="P18" i="3" s="1"/>
  <c r="L18" i="3"/>
  <c r="I18" i="3"/>
  <c r="P17" i="3"/>
  <c r="O17" i="3"/>
  <c r="L17" i="3"/>
  <c r="I17" i="3"/>
  <c r="M17" i="3" s="1"/>
  <c r="N17" i="3" s="1"/>
  <c r="P16" i="3"/>
  <c r="O16" i="3"/>
  <c r="M16" i="3"/>
  <c r="L16" i="3"/>
  <c r="I16" i="3"/>
  <c r="J16" i="3" s="1"/>
  <c r="S16" i="3" s="1"/>
  <c r="R16" i="3" s="1"/>
  <c r="T16" i="3" s="1"/>
  <c r="O15" i="3"/>
  <c r="P15" i="3" s="1"/>
  <c r="L15" i="3"/>
  <c r="I15" i="3"/>
  <c r="M15" i="3" s="1"/>
  <c r="N15" i="3" s="1"/>
  <c r="O14" i="3"/>
  <c r="P14" i="3" s="1"/>
  <c r="L14" i="3"/>
  <c r="I14" i="3"/>
  <c r="M14" i="3" s="1"/>
  <c r="N14" i="3" s="1"/>
  <c r="O13" i="3"/>
  <c r="P13" i="3" s="1"/>
  <c r="M13" i="3"/>
  <c r="N13" i="3" s="1"/>
  <c r="L13" i="3"/>
  <c r="I13" i="3"/>
  <c r="J13" i="3" s="1"/>
  <c r="K13" i="3" s="1"/>
  <c r="O12" i="3"/>
  <c r="P12" i="3" s="1"/>
  <c r="M12" i="3"/>
  <c r="N12" i="3" s="1"/>
  <c r="L12" i="3"/>
  <c r="I12" i="3"/>
  <c r="J12" i="3" s="1"/>
  <c r="O10" i="3"/>
  <c r="P10" i="3" s="1"/>
  <c r="L10" i="3"/>
  <c r="K10" i="3"/>
  <c r="J10" i="3"/>
  <c r="S10" i="3" s="1"/>
  <c r="R10" i="3" s="1"/>
  <c r="T10" i="3" s="1"/>
  <c r="I10" i="3"/>
  <c r="M10" i="3" s="1"/>
  <c r="N10" i="3" s="1"/>
  <c r="S9" i="3"/>
  <c r="R9" i="3"/>
  <c r="T9" i="3" s="1"/>
  <c r="O9" i="3"/>
  <c r="P9" i="3" s="1"/>
  <c r="M9" i="3"/>
  <c r="N9" i="3" s="1"/>
  <c r="L9" i="3"/>
  <c r="I9" i="3"/>
  <c r="J9" i="3" s="1"/>
  <c r="K9" i="3" s="1"/>
  <c r="N105" i="2"/>
  <c r="O105" i="2" s="1"/>
  <c r="K105" i="2"/>
  <c r="H105" i="2"/>
  <c r="L105" i="2" s="1"/>
  <c r="N104" i="2"/>
  <c r="O104" i="2" s="1"/>
  <c r="K104" i="2"/>
  <c r="H104" i="2"/>
  <c r="I104" i="2" s="1"/>
  <c r="N103" i="2"/>
  <c r="O103" i="2" s="1"/>
  <c r="K103" i="2"/>
  <c r="H103" i="2"/>
  <c r="N102" i="2"/>
  <c r="O102" i="2" s="1"/>
  <c r="K102" i="2"/>
  <c r="H102" i="2"/>
  <c r="L102" i="2" s="1"/>
  <c r="M102" i="2" s="1"/>
  <c r="N101" i="2"/>
  <c r="O101" i="2" s="1"/>
  <c r="K101" i="2"/>
  <c r="H101" i="2"/>
  <c r="L101" i="2" s="1"/>
  <c r="N100" i="2"/>
  <c r="O100" i="2" s="1"/>
  <c r="K100" i="2"/>
  <c r="H100" i="2"/>
  <c r="N99" i="2"/>
  <c r="O99" i="2" s="1"/>
  <c r="K99" i="2"/>
  <c r="H99" i="2"/>
  <c r="I99" i="2" s="1"/>
  <c r="N98" i="2"/>
  <c r="O98" i="2" s="1"/>
  <c r="K98" i="2"/>
  <c r="H98" i="2"/>
  <c r="I98" i="2" s="1"/>
  <c r="S98" i="2" s="1"/>
  <c r="N97" i="2"/>
  <c r="O97" i="2" s="1"/>
  <c r="K97" i="2"/>
  <c r="H97" i="2"/>
  <c r="L97" i="2" s="1"/>
  <c r="N96" i="2"/>
  <c r="O96" i="2" s="1"/>
  <c r="K96" i="2"/>
  <c r="H96" i="2"/>
  <c r="I96" i="2" s="1"/>
  <c r="N95" i="2"/>
  <c r="O95" i="2" s="1"/>
  <c r="K95" i="2"/>
  <c r="H95" i="2"/>
  <c r="L95" i="2" s="1"/>
  <c r="N94" i="2"/>
  <c r="O94" i="2" s="1"/>
  <c r="K94" i="2"/>
  <c r="H94" i="2"/>
  <c r="L94" i="2" s="1"/>
  <c r="N93" i="2"/>
  <c r="O93" i="2" s="1"/>
  <c r="L93" i="2"/>
  <c r="K93" i="2"/>
  <c r="H93" i="2"/>
  <c r="I93" i="2" s="1"/>
  <c r="J93" i="2" s="1"/>
  <c r="N92" i="2"/>
  <c r="O92" i="2" s="1"/>
  <c r="K92" i="2"/>
  <c r="H92" i="2"/>
  <c r="L92" i="2" s="1"/>
  <c r="M92" i="2" s="1"/>
  <c r="N91" i="2"/>
  <c r="O91" i="2" s="1"/>
  <c r="K91" i="2"/>
  <c r="H91" i="2"/>
  <c r="L91" i="2" s="1"/>
  <c r="M91" i="2" s="1"/>
  <c r="R90" i="2"/>
  <c r="T90" i="2" s="1"/>
  <c r="N90" i="2"/>
  <c r="O90" i="2" s="1"/>
  <c r="K90" i="2"/>
  <c r="H90" i="2"/>
  <c r="I90" i="2" s="1"/>
  <c r="J90" i="2" s="1"/>
  <c r="N89" i="2"/>
  <c r="O89" i="2" s="1"/>
  <c r="K89" i="2"/>
  <c r="H89" i="2"/>
  <c r="L89" i="2" s="1"/>
  <c r="M89" i="2" s="1"/>
  <c r="N88" i="2"/>
  <c r="O88" i="2" s="1"/>
  <c r="K88" i="2"/>
  <c r="H88" i="2"/>
  <c r="I88" i="2" s="1"/>
  <c r="N87" i="2"/>
  <c r="O87" i="2" s="1"/>
  <c r="K87" i="2"/>
  <c r="H87" i="2"/>
  <c r="L87" i="2" s="1"/>
  <c r="M87" i="2" s="1"/>
  <c r="N86" i="2"/>
  <c r="O86" i="2" s="1"/>
  <c r="K86" i="2"/>
  <c r="H86" i="2"/>
  <c r="L86" i="2" s="1"/>
  <c r="N85" i="2"/>
  <c r="O85" i="2" s="1"/>
  <c r="K85" i="2"/>
  <c r="H85" i="2"/>
  <c r="L85" i="2" s="1"/>
  <c r="N84" i="2"/>
  <c r="O84" i="2" s="1"/>
  <c r="K84" i="2"/>
  <c r="H84" i="2"/>
  <c r="N82" i="2"/>
  <c r="O82" i="2" s="1"/>
  <c r="K82" i="2"/>
  <c r="H82" i="2"/>
  <c r="I82" i="2" s="1"/>
  <c r="J82" i="2" s="1"/>
  <c r="N81" i="2"/>
  <c r="O81" i="2" s="1"/>
  <c r="K81" i="2"/>
  <c r="H81" i="2"/>
  <c r="L81" i="2" s="1"/>
  <c r="M81" i="2" s="1"/>
  <c r="N80" i="2"/>
  <c r="O80" i="2" s="1"/>
  <c r="K80" i="2"/>
  <c r="H80" i="2"/>
  <c r="L80" i="2" s="1"/>
  <c r="N79" i="2"/>
  <c r="O79" i="2" s="1"/>
  <c r="K79" i="2"/>
  <c r="H79" i="2"/>
  <c r="I79" i="2" s="1"/>
  <c r="J79" i="2" s="1"/>
  <c r="N78" i="2"/>
  <c r="O78" i="2" s="1"/>
  <c r="K78" i="2"/>
  <c r="H78" i="2"/>
  <c r="L78" i="2" s="1"/>
  <c r="M78" i="2" s="1"/>
  <c r="N77" i="2"/>
  <c r="O77" i="2" s="1"/>
  <c r="K77" i="2"/>
  <c r="H77" i="2"/>
  <c r="N76" i="2"/>
  <c r="O76" i="2" s="1"/>
  <c r="K76" i="2"/>
  <c r="H76" i="2"/>
  <c r="L76" i="2" s="1"/>
  <c r="M76" i="2" s="1"/>
  <c r="N75" i="2"/>
  <c r="O75" i="2" s="1"/>
  <c r="K75" i="2"/>
  <c r="H75" i="2"/>
  <c r="L75" i="2" s="1"/>
  <c r="N74" i="2"/>
  <c r="O74" i="2" s="1"/>
  <c r="K74" i="2"/>
  <c r="H74" i="2"/>
  <c r="I74" i="2" s="1"/>
  <c r="N73" i="2"/>
  <c r="O73" i="2" s="1"/>
  <c r="K73" i="2"/>
  <c r="H73" i="2"/>
  <c r="L73" i="2" s="1"/>
  <c r="M73" i="2" s="1"/>
  <c r="N72" i="2"/>
  <c r="O72" i="2" s="1"/>
  <c r="K72" i="2"/>
  <c r="H72" i="2"/>
  <c r="L72" i="2" s="1"/>
  <c r="M72" i="2" s="1"/>
  <c r="N71" i="2"/>
  <c r="O71" i="2" s="1"/>
  <c r="K71" i="2"/>
  <c r="H71" i="2"/>
  <c r="I71" i="2" s="1"/>
  <c r="J71" i="2" s="1"/>
  <c r="N70" i="2"/>
  <c r="O70" i="2" s="1"/>
  <c r="L70" i="2"/>
  <c r="M70" i="2" s="1"/>
  <c r="K70" i="2"/>
  <c r="I70" i="2"/>
  <c r="H70" i="2"/>
  <c r="N69" i="2"/>
  <c r="O69" i="2" s="1"/>
  <c r="K69" i="2"/>
  <c r="H69" i="2"/>
  <c r="N68" i="2"/>
  <c r="O68" i="2" s="1"/>
  <c r="K68" i="2"/>
  <c r="H68" i="2"/>
  <c r="I68" i="2" s="1"/>
  <c r="J68" i="2" s="1"/>
  <c r="N67" i="2"/>
  <c r="O67" i="2" s="1"/>
  <c r="K67" i="2"/>
  <c r="H67" i="2"/>
  <c r="L67" i="2" s="1"/>
  <c r="N66" i="2"/>
  <c r="O66" i="2" s="1"/>
  <c r="K66" i="2"/>
  <c r="H66" i="2"/>
  <c r="I66" i="2" s="1"/>
  <c r="N65" i="2"/>
  <c r="O65" i="2" s="1"/>
  <c r="K65" i="2"/>
  <c r="H65" i="2"/>
  <c r="L65" i="2" s="1"/>
  <c r="N64" i="2"/>
  <c r="O64" i="2" s="1"/>
  <c r="K64" i="2"/>
  <c r="H64" i="2"/>
  <c r="I64" i="2" s="1"/>
  <c r="N63" i="2"/>
  <c r="O63" i="2" s="1"/>
  <c r="K63" i="2"/>
  <c r="H63" i="2"/>
  <c r="L63" i="2" s="1"/>
  <c r="M63" i="2" s="1"/>
  <c r="N62" i="2"/>
  <c r="O62" i="2" s="1"/>
  <c r="K62" i="2"/>
  <c r="H62" i="2"/>
  <c r="N61" i="2"/>
  <c r="O61" i="2" s="1"/>
  <c r="K61" i="2"/>
  <c r="H61" i="2"/>
  <c r="L61" i="2" s="1"/>
  <c r="N60" i="2"/>
  <c r="O60" i="2" s="1"/>
  <c r="K60" i="2"/>
  <c r="H60" i="2"/>
  <c r="L60" i="2" s="1"/>
  <c r="N59" i="2"/>
  <c r="O59" i="2" s="1"/>
  <c r="K59" i="2"/>
  <c r="H59" i="2"/>
  <c r="L59" i="2" s="1"/>
  <c r="M59" i="2" s="1"/>
  <c r="N58" i="2"/>
  <c r="O58" i="2" s="1"/>
  <c r="K58" i="2"/>
  <c r="H58" i="2"/>
  <c r="I58" i="2" s="1"/>
  <c r="N56" i="2"/>
  <c r="O56" i="2" s="1"/>
  <c r="K56" i="2"/>
  <c r="H56" i="2"/>
  <c r="L56" i="2" s="1"/>
  <c r="M56" i="2" s="1"/>
  <c r="N55" i="2"/>
  <c r="O55" i="2" s="1"/>
  <c r="K55" i="2"/>
  <c r="H55" i="2"/>
  <c r="I55" i="2" s="1"/>
  <c r="N54" i="2"/>
  <c r="O54" i="2" s="1"/>
  <c r="K54" i="2"/>
  <c r="H54" i="2"/>
  <c r="N53" i="2"/>
  <c r="O53" i="2" s="1"/>
  <c r="K53" i="2"/>
  <c r="H53" i="2"/>
  <c r="I53" i="2" s="1"/>
  <c r="N52" i="2"/>
  <c r="O52" i="2" s="1"/>
  <c r="K52" i="2"/>
  <c r="H52" i="2"/>
  <c r="L52" i="2" s="1"/>
  <c r="N51" i="2"/>
  <c r="O51" i="2" s="1"/>
  <c r="K51" i="2"/>
  <c r="H51" i="2"/>
  <c r="L51" i="2" s="1"/>
  <c r="M51" i="2" s="1"/>
  <c r="N50" i="2"/>
  <c r="O50" i="2" s="1"/>
  <c r="L50" i="2"/>
  <c r="K50" i="2"/>
  <c r="H50" i="2"/>
  <c r="I50" i="2" s="1"/>
  <c r="S50" i="2" s="1"/>
  <c r="R50" i="2" s="1"/>
  <c r="T50" i="2" s="1"/>
  <c r="N49" i="2"/>
  <c r="O49" i="2" s="1"/>
  <c r="K49" i="2"/>
  <c r="H49" i="2"/>
  <c r="L49" i="2" s="1"/>
  <c r="N48" i="2"/>
  <c r="O48" i="2" s="1"/>
  <c r="K48" i="2"/>
  <c r="H48" i="2"/>
  <c r="L48" i="2" s="1"/>
  <c r="M48" i="2" s="1"/>
  <c r="N47" i="2"/>
  <c r="O47" i="2" s="1"/>
  <c r="K47" i="2"/>
  <c r="H47" i="2"/>
  <c r="I47" i="2" s="1"/>
  <c r="S47" i="2" s="1"/>
  <c r="O46" i="2"/>
  <c r="N46" i="2"/>
  <c r="K46" i="2"/>
  <c r="H46" i="2"/>
  <c r="L46" i="2" s="1"/>
  <c r="M46" i="2" s="1"/>
  <c r="N45" i="2"/>
  <c r="O45" i="2" s="1"/>
  <c r="K45" i="2"/>
  <c r="H45" i="2"/>
  <c r="L45" i="2" s="1"/>
  <c r="M45" i="2" s="1"/>
  <c r="N44" i="2"/>
  <c r="O44" i="2" s="1"/>
  <c r="K44" i="2"/>
  <c r="H44" i="2"/>
  <c r="I44" i="2" s="1"/>
  <c r="J44" i="2" s="1"/>
  <c r="N43" i="2"/>
  <c r="O43" i="2" s="1"/>
  <c r="K43" i="2"/>
  <c r="H43" i="2"/>
  <c r="L43" i="2" s="1"/>
  <c r="M43" i="2" s="1"/>
  <c r="N42" i="2"/>
  <c r="O42" i="2" s="1"/>
  <c r="K42" i="2"/>
  <c r="H42" i="2"/>
  <c r="I42" i="2" s="1"/>
  <c r="J42" i="2" s="1"/>
  <c r="N41" i="2"/>
  <c r="O41" i="2" s="1"/>
  <c r="K41" i="2"/>
  <c r="H41" i="2"/>
  <c r="I41" i="2" s="1"/>
  <c r="J41" i="2" s="1"/>
  <c r="N40" i="2"/>
  <c r="O40" i="2" s="1"/>
  <c r="K40" i="2"/>
  <c r="H40" i="2"/>
  <c r="L40" i="2" s="1"/>
  <c r="M40" i="2" s="1"/>
  <c r="N39" i="2"/>
  <c r="O39" i="2" s="1"/>
  <c r="K39" i="2"/>
  <c r="H39" i="2"/>
  <c r="I39" i="2" s="1"/>
  <c r="N37" i="2"/>
  <c r="O37" i="2" s="1"/>
  <c r="K37" i="2"/>
  <c r="H37" i="2"/>
  <c r="L37" i="2" s="1"/>
  <c r="M37" i="2" s="1"/>
  <c r="R36" i="2"/>
  <c r="T36" i="2" s="1"/>
  <c r="N36" i="2"/>
  <c r="O36" i="2" s="1"/>
  <c r="L36" i="2"/>
  <c r="K36" i="2"/>
  <c r="H36" i="2"/>
  <c r="I36" i="2" s="1"/>
  <c r="J36" i="2" s="1"/>
  <c r="N35" i="2"/>
  <c r="O35" i="2" s="1"/>
  <c r="K35" i="2"/>
  <c r="H35" i="2"/>
  <c r="L35" i="2" s="1"/>
  <c r="M35" i="2" s="1"/>
  <c r="N34" i="2"/>
  <c r="O34" i="2" s="1"/>
  <c r="K34" i="2"/>
  <c r="H34" i="2"/>
  <c r="L34" i="2" s="1"/>
  <c r="N33" i="2"/>
  <c r="O33" i="2" s="1"/>
  <c r="K33" i="2"/>
  <c r="H33" i="2"/>
  <c r="I33" i="2" s="1"/>
  <c r="J33" i="2" s="1"/>
  <c r="N32" i="2"/>
  <c r="O32" i="2" s="1"/>
  <c r="K32" i="2"/>
  <c r="H32" i="2"/>
  <c r="L32" i="2" s="1"/>
  <c r="N31" i="2"/>
  <c r="O31" i="2" s="1"/>
  <c r="K31" i="2"/>
  <c r="H31" i="2"/>
  <c r="I31" i="2" s="1"/>
  <c r="J31" i="2" s="1"/>
  <c r="N30" i="2"/>
  <c r="O30" i="2" s="1"/>
  <c r="K30" i="2"/>
  <c r="H30" i="2"/>
  <c r="I30" i="2" s="1"/>
  <c r="J30" i="2" s="1"/>
  <c r="N29" i="2"/>
  <c r="O29" i="2" s="1"/>
  <c r="K29" i="2"/>
  <c r="H29" i="2"/>
  <c r="I29" i="2" s="1"/>
  <c r="S29" i="2" s="1"/>
  <c r="N28" i="2"/>
  <c r="O28" i="2" s="1"/>
  <c r="K28" i="2"/>
  <c r="H28" i="2"/>
  <c r="L28" i="2" s="1"/>
  <c r="M28" i="2" s="1"/>
  <c r="N27" i="2"/>
  <c r="O27" i="2" s="1"/>
  <c r="K27" i="2"/>
  <c r="H27" i="2"/>
  <c r="N26" i="2"/>
  <c r="O26" i="2" s="1"/>
  <c r="K26" i="2"/>
  <c r="H26" i="2"/>
  <c r="L26" i="2" s="1"/>
  <c r="N25" i="2"/>
  <c r="O25" i="2" s="1"/>
  <c r="K25" i="2"/>
  <c r="H25" i="2"/>
  <c r="L25" i="2" s="1"/>
  <c r="M25" i="2" s="1"/>
  <c r="N24" i="2"/>
  <c r="O24" i="2" s="1"/>
  <c r="K24" i="2"/>
  <c r="H24" i="2"/>
  <c r="L24" i="2" s="1"/>
  <c r="M24" i="2" s="1"/>
  <c r="N23" i="2"/>
  <c r="O23" i="2" s="1"/>
  <c r="K23" i="2"/>
  <c r="H23" i="2"/>
  <c r="L23" i="2" s="1"/>
  <c r="N22" i="2"/>
  <c r="O22" i="2" s="1"/>
  <c r="K22" i="2"/>
  <c r="H22" i="2"/>
  <c r="L22" i="2" s="1"/>
  <c r="N21" i="2"/>
  <c r="O21" i="2" s="1"/>
  <c r="K21" i="2"/>
  <c r="H21" i="2"/>
  <c r="L21" i="2" s="1"/>
  <c r="N20" i="2"/>
  <c r="O20" i="2" s="1"/>
  <c r="K20" i="2"/>
  <c r="H20" i="2"/>
  <c r="I20" i="2" s="1"/>
  <c r="J20" i="2" s="1"/>
  <c r="N19" i="2"/>
  <c r="O19" i="2" s="1"/>
  <c r="K19" i="2"/>
  <c r="H19" i="2"/>
  <c r="I19" i="2" s="1"/>
  <c r="S19" i="2" s="1"/>
  <c r="N17" i="2"/>
  <c r="O17" i="2" s="1"/>
  <c r="K17" i="2"/>
  <c r="H17" i="2"/>
  <c r="L17" i="2" s="1"/>
  <c r="M17" i="2" s="1"/>
  <c r="N16" i="2"/>
  <c r="O16" i="2" s="1"/>
  <c r="K16" i="2"/>
  <c r="H16" i="2"/>
  <c r="N15" i="2"/>
  <c r="O15" i="2" s="1"/>
  <c r="K15" i="2"/>
  <c r="H15" i="2"/>
  <c r="I15" i="2" s="1"/>
  <c r="N14" i="2"/>
  <c r="O14" i="2" s="1"/>
  <c r="L14" i="2"/>
  <c r="K14" i="2"/>
  <c r="I14" i="2"/>
  <c r="S14" i="2" s="1"/>
  <c r="N13" i="2"/>
  <c r="O13" i="2" s="1"/>
  <c r="K13" i="2"/>
  <c r="H13" i="2"/>
  <c r="N12" i="2"/>
  <c r="O12" i="2" s="1"/>
  <c r="K12" i="2"/>
  <c r="H12" i="2"/>
  <c r="L12" i="2" s="1"/>
  <c r="N11" i="2"/>
  <c r="O11" i="2" s="1"/>
  <c r="K11" i="2"/>
  <c r="H11" i="2"/>
  <c r="L11" i="2" s="1"/>
  <c r="N10" i="2"/>
  <c r="O10" i="2" s="1"/>
  <c r="K10" i="2"/>
  <c r="H10" i="2"/>
  <c r="L10" i="2" s="1"/>
  <c r="N9" i="2"/>
  <c r="O9" i="2" s="1"/>
  <c r="K9" i="2"/>
  <c r="H9" i="2"/>
  <c r="L9" i="2" s="1"/>
  <c r="M9" i="2" s="1"/>
  <c r="N83" i="3" l="1"/>
  <c r="N82" i="3"/>
  <c r="S30" i="2"/>
  <c r="R30" i="2" s="1"/>
  <c r="T30" i="2" s="1"/>
  <c r="M52" i="2"/>
  <c r="R14" i="2"/>
  <c r="T14" i="2" s="1"/>
  <c r="S44" i="2"/>
  <c r="R44" i="2" s="1"/>
  <c r="T44" i="2" s="1"/>
  <c r="M14" i="2"/>
  <c r="I49" i="2"/>
  <c r="M26" i="2"/>
  <c r="M65" i="2"/>
  <c r="M94" i="2"/>
  <c r="S99" i="2"/>
  <c r="R99" i="2" s="1"/>
  <c r="T99" i="2" s="1"/>
  <c r="S71" i="2"/>
  <c r="R71" i="2" s="1"/>
  <c r="T71" i="2" s="1"/>
  <c r="S20" i="2"/>
  <c r="R20" i="2" s="1"/>
  <c r="T20" i="2" s="1"/>
  <c r="M10" i="2"/>
  <c r="M21" i="2"/>
  <c r="M85" i="2"/>
  <c r="R47" i="2"/>
  <c r="T47" i="2" s="1"/>
  <c r="I67" i="2"/>
  <c r="S82" i="2"/>
  <c r="R82" i="2" s="1"/>
  <c r="T82" i="2" s="1"/>
  <c r="S58" i="2"/>
  <c r="R58" i="2" s="1"/>
  <c r="T58" i="2" s="1"/>
  <c r="R96" i="2"/>
  <c r="T96" i="2" s="1"/>
  <c r="S96" i="2"/>
  <c r="R70" i="2"/>
  <c r="T70" i="2" s="1"/>
  <c r="M32" i="2"/>
  <c r="M36" i="2"/>
  <c r="M61" i="2"/>
  <c r="M95" i="2"/>
  <c r="M11" i="2"/>
  <c r="M75" i="2"/>
  <c r="M80" i="2"/>
  <c r="M86" i="2"/>
  <c r="S33" i="2"/>
  <c r="I37" i="2"/>
  <c r="S37" i="2" s="1"/>
  <c r="I59" i="2"/>
  <c r="M50" i="2"/>
  <c r="L74" i="2"/>
  <c r="M74" i="2" s="1"/>
  <c r="I81" i="2"/>
  <c r="M12" i="2"/>
  <c r="I9" i="2"/>
  <c r="S9" i="2" s="1"/>
  <c r="R9" i="2" s="1"/>
  <c r="T9" i="2" s="1"/>
  <c r="L47" i="2"/>
  <c r="M47" i="2" s="1"/>
  <c r="I63" i="2"/>
  <c r="I34" i="2"/>
  <c r="L41" i="2"/>
  <c r="M41" i="2" s="1"/>
  <c r="L90" i="2"/>
  <c r="M90" i="2" s="1"/>
  <c r="I75" i="2"/>
  <c r="L98" i="2"/>
  <c r="M98" i="2" s="1"/>
  <c r="I48" i="2"/>
  <c r="L68" i="2"/>
  <c r="M68" i="2" s="1"/>
  <c r="I72" i="2"/>
  <c r="I21" i="2"/>
  <c r="S21" i="2" s="1"/>
  <c r="M93" i="2"/>
  <c r="I86" i="2"/>
  <c r="L30" i="2"/>
  <c r="M30" i="2" s="1"/>
  <c r="L71" i="2"/>
  <c r="M71" i="2" s="1"/>
  <c r="I102" i="2"/>
  <c r="I45" i="2"/>
  <c r="I78" i="2"/>
  <c r="I35" i="2"/>
  <c r="I61" i="2"/>
  <c r="L99" i="2"/>
  <c r="M99" i="2" s="1"/>
  <c r="M23" i="2"/>
  <c r="I28" i="2"/>
  <c r="M49" i="2"/>
  <c r="J58" i="2"/>
  <c r="L82" i="2"/>
  <c r="M82" i="2" s="1"/>
  <c r="I91" i="2"/>
  <c r="S91" i="2" s="1"/>
  <c r="I23" i="2"/>
  <c r="J23" i="2" s="1"/>
  <c r="I46" i="2"/>
  <c r="S46" i="2" s="1"/>
  <c r="R46" i="2" s="1"/>
  <c r="T46" i="2" s="1"/>
  <c r="I76" i="2"/>
  <c r="L79" i="2"/>
  <c r="M79" i="2" s="1"/>
  <c r="L20" i="2"/>
  <c r="M20" i="2" s="1"/>
  <c r="I40" i="2"/>
  <c r="L58" i="2"/>
  <c r="M58" i="2" s="1"/>
  <c r="I73" i="2"/>
  <c r="I80" i="2"/>
  <c r="S80" i="2" s="1"/>
  <c r="L88" i="2"/>
  <c r="M88" i="2" s="1"/>
  <c r="L96" i="2"/>
  <c r="M96" i="2" s="1"/>
  <c r="L104" i="2"/>
  <c r="M104" i="2" s="1"/>
  <c r="L33" i="2"/>
  <c r="M33" i="2" s="1"/>
  <c r="L44" i="2"/>
  <c r="M44" i="2" s="1"/>
  <c r="M67" i="2"/>
  <c r="M97" i="2"/>
  <c r="M101" i="2"/>
  <c r="M105" i="2"/>
  <c r="R64" i="2"/>
  <c r="T64" i="2" s="1"/>
  <c r="J64" i="2"/>
  <c r="S29" i="3"/>
  <c r="R29" i="3" s="1"/>
  <c r="T29" i="3" s="1"/>
  <c r="K29" i="3"/>
  <c r="R53" i="2"/>
  <c r="T53" i="2" s="1"/>
  <c r="J53" i="2"/>
  <c r="R19" i="2"/>
  <c r="T19" i="2" s="1"/>
  <c r="J19" i="2"/>
  <c r="R15" i="2"/>
  <c r="T15" i="2" s="1"/>
  <c r="J15" i="2"/>
  <c r="R55" i="2"/>
  <c r="T55" i="2" s="1"/>
  <c r="J55" i="2"/>
  <c r="S12" i="3"/>
  <c r="R12" i="3" s="1"/>
  <c r="T12" i="3" s="1"/>
  <c r="K12" i="3"/>
  <c r="R66" i="2"/>
  <c r="T66" i="2" s="1"/>
  <c r="J66" i="2"/>
  <c r="J29" i="2"/>
  <c r="R29" i="2"/>
  <c r="T29" i="2" s="1"/>
  <c r="R39" i="2"/>
  <c r="T39" i="2" s="1"/>
  <c r="J39" i="2"/>
  <c r="I25" i="2"/>
  <c r="S25" i="2" s="1"/>
  <c r="I51" i="2"/>
  <c r="S51" i="2" s="1"/>
  <c r="L64" i="2"/>
  <c r="M64" i="2" s="1"/>
  <c r="L66" i="2"/>
  <c r="M66" i="2" s="1"/>
  <c r="I85" i="2"/>
  <c r="S85" i="2" s="1"/>
  <c r="I87" i="2"/>
  <c r="S87" i="2" s="1"/>
  <c r="I92" i="2"/>
  <c r="S92" i="2" s="1"/>
  <c r="M18" i="3"/>
  <c r="N18" i="3" s="1"/>
  <c r="J18" i="3"/>
  <c r="M24" i="3"/>
  <c r="N24" i="3" s="1"/>
  <c r="J24" i="3"/>
  <c r="S39" i="3"/>
  <c r="R39" i="3" s="1"/>
  <c r="T39" i="3" s="1"/>
  <c r="K39" i="3"/>
  <c r="M48" i="3"/>
  <c r="N48" i="3" s="1"/>
  <c r="J48" i="3"/>
  <c r="R15" i="4"/>
  <c r="Q15" i="4" s="1"/>
  <c r="S15" i="4" s="1"/>
  <c r="J15" i="4"/>
  <c r="R41" i="4"/>
  <c r="Q41" i="4" s="1"/>
  <c r="S41" i="4" s="1"/>
  <c r="J41" i="4"/>
  <c r="I56" i="4"/>
  <c r="L52" i="4"/>
  <c r="M52" i="4" s="1"/>
  <c r="I52" i="4"/>
  <c r="J70" i="2"/>
  <c r="K58" i="3"/>
  <c r="N66" i="3"/>
  <c r="I43" i="2"/>
  <c r="S43" i="2" s="1"/>
  <c r="L84" i="2"/>
  <c r="M84" i="2" s="1"/>
  <c r="I84" i="2"/>
  <c r="S84" i="2" s="1"/>
  <c r="M20" i="3"/>
  <c r="N20" i="3" s="1"/>
  <c r="J20" i="3"/>
  <c r="K36" i="3"/>
  <c r="I76" i="4"/>
  <c r="I89" i="2"/>
  <c r="S89" i="2" s="1"/>
  <c r="N75" i="3"/>
  <c r="J75" i="3"/>
  <c r="M91" i="3"/>
  <c r="N91" i="3" s="1"/>
  <c r="M96" i="3"/>
  <c r="N96" i="3" s="1"/>
  <c r="J96" i="3"/>
  <c r="J36" i="4"/>
  <c r="I16" i="5"/>
  <c r="I12" i="2"/>
  <c r="S12" i="2" s="1"/>
  <c r="R104" i="2"/>
  <c r="T104" i="2" s="1"/>
  <c r="J104" i="2"/>
  <c r="J45" i="3"/>
  <c r="R43" i="4"/>
  <c r="Q43" i="4" s="1"/>
  <c r="S43" i="4" s="1"/>
  <c r="J43" i="4"/>
  <c r="L39" i="2"/>
  <c r="M39" i="2" s="1"/>
  <c r="R30" i="4"/>
  <c r="Q30" i="4" s="1"/>
  <c r="S30" i="4" s="1"/>
  <c r="J30" i="4"/>
  <c r="M93" i="4"/>
  <c r="I13" i="5"/>
  <c r="J44" i="5"/>
  <c r="R44" i="5"/>
  <c r="Q44" i="5" s="1"/>
  <c r="S44" i="5" s="1"/>
  <c r="I10" i="2"/>
  <c r="S10" i="2" s="1"/>
  <c r="L29" i="2"/>
  <c r="M29" i="2" s="1"/>
  <c r="L31" i="2"/>
  <c r="M31" i="2" s="1"/>
  <c r="L55" i="2"/>
  <c r="M55" i="2" s="1"/>
  <c r="M60" i="2"/>
  <c r="R79" i="2"/>
  <c r="T79" i="2" s="1"/>
  <c r="J39" i="4"/>
  <c r="R39" i="4"/>
  <c r="Q39" i="4" s="1"/>
  <c r="S39" i="4" s="1"/>
  <c r="J32" i="5"/>
  <c r="R32" i="5"/>
  <c r="Q32" i="5" s="1"/>
  <c r="S32" i="5" s="1"/>
  <c r="L19" i="2"/>
  <c r="M19" i="2" s="1"/>
  <c r="J35" i="2"/>
  <c r="J49" i="2"/>
  <c r="I60" i="2"/>
  <c r="S60" i="2" s="1"/>
  <c r="R68" i="2"/>
  <c r="T68" i="2" s="1"/>
  <c r="J75" i="2"/>
  <c r="J22" i="3"/>
  <c r="M29" i="3"/>
  <c r="N29" i="3" s="1"/>
  <c r="J65" i="3"/>
  <c r="J85" i="3"/>
  <c r="J10" i="4"/>
  <c r="L15" i="4"/>
  <c r="M15" i="4" s="1"/>
  <c r="J54" i="4"/>
  <c r="J89" i="4"/>
  <c r="R89" i="4"/>
  <c r="Q89" i="4" s="1"/>
  <c r="S89" i="4" s="1"/>
  <c r="M91" i="4"/>
  <c r="J35" i="5"/>
  <c r="R35" i="5"/>
  <c r="Q35" i="5" s="1"/>
  <c r="S35" i="5" s="1"/>
  <c r="J99" i="2"/>
  <c r="J14" i="2"/>
  <c r="L53" i="2"/>
  <c r="M53" i="2" s="1"/>
  <c r="R31" i="2"/>
  <c r="T31" i="2" s="1"/>
  <c r="R41" i="2"/>
  <c r="T41" i="2" s="1"/>
  <c r="K16" i="3"/>
  <c r="K43" i="3"/>
  <c r="S43" i="3"/>
  <c r="R43" i="3" s="1"/>
  <c r="T43" i="3" s="1"/>
  <c r="S73" i="3"/>
  <c r="R73" i="3" s="1"/>
  <c r="T73" i="3" s="1"/>
  <c r="K73" i="3"/>
  <c r="S82" i="3"/>
  <c r="R82" i="3" s="1"/>
  <c r="T82" i="3" s="1"/>
  <c r="K82" i="3"/>
  <c r="N92" i="3"/>
  <c r="K100" i="3"/>
  <c r="L31" i="4"/>
  <c r="M31" i="4" s="1"/>
  <c r="I31" i="4"/>
  <c r="J47" i="2"/>
  <c r="L66" i="5"/>
  <c r="M66" i="5" s="1"/>
  <c r="I66" i="5"/>
  <c r="J93" i="4"/>
  <c r="I105" i="2"/>
  <c r="S105" i="2" s="1"/>
  <c r="N16" i="3"/>
  <c r="K19" i="3"/>
  <c r="S25" i="3"/>
  <c r="R25" i="3" s="1"/>
  <c r="T25" i="3" s="1"/>
  <c r="K25" i="3"/>
  <c r="K68" i="3"/>
  <c r="K77" i="3"/>
  <c r="R62" i="4"/>
  <c r="Q62" i="4" s="1"/>
  <c r="S62" i="4" s="1"/>
  <c r="J62" i="4"/>
  <c r="J26" i="3"/>
  <c r="L13" i="2"/>
  <c r="M13" i="2" s="1"/>
  <c r="I13" i="2"/>
  <c r="S13" i="2" s="1"/>
  <c r="I17" i="2"/>
  <c r="S17" i="2" s="1"/>
  <c r="I26" i="2"/>
  <c r="S26" i="2" s="1"/>
  <c r="I32" i="2"/>
  <c r="S32" i="2" s="1"/>
  <c r="R33" i="2"/>
  <c r="T33" i="2" s="1"/>
  <c r="L54" i="2"/>
  <c r="M54" i="2" s="1"/>
  <c r="I54" i="2"/>
  <c r="S54" i="2" s="1"/>
  <c r="I56" i="2"/>
  <c r="S56" i="2" s="1"/>
  <c r="R88" i="2"/>
  <c r="T88" i="2" s="1"/>
  <c r="J88" i="2"/>
  <c r="S55" i="3"/>
  <c r="R55" i="3" s="1"/>
  <c r="T55" i="3" s="1"/>
  <c r="K55" i="3"/>
  <c r="R27" i="4"/>
  <c r="Q27" i="4" s="1"/>
  <c r="S27" i="4" s="1"/>
  <c r="J27" i="4"/>
  <c r="R22" i="5"/>
  <c r="Q22" i="5" s="1"/>
  <c r="S22" i="5" s="1"/>
  <c r="J22" i="5"/>
  <c r="M63" i="5"/>
  <c r="S52" i="3"/>
  <c r="R52" i="3" s="1"/>
  <c r="T52" i="3" s="1"/>
  <c r="K52" i="3"/>
  <c r="L42" i="2"/>
  <c r="M42" i="2" s="1"/>
  <c r="J14" i="3"/>
  <c r="M35" i="3"/>
  <c r="N35" i="3" s="1"/>
  <c r="J35" i="3"/>
  <c r="N40" i="3"/>
  <c r="N61" i="3"/>
  <c r="N74" i="3"/>
  <c r="J74" i="3"/>
  <c r="N80" i="3"/>
  <c r="I19" i="4"/>
  <c r="L19" i="4"/>
  <c r="M19" i="4" s="1"/>
  <c r="R22" i="4"/>
  <c r="Q22" i="4" s="1"/>
  <c r="S22" i="4" s="1"/>
  <c r="J22" i="4"/>
  <c r="R46" i="5"/>
  <c r="Q46" i="5" s="1"/>
  <c r="S46" i="5" s="1"/>
  <c r="J46" i="5"/>
  <c r="J49" i="5"/>
  <c r="R49" i="5"/>
  <c r="Q49" i="5" s="1"/>
  <c r="S49" i="5" s="1"/>
  <c r="N33" i="3"/>
  <c r="L27" i="2"/>
  <c r="M27" i="2" s="1"/>
  <c r="I27" i="2"/>
  <c r="S27" i="2" s="1"/>
  <c r="L69" i="2"/>
  <c r="M69" i="2" s="1"/>
  <c r="I69" i="2"/>
  <c r="S69" i="2" s="1"/>
  <c r="I11" i="2"/>
  <c r="S11" i="2" s="1"/>
  <c r="L15" i="2"/>
  <c r="M15" i="2" s="1"/>
  <c r="I24" i="2"/>
  <c r="S24" i="2" s="1"/>
  <c r="M34" i="2"/>
  <c r="J50" i="2"/>
  <c r="I52" i="2"/>
  <c r="S52" i="2" s="1"/>
  <c r="R98" i="2"/>
  <c r="T98" i="2" s="1"/>
  <c r="J98" i="2"/>
  <c r="S37" i="3"/>
  <c r="R37" i="3" s="1"/>
  <c r="T37" i="3" s="1"/>
  <c r="J40" i="3"/>
  <c r="J61" i="3"/>
  <c r="I69" i="4"/>
  <c r="L69" i="4"/>
  <c r="M69" i="4" s="1"/>
  <c r="J72" i="4"/>
  <c r="R78" i="4"/>
  <c r="Q78" i="4" s="1"/>
  <c r="S78" i="4" s="1"/>
  <c r="J78" i="4"/>
  <c r="J84" i="4"/>
  <c r="R84" i="4"/>
  <c r="Q84" i="4" s="1"/>
  <c r="S84" i="4" s="1"/>
  <c r="I15" i="5"/>
  <c r="L15" i="5"/>
  <c r="M15" i="5" s="1"/>
  <c r="R26" i="5"/>
  <c r="Q26" i="5" s="1"/>
  <c r="S26" i="5" s="1"/>
  <c r="J26" i="5"/>
  <c r="I30" i="5"/>
  <c r="L30" i="5"/>
  <c r="M30" i="5" s="1"/>
  <c r="J61" i="5"/>
  <c r="R61" i="5"/>
  <c r="Q61" i="5" s="1"/>
  <c r="S61" i="5" s="1"/>
  <c r="J96" i="2"/>
  <c r="I101" i="2"/>
  <c r="S101" i="2" s="1"/>
  <c r="J38" i="3"/>
  <c r="S91" i="3"/>
  <c r="R91" i="3" s="1"/>
  <c r="T91" i="3" s="1"/>
  <c r="K91" i="3"/>
  <c r="I17" i="4"/>
  <c r="R95" i="4"/>
  <c r="Q95" i="4" s="1"/>
  <c r="S95" i="4" s="1"/>
  <c r="J95" i="4"/>
  <c r="N84" i="3"/>
  <c r="J84" i="3"/>
  <c r="M18" i="5"/>
  <c r="L16" i="2"/>
  <c r="M16" i="2" s="1"/>
  <c r="I16" i="2"/>
  <c r="S16" i="2" s="1"/>
  <c r="M99" i="3"/>
  <c r="N99" i="3" s="1"/>
  <c r="J99" i="3"/>
  <c r="I77" i="2"/>
  <c r="S77" i="2" s="1"/>
  <c r="L77" i="2"/>
  <c r="M77" i="2" s="1"/>
  <c r="J31" i="3"/>
  <c r="R14" i="4"/>
  <c r="Q14" i="4" s="1"/>
  <c r="S14" i="4" s="1"/>
  <c r="I62" i="2"/>
  <c r="S62" i="2" s="1"/>
  <c r="L62" i="2"/>
  <c r="M62" i="2" s="1"/>
  <c r="I94" i="2"/>
  <c r="S94" i="2" s="1"/>
  <c r="I12" i="4"/>
  <c r="L36" i="4"/>
  <c r="M36" i="4" s="1"/>
  <c r="I64" i="4"/>
  <c r="S13" i="3"/>
  <c r="R13" i="3" s="1"/>
  <c r="T13" i="3" s="1"/>
  <c r="N70" i="3"/>
  <c r="J70" i="3"/>
  <c r="J34" i="4"/>
  <c r="R34" i="4"/>
  <c r="Q34" i="4" s="1"/>
  <c r="S34" i="4" s="1"/>
  <c r="L100" i="2"/>
  <c r="M100" i="2" s="1"/>
  <c r="I100" i="2"/>
  <c r="S100" i="2" s="1"/>
  <c r="J9" i="2"/>
  <c r="M22" i="2"/>
  <c r="I22" i="2"/>
  <c r="S22" i="2" s="1"/>
  <c r="R42" i="2"/>
  <c r="T42" i="2" s="1"/>
  <c r="R74" i="2"/>
  <c r="T74" i="2" s="1"/>
  <c r="J74" i="2"/>
  <c r="L103" i="2"/>
  <c r="M103" i="2" s="1"/>
  <c r="I103" i="2"/>
  <c r="S103" i="2" s="1"/>
  <c r="K47" i="3"/>
  <c r="S83" i="3"/>
  <c r="R83" i="3" s="1"/>
  <c r="T83" i="3" s="1"/>
  <c r="K83" i="3"/>
  <c r="M88" i="3"/>
  <c r="N88" i="3" s="1"/>
  <c r="J88" i="3"/>
  <c r="J49" i="4"/>
  <c r="M60" i="4"/>
  <c r="I58" i="5"/>
  <c r="M50" i="3"/>
  <c r="N50" i="3" s="1"/>
  <c r="J50" i="3"/>
  <c r="M34" i="4"/>
  <c r="L41" i="5"/>
  <c r="M41" i="5" s="1"/>
  <c r="I41" i="5"/>
  <c r="L25" i="4"/>
  <c r="M25" i="4" s="1"/>
  <c r="I25" i="4"/>
  <c r="L65" i="4"/>
  <c r="M65" i="4" s="1"/>
  <c r="I65" i="4"/>
  <c r="I75" i="5"/>
  <c r="R92" i="4"/>
  <c r="Q92" i="4" s="1"/>
  <c r="S92" i="4" s="1"/>
  <c r="J92" i="4"/>
  <c r="J11" i="5"/>
  <c r="R11" i="5"/>
  <c r="Q11" i="5" s="1"/>
  <c r="S11" i="5" s="1"/>
  <c r="J104" i="3"/>
  <c r="M104" i="3"/>
  <c r="N104" i="3" s="1"/>
  <c r="N108" i="3"/>
  <c r="R13" i="4"/>
  <c r="Q13" i="4" s="1"/>
  <c r="S13" i="4" s="1"/>
  <c r="J13" i="4"/>
  <c r="R87" i="4"/>
  <c r="Q87" i="4" s="1"/>
  <c r="S87" i="4" s="1"/>
  <c r="J87" i="4"/>
  <c r="M21" i="5"/>
  <c r="I27" i="5"/>
  <c r="J56" i="5"/>
  <c r="J72" i="5"/>
  <c r="I65" i="2"/>
  <c r="S65" i="2" s="1"/>
  <c r="I95" i="2"/>
  <c r="S95" i="2" s="1"/>
  <c r="J15" i="3"/>
  <c r="J32" i="3"/>
  <c r="J42" i="3"/>
  <c r="J44" i="3"/>
  <c r="N64" i="3"/>
  <c r="J71" i="3"/>
  <c r="S78" i="3"/>
  <c r="R78" i="3" s="1"/>
  <c r="T78" i="3" s="1"/>
  <c r="L26" i="4"/>
  <c r="M26" i="4" s="1"/>
  <c r="I26" i="4"/>
  <c r="J50" i="4"/>
  <c r="I71" i="4"/>
  <c r="L71" i="4"/>
  <c r="M71" i="4" s="1"/>
  <c r="M53" i="5"/>
  <c r="J62" i="5"/>
  <c r="R62" i="5"/>
  <c r="Q62" i="5" s="1"/>
  <c r="S62" i="5" s="1"/>
  <c r="K53" i="3"/>
  <c r="J81" i="3"/>
  <c r="R82" i="4"/>
  <c r="Q82" i="4" s="1"/>
  <c r="S82" i="4" s="1"/>
  <c r="J82" i="4"/>
  <c r="M14" i="5"/>
  <c r="I39" i="5"/>
  <c r="L72" i="5"/>
  <c r="M72" i="5" s="1"/>
  <c r="M80" i="4"/>
  <c r="J37" i="5"/>
  <c r="J42" i="5"/>
  <c r="J46" i="3"/>
  <c r="M46" i="3"/>
  <c r="N46" i="3" s="1"/>
  <c r="M87" i="3"/>
  <c r="N87" i="3" s="1"/>
  <c r="J87" i="3"/>
  <c r="I97" i="2"/>
  <c r="S97" i="2" s="1"/>
  <c r="J17" i="3"/>
  <c r="J34" i="3"/>
  <c r="S57" i="3"/>
  <c r="R57" i="3" s="1"/>
  <c r="T57" i="3" s="1"/>
  <c r="S62" i="3"/>
  <c r="R62" i="3" s="1"/>
  <c r="T62" i="3" s="1"/>
  <c r="K79" i="3"/>
  <c r="L48" i="4"/>
  <c r="M48" i="4" s="1"/>
  <c r="I48" i="4"/>
  <c r="I80" i="4"/>
  <c r="R60" i="5"/>
  <c r="Q60" i="5" s="1"/>
  <c r="S60" i="5" s="1"/>
  <c r="J60" i="5"/>
  <c r="N72" i="3"/>
  <c r="J72" i="3"/>
  <c r="J89" i="3"/>
  <c r="M93" i="3"/>
  <c r="N93" i="3" s="1"/>
  <c r="J93" i="3"/>
  <c r="J97" i="3"/>
  <c r="M101" i="3"/>
  <c r="N101" i="3" s="1"/>
  <c r="J101" i="3"/>
  <c r="L9" i="4"/>
  <c r="M9" i="4" s="1"/>
  <c r="I9" i="4"/>
  <c r="I67" i="4"/>
  <c r="I83" i="4"/>
  <c r="M33" i="5"/>
  <c r="M56" i="5"/>
  <c r="J85" i="4"/>
  <c r="R85" i="4"/>
  <c r="Q85" i="4" s="1"/>
  <c r="S85" i="4" s="1"/>
  <c r="J35" i="4"/>
  <c r="R35" i="4"/>
  <c r="Q35" i="4" s="1"/>
  <c r="S35" i="4" s="1"/>
  <c r="L63" i="4"/>
  <c r="M63" i="4" s="1"/>
  <c r="I63" i="4"/>
  <c r="I23" i="5"/>
  <c r="J25" i="5"/>
  <c r="I52" i="5"/>
  <c r="L57" i="5"/>
  <c r="M57" i="5" s="1"/>
  <c r="I57" i="5"/>
  <c r="I73" i="5"/>
  <c r="N67" i="3"/>
  <c r="J76" i="3"/>
  <c r="K95" i="3"/>
  <c r="N107" i="3"/>
  <c r="I53" i="4"/>
  <c r="L53" i="4"/>
  <c r="M53" i="4" s="1"/>
  <c r="J90" i="4"/>
  <c r="I10" i="5"/>
  <c r="L10" i="5"/>
  <c r="M10" i="5" s="1"/>
  <c r="J50" i="5"/>
  <c r="I64" i="5"/>
  <c r="L64" i="5"/>
  <c r="M64" i="5" s="1"/>
  <c r="J67" i="3"/>
  <c r="I33" i="4"/>
  <c r="L35" i="4"/>
  <c r="M35" i="4" s="1"/>
  <c r="M41" i="4"/>
  <c r="J57" i="4"/>
  <c r="I59" i="4"/>
  <c r="I43" i="5"/>
  <c r="J67" i="5"/>
  <c r="J69" i="5"/>
  <c r="R69" i="5"/>
  <c r="Q69" i="5" s="1"/>
  <c r="S69" i="5" s="1"/>
  <c r="J54" i="3"/>
  <c r="N95" i="3"/>
  <c r="L16" i="4"/>
  <c r="M16" i="4" s="1"/>
  <c r="I16" i="4"/>
  <c r="L20" i="4"/>
  <c r="M20" i="4" s="1"/>
  <c r="J29" i="4"/>
  <c r="L88" i="4"/>
  <c r="M88" i="4" s="1"/>
  <c r="M17" i="5"/>
  <c r="J45" i="5"/>
  <c r="M71" i="5"/>
  <c r="L21" i="4"/>
  <c r="M21" i="4" s="1"/>
  <c r="M24" i="4"/>
  <c r="L45" i="5"/>
  <c r="M45" i="5" s="1"/>
  <c r="R76" i="5"/>
  <c r="Q76" i="5" s="1"/>
  <c r="S76" i="5" s="1"/>
  <c r="J76" i="5"/>
  <c r="L37" i="4"/>
  <c r="M37" i="4" s="1"/>
  <c r="I59" i="5"/>
  <c r="L68" i="5"/>
  <c r="M68" i="5" s="1"/>
  <c r="J98" i="3"/>
  <c r="J32" i="4"/>
  <c r="I79" i="4"/>
  <c r="J31" i="5"/>
  <c r="R31" i="5"/>
  <c r="Q31" i="5" s="1"/>
  <c r="S31" i="5" s="1"/>
  <c r="L74" i="5"/>
  <c r="M74" i="5" s="1"/>
  <c r="I74" i="5"/>
  <c r="M55" i="5"/>
  <c r="J73" i="2" l="1"/>
  <c r="S73" i="2"/>
  <c r="R73" i="2" s="1"/>
  <c r="T73" i="2" s="1"/>
  <c r="S78" i="2"/>
  <c r="R78" i="2" s="1"/>
  <c r="T78" i="2" s="1"/>
  <c r="S63" i="2"/>
  <c r="R63" i="2" s="1"/>
  <c r="T63" i="2" s="1"/>
  <c r="J48" i="2"/>
  <c r="S48" i="2"/>
  <c r="R48" i="2" s="1"/>
  <c r="T48" i="2" s="1"/>
  <c r="J28" i="2"/>
  <c r="S28" i="2"/>
  <c r="R28" i="2" s="1"/>
  <c r="T28" i="2" s="1"/>
  <c r="S75" i="2"/>
  <c r="R75" i="2" s="1"/>
  <c r="T75" i="2" s="1"/>
  <c r="J46" i="2"/>
  <c r="J61" i="2"/>
  <c r="S61" i="2"/>
  <c r="R61" i="2" s="1"/>
  <c r="T61" i="2" s="1"/>
  <c r="R35" i="2"/>
  <c r="T35" i="2" s="1"/>
  <c r="S35" i="2"/>
  <c r="J34" i="2"/>
  <c r="S34" i="2"/>
  <c r="R34" i="2" s="1"/>
  <c r="T34" i="2" s="1"/>
  <c r="J40" i="2"/>
  <c r="S40" i="2"/>
  <c r="R40" i="2" s="1"/>
  <c r="T40" i="2" s="1"/>
  <c r="J45" i="2"/>
  <c r="S45" i="2"/>
  <c r="R45" i="2" s="1"/>
  <c r="T45" i="2" s="1"/>
  <c r="J102" i="2"/>
  <c r="S102" i="2"/>
  <c r="R102" i="2" s="1"/>
  <c r="T102" i="2" s="1"/>
  <c r="S49" i="2"/>
  <c r="R49" i="2" s="1"/>
  <c r="T49" i="2" s="1"/>
  <c r="J86" i="2"/>
  <c r="S86" i="2"/>
  <c r="R86" i="2" s="1"/>
  <c r="T86" i="2" s="1"/>
  <c r="S23" i="2"/>
  <c r="R23" i="2" s="1"/>
  <c r="T23" i="2" s="1"/>
  <c r="J59" i="2"/>
  <c r="S59" i="2"/>
  <c r="R59" i="2" s="1"/>
  <c r="T59" i="2" s="1"/>
  <c r="J67" i="2"/>
  <c r="S67" i="2"/>
  <c r="R67" i="2" s="1"/>
  <c r="T67" i="2" s="1"/>
  <c r="J76" i="2"/>
  <c r="S76" i="2"/>
  <c r="R76" i="2" s="1"/>
  <c r="T76" i="2" s="1"/>
  <c r="J72" i="2"/>
  <c r="S72" i="2"/>
  <c r="R72" i="2" s="1"/>
  <c r="T72" i="2" s="1"/>
  <c r="J81" i="2"/>
  <c r="S81" i="2"/>
  <c r="R81" i="2" s="1"/>
  <c r="T81" i="2" s="1"/>
  <c r="R80" i="2"/>
  <c r="T80" i="2" s="1"/>
  <c r="J80" i="2"/>
  <c r="J63" i="2"/>
  <c r="R91" i="2"/>
  <c r="T91" i="2" s="1"/>
  <c r="J91" i="2"/>
  <c r="R21" i="2"/>
  <c r="T21" i="2" s="1"/>
  <c r="J21" i="2"/>
  <c r="J78" i="2"/>
  <c r="R37" i="2"/>
  <c r="T37" i="2" s="1"/>
  <c r="J37" i="2"/>
  <c r="K101" i="3"/>
  <c r="S101" i="3"/>
  <c r="R101" i="3" s="1"/>
  <c r="T101" i="3" s="1"/>
  <c r="R95" i="2"/>
  <c r="T95" i="2" s="1"/>
  <c r="J95" i="2"/>
  <c r="R52" i="5"/>
  <c r="Q52" i="5" s="1"/>
  <c r="S52" i="5" s="1"/>
  <c r="J52" i="5"/>
  <c r="K17" i="3"/>
  <c r="S17" i="3"/>
  <c r="R17" i="3" s="1"/>
  <c r="T17" i="3" s="1"/>
  <c r="J65" i="2"/>
  <c r="R65" i="2"/>
  <c r="T65" i="2" s="1"/>
  <c r="R16" i="5"/>
  <c r="Q16" i="5" s="1"/>
  <c r="S16" i="5" s="1"/>
  <c r="J16" i="5"/>
  <c r="R23" i="5"/>
  <c r="Q23" i="5" s="1"/>
  <c r="S23" i="5" s="1"/>
  <c r="J23" i="5"/>
  <c r="S84" i="3"/>
  <c r="R84" i="3" s="1"/>
  <c r="T84" i="3" s="1"/>
  <c r="K84" i="3"/>
  <c r="J27" i="5"/>
  <c r="R27" i="5"/>
  <c r="Q27" i="5" s="1"/>
  <c r="S27" i="5" s="1"/>
  <c r="K96" i="3"/>
  <c r="S96" i="3"/>
  <c r="R96" i="3" s="1"/>
  <c r="T96" i="3" s="1"/>
  <c r="R32" i="2"/>
  <c r="T32" i="2" s="1"/>
  <c r="J32" i="2"/>
  <c r="R85" i="2"/>
  <c r="T85" i="2" s="1"/>
  <c r="J85" i="2"/>
  <c r="K72" i="3"/>
  <c r="S72" i="3"/>
  <c r="R72" i="3" s="1"/>
  <c r="T72" i="3" s="1"/>
  <c r="R66" i="5"/>
  <c r="Q66" i="5" s="1"/>
  <c r="S66" i="5" s="1"/>
  <c r="J66" i="5"/>
  <c r="R89" i="2"/>
  <c r="T89" i="2" s="1"/>
  <c r="J89" i="2"/>
  <c r="J51" i="2"/>
  <c r="R51" i="2"/>
  <c r="T51" i="2" s="1"/>
  <c r="K67" i="3"/>
  <c r="S67" i="3"/>
  <c r="R67" i="3" s="1"/>
  <c r="T67" i="3" s="1"/>
  <c r="K65" i="3"/>
  <c r="S65" i="3"/>
  <c r="R65" i="3" s="1"/>
  <c r="T65" i="3" s="1"/>
  <c r="S87" i="3"/>
  <c r="R87" i="3" s="1"/>
  <c r="T87" i="3" s="1"/>
  <c r="K87" i="3"/>
  <c r="R10" i="5"/>
  <c r="Q10" i="5" s="1"/>
  <c r="S10" i="5" s="1"/>
  <c r="J10" i="5"/>
  <c r="J13" i="2"/>
  <c r="R13" i="2"/>
  <c r="T13" i="2" s="1"/>
  <c r="J53" i="4"/>
  <c r="R53" i="4"/>
  <c r="Q53" i="4" s="1"/>
  <c r="S53" i="4" s="1"/>
  <c r="R80" i="4"/>
  <c r="Q80" i="4" s="1"/>
  <c r="S80" i="4" s="1"/>
  <c r="J80" i="4"/>
  <c r="S71" i="3"/>
  <c r="R71" i="3" s="1"/>
  <c r="T71" i="3" s="1"/>
  <c r="K71" i="3"/>
  <c r="S31" i="3"/>
  <c r="R31" i="3" s="1"/>
  <c r="T31" i="3" s="1"/>
  <c r="K31" i="3"/>
  <c r="S38" i="3"/>
  <c r="R38" i="3" s="1"/>
  <c r="T38" i="3" s="1"/>
  <c r="K38" i="3"/>
  <c r="S26" i="3"/>
  <c r="R26" i="3" s="1"/>
  <c r="T26" i="3" s="1"/>
  <c r="K26" i="3"/>
  <c r="R76" i="4"/>
  <c r="Q76" i="4" s="1"/>
  <c r="S76" i="4" s="1"/>
  <c r="J76" i="4"/>
  <c r="R25" i="2"/>
  <c r="T25" i="2" s="1"/>
  <c r="J25" i="2"/>
  <c r="S34" i="3"/>
  <c r="R34" i="3" s="1"/>
  <c r="T34" i="3" s="1"/>
  <c r="K34" i="3"/>
  <c r="S70" i="3"/>
  <c r="R70" i="3" s="1"/>
  <c r="T70" i="3" s="1"/>
  <c r="K70" i="3"/>
  <c r="J16" i="2"/>
  <c r="R16" i="2"/>
  <c r="T16" i="2" s="1"/>
  <c r="J43" i="2"/>
  <c r="R43" i="2"/>
  <c r="T43" i="2" s="1"/>
  <c r="S85" i="3"/>
  <c r="R85" i="3" s="1"/>
  <c r="T85" i="3" s="1"/>
  <c r="K85" i="3"/>
  <c r="R79" i="4"/>
  <c r="Q79" i="4" s="1"/>
  <c r="S79" i="4" s="1"/>
  <c r="J79" i="4"/>
  <c r="J103" i="2"/>
  <c r="R103" i="2"/>
  <c r="T103" i="2" s="1"/>
  <c r="R92" i="2"/>
  <c r="T92" i="2" s="1"/>
  <c r="J92" i="2"/>
  <c r="J52" i="4"/>
  <c r="R52" i="4"/>
  <c r="Q52" i="4" s="1"/>
  <c r="S52" i="4" s="1"/>
  <c r="R59" i="5"/>
  <c r="Q59" i="5" s="1"/>
  <c r="S59" i="5" s="1"/>
  <c r="J59" i="5"/>
  <c r="R101" i="2"/>
  <c r="T101" i="2" s="1"/>
  <c r="J101" i="2"/>
  <c r="R11" i="2"/>
  <c r="T11" i="2" s="1"/>
  <c r="J11" i="2"/>
  <c r="S74" i="3"/>
  <c r="R74" i="3" s="1"/>
  <c r="T74" i="3" s="1"/>
  <c r="K74" i="3"/>
  <c r="K48" i="3"/>
  <c r="S48" i="3"/>
  <c r="R48" i="3" s="1"/>
  <c r="T48" i="3" s="1"/>
  <c r="R12" i="2"/>
  <c r="T12" i="2" s="1"/>
  <c r="J12" i="2"/>
  <c r="S97" i="3"/>
  <c r="R97" i="3" s="1"/>
  <c r="T97" i="3" s="1"/>
  <c r="K97" i="3"/>
  <c r="R97" i="2"/>
  <c r="T97" i="2" s="1"/>
  <c r="J97" i="2"/>
  <c r="J64" i="5"/>
  <c r="R64" i="5"/>
  <c r="Q64" i="5" s="1"/>
  <c r="S64" i="5" s="1"/>
  <c r="R25" i="4"/>
  <c r="Q25" i="4" s="1"/>
  <c r="S25" i="4" s="1"/>
  <c r="J25" i="4"/>
  <c r="J10" i="2"/>
  <c r="R10" i="2"/>
  <c r="T10" i="2" s="1"/>
  <c r="R52" i="2"/>
  <c r="T52" i="2" s="1"/>
  <c r="J52" i="2"/>
  <c r="S46" i="3"/>
  <c r="R46" i="3" s="1"/>
  <c r="T46" i="3" s="1"/>
  <c r="K46" i="3"/>
  <c r="R41" i="5"/>
  <c r="Q41" i="5" s="1"/>
  <c r="S41" i="5" s="1"/>
  <c r="J41" i="5"/>
  <c r="R94" i="2"/>
  <c r="T94" i="2" s="1"/>
  <c r="J94" i="2"/>
  <c r="R26" i="2"/>
  <c r="T26" i="2" s="1"/>
  <c r="J26" i="2"/>
  <c r="S54" i="3"/>
  <c r="R54" i="3" s="1"/>
  <c r="T54" i="3" s="1"/>
  <c r="K54" i="3"/>
  <c r="R60" i="2"/>
  <c r="T60" i="2" s="1"/>
  <c r="J60" i="2"/>
  <c r="R22" i="2"/>
  <c r="T22" i="2" s="1"/>
  <c r="J22" i="2"/>
  <c r="R19" i="4"/>
  <c r="Q19" i="4" s="1"/>
  <c r="S19" i="4" s="1"/>
  <c r="J19" i="4"/>
  <c r="R43" i="5"/>
  <c r="Q43" i="5" s="1"/>
  <c r="S43" i="5" s="1"/>
  <c r="J43" i="5"/>
  <c r="J48" i="4"/>
  <c r="R48" i="4"/>
  <c r="Q48" i="4" s="1"/>
  <c r="S48" i="4" s="1"/>
  <c r="R58" i="5"/>
  <c r="Q58" i="5" s="1"/>
  <c r="S58" i="5" s="1"/>
  <c r="J58" i="5"/>
  <c r="R69" i="4"/>
  <c r="Q69" i="4" s="1"/>
  <c r="S69" i="4" s="1"/>
  <c r="J69" i="4"/>
  <c r="R59" i="4"/>
  <c r="Q59" i="4" s="1"/>
  <c r="S59" i="4" s="1"/>
  <c r="J59" i="4"/>
  <c r="K76" i="3"/>
  <c r="S76" i="3"/>
  <c r="R76" i="3" s="1"/>
  <c r="T76" i="3" s="1"/>
  <c r="J83" i="4"/>
  <c r="R83" i="4"/>
  <c r="Q83" i="4" s="1"/>
  <c r="S83" i="4" s="1"/>
  <c r="S44" i="3"/>
  <c r="R44" i="3" s="1"/>
  <c r="T44" i="3" s="1"/>
  <c r="K44" i="3"/>
  <c r="S104" i="3"/>
  <c r="R104" i="3" s="1"/>
  <c r="T104" i="3" s="1"/>
  <c r="K104" i="3"/>
  <c r="J100" i="2"/>
  <c r="R100" i="2"/>
  <c r="T100" i="2" s="1"/>
  <c r="R77" i="2"/>
  <c r="T77" i="2" s="1"/>
  <c r="J77" i="2"/>
  <c r="S61" i="3"/>
  <c r="T61" i="3" s="1"/>
  <c r="K61" i="3"/>
  <c r="J69" i="2"/>
  <c r="R69" i="2"/>
  <c r="T69" i="2" s="1"/>
  <c r="K20" i="3"/>
  <c r="S20" i="3"/>
  <c r="R20" i="3" s="1"/>
  <c r="T20" i="3" s="1"/>
  <c r="R75" i="5"/>
  <c r="Q75" i="5" s="1"/>
  <c r="S75" i="5" s="1"/>
  <c r="J75" i="5"/>
  <c r="R64" i="4"/>
  <c r="Q64" i="4" s="1"/>
  <c r="S64" i="4" s="1"/>
  <c r="J64" i="4"/>
  <c r="S22" i="3"/>
  <c r="R22" i="3" s="1"/>
  <c r="T22" i="3" s="1"/>
  <c r="K22" i="3"/>
  <c r="R71" i="4"/>
  <c r="Q71" i="4" s="1"/>
  <c r="S71" i="4" s="1"/>
  <c r="J71" i="4"/>
  <c r="J26" i="4"/>
  <c r="R26" i="4"/>
  <c r="Q26" i="4" s="1"/>
  <c r="S26" i="4" s="1"/>
  <c r="J17" i="4"/>
  <c r="R17" i="4"/>
  <c r="Q17" i="4" s="1"/>
  <c r="S17" i="4" s="1"/>
  <c r="R17" i="2"/>
  <c r="T17" i="2" s="1"/>
  <c r="J17" i="2"/>
  <c r="K75" i="3"/>
  <c r="S75" i="3"/>
  <c r="R75" i="3" s="1"/>
  <c r="T75" i="3" s="1"/>
  <c r="K50" i="3"/>
  <c r="S50" i="3"/>
  <c r="R50" i="3" s="1"/>
  <c r="T50" i="3" s="1"/>
  <c r="J31" i="4"/>
  <c r="R31" i="4"/>
  <c r="Q31" i="4" s="1"/>
  <c r="S31" i="4" s="1"/>
  <c r="R39" i="5"/>
  <c r="Q39" i="5" s="1"/>
  <c r="S39" i="5" s="1"/>
  <c r="J39" i="5"/>
  <c r="J67" i="4"/>
  <c r="R67" i="4"/>
  <c r="Q67" i="4" s="1"/>
  <c r="S67" i="4" s="1"/>
  <c r="S42" i="3"/>
  <c r="R42" i="3" s="1"/>
  <c r="T42" i="3" s="1"/>
  <c r="K42" i="3"/>
  <c r="S99" i="3"/>
  <c r="R99" i="3" s="1"/>
  <c r="T99" i="3" s="1"/>
  <c r="K99" i="3"/>
  <c r="S40" i="3"/>
  <c r="R40" i="3" s="1"/>
  <c r="T40" i="3" s="1"/>
  <c r="K40" i="3"/>
  <c r="R33" i="4"/>
  <c r="Q33" i="4" s="1"/>
  <c r="S33" i="4" s="1"/>
  <c r="J33" i="4"/>
  <c r="R30" i="5"/>
  <c r="Q30" i="5" s="1"/>
  <c r="S30" i="5" s="1"/>
  <c r="J30" i="5"/>
  <c r="J56" i="2"/>
  <c r="R56" i="2"/>
  <c r="T56" i="2" s="1"/>
  <c r="S18" i="3"/>
  <c r="R18" i="3" s="1"/>
  <c r="T18" i="3" s="1"/>
  <c r="K18" i="3"/>
  <c r="R65" i="4"/>
  <c r="Q65" i="4" s="1"/>
  <c r="S65" i="4" s="1"/>
  <c r="J65" i="4"/>
  <c r="J15" i="5"/>
  <c r="R15" i="5"/>
  <c r="Q15" i="5" s="1"/>
  <c r="S15" i="5" s="1"/>
  <c r="J87" i="2"/>
  <c r="R87" i="2"/>
  <c r="T87" i="2" s="1"/>
  <c r="J56" i="4"/>
  <c r="R56" i="4"/>
  <c r="Q56" i="4" s="1"/>
  <c r="S56" i="4" s="1"/>
  <c r="R13" i="5"/>
  <c r="Q13" i="5" s="1"/>
  <c r="S13" i="5" s="1"/>
  <c r="J13" i="5"/>
  <c r="R73" i="5"/>
  <c r="Q73" i="5" s="1"/>
  <c r="S73" i="5" s="1"/>
  <c r="J73" i="5"/>
  <c r="R9" i="4"/>
  <c r="Q9" i="4" s="1"/>
  <c r="S9" i="4" s="1"/>
  <c r="J9" i="4"/>
  <c r="S32" i="3"/>
  <c r="R32" i="3" s="1"/>
  <c r="T32" i="3" s="1"/>
  <c r="K32" i="3"/>
  <c r="K88" i="3"/>
  <c r="S88" i="3"/>
  <c r="R88" i="3" s="1"/>
  <c r="T88" i="3" s="1"/>
  <c r="K45" i="3"/>
  <c r="S45" i="3"/>
  <c r="R45" i="3" s="1"/>
  <c r="T45" i="3" s="1"/>
  <c r="R84" i="2"/>
  <c r="T84" i="2" s="1"/>
  <c r="J84" i="2"/>
  <c r="S14" i="3"/>
  <c r="R14" i="3" s="1"/>
  <c r="T14" i="3" s="1"/>
  <c r="K14" i="3"/>
  <c r="J54" i="2"/>
  <c r="R54" i="2"/>
  <c r="T54" i="2" s="1"/>
  <c r="K93" i="3"/>
  <c r="S93" i="3"/>
  <c r="R93" i="3" s="1"/>
  <c r="T93" i="3" s="1"/>
  <c r="R105" i="2"/>
  <c r="T105" i="2" s="1"/>
  <c r="J105" i="2"/>
  <c r="J16" i="4"/>
  <c r="R16" i="4"/>
  <c r="Q16" i="4" s="1"/>
  <c r="S16" i="4" s="1"/>
  <c r="R63" i="4"/>
  <c r="Q63" i="4" s="1"/>
  <c r="S63" i="4" s="1"/>
  <c r="J63" i="4"/>
  <c r="K98" i="3"/>
  <c r="S98" i="3"/>
  <c r="R98" i="3" s="1"/>
  <c r="T98" i="3" s="1"/>
  <c r="K89" i="3"/>
  <c r="S89" i="3"/>
  <c r="R89" i="3" s="1"/>
  <c r="T89" i="3" s="1"/>
  <c r="R12" i="4"/>
  <c r="Q12" i="4" s="1"/>
  <c r="S12" i="4" s="1"/>
  <c r="J12" i="4"/>
  <c r="J62" i="2"/>
  <c r="R62" i="2"/>
  <c r="T62" i="2" s="1"/>
  <c r="J24" i="2"/>
  <c r="R24" i="2"/>
  <c r="T24" i="2" s="1"/>
  <c r="J74" i="5"/>
  <c r="R74" i="5"/>
  <c r="Q74" i="5" s="1"/>
  <c r="S74" i="5" s="1"/>
  <c r="J57" i="5"/>
  <c r="R57" i="5"/>
  <c r="Q57" i="5" s="1"/>
  <c r="S57" i="5" s="1"/>
  <c r="K81" i="3"/>
  <c r="S81" i="3"/>
  <c r="R81" i="3" s="1"/>
  <c r="T81" i="3" s="1"/>
  <c r="S15" i="3"/>
  <c r="R15" i="3" s="1"/>
  <c r="T15" i="3" s="1"/>
  <c r="K15" i="3"/>
  <c r="J27" i="2"/>
  <c r="R27" i="2"/>
  <c r="T27" i="2" s="1"/>
  <c r="S35" i="3"/>
  <c r="R35" i="3" s="1"/>
  <c r="T35" i="3" s="1"/>
  <c r="K35" i="3"/>
  <c r="K24" i="3"/>
  <c r="S24" i="3"/>
  <c r="R24" i="3" s="1"/>
  <c r="T24" i="3" s="1"/>
</calcChain>
</file>

<file path=xl/sharedStrings.xml><?xml version="1.0" encoding="utf-8"?>
<sst xmlns="http://schemas.openxmlformats.org/spreadsheetml/2006/main" count="1185" uniqueCount="164">
  <si>
    <t>REGIÓN</t>
  </si>
  <si>
    <t>CASABLANCA</t>
  </si>
  <si>
    <t>TARIFARIO DE TRANSPORTE — ORIGEN: COPIAPO</t>
  </si>
  <si>
    <t xml:space="preserve">  AZUL = dato fijo (KM, Tarifa Orig)  |  VERDE = Nueva Tarifa (= TarOrig × (1+Factor%))  |  AZUL CLARO = fórmula calculada  |  Factor% = porcentaje real del archivo original por cada destino</t>
  </si>
  <si>
    <t>IDENTIFICACIÓN</t>
  </si>
  <si>
    <t>DATOS BASE + FACTOR</t>
  </si>
  <si>
    <t>TARIFA NUEVA</t>
  </si>
  <si>
    <t>$/KM</t>
  </si>
  <si>
    <t>COMBUSTIBLE</t>
  </si>
  <si>
    <t>BAJA 47,59%</t>
  </si>
  <si>
    <t>KM</t>
  </si>
  <si>
    <t>Tarifa
Orig.</t>
  </si>
  <si>
    <t>Factor
%</t>
  </si>
  <si>
    <t>Nueva Tarifa
= F×(1+G)</t>
  </si>
  <si>
    <t>Alza $
= H−F</t>
  </si>
  <si>
    <t>Var %
= I/F</t>
  </si>
  <si>
    <t>$/KM Orig
= F/E</t>
  </si>
  <si>
    <t>$/KM Nueva
= H/E</t>
  </si>
  <si>
    <t>Alza $/KM
= L−K</t>
  </si>
  <si>
    <t>Litros
= E/2.2</t>
  </si>
  <si>
    <t>Alza Comb
= N×580</t>
  </si>
  <si>
    <t>Factor Baja 47,59%
= 20,86% fijo</t>
  </si>
  <si>
    <t>Nueva Tarifa Final 47,59%
= H×(1-S)</t>
  </si>
  <si>
    <t>N°</t>
  </si>
  <si>
    <t>REG.</t>
  </si>
  <si>
    <t>DESTINO</t>
  </si>
  <si>
    <t>TARIFA ORIGINAL</t>
  </si>
  <si>
    <t>FACTOR %</t>
  </si>
  <si>
    <t>NUEVA TARIFA</t>
  </si>
  <si>
    <t>ALZA ($)</t>
  </si>
  <si>
    <t>VARIACIÓN %</t>
  </si>
  <si>
    <t>$/KM ORIGINAL</t>
  </si>
  <si>
    <t>$/KM NUEVA</t>
  </si>
  <si>
    <t>ALZA $/KM</t>
  </si>
  <si>
    <t>LITROS</t>
  </si>
  <si>
    <t>ALZA COMBUSTIBLE $</t>
  </si>
  <si>
    <t>FACTOR BAJA 47,59%</t>
  </si>
  <si>
    <t>NUEVA TARIFA FINAL (47,59%)</t>
  </si>
  <si>
    <t xml:space="preserve">  ▶  IV  COQUIMBO</t>
  </si>
  <si>
    <t>IV</t>
  </si>
  <si>
    <t>COQUIMBO</t>
  </si>
  <si>
    <t>HUENTELAUQUEN</t>
  </si>
  <si>
    <t>ILLAPEL</t>
  </si>
  <si>
    <t>LA SERENA</t>
  </si>
  <si>
    <t>MONTE PATRIA</t>
  </si>
  <si>
    <t>OVALLE</t>
  </si>
  <si>
    <t>PAN DE AZUCAR</t>
  </si>
  <si>
    <t>VALLE DEL ELQUI</t>
  </si>
  <si>
    <t>VICUÑA</t>
  </si>
  <si>
    <t xml:space="preserve">  ▶  V  VALPARAISO</t>
  </si>
  <si>
    <t>V</t>
  </si>
  <si>
    <t>VALPARAISO</t>
  </si>
  <si>
    <t>CABILDO</t>
  </si>
  <si>
    <t>CALLE LARGA</t>
  </si>
  <si>
    <t>HIJUELA</t>
  </si>
  <si>
    <t>LA LIGUA</t>
  </si>
  <si>
    <t>LLAILLAY</t>
  </si>
  <si>
    <t>LOS ANDES</t>
  </si>
  <si>
    <t>PANQUEHUE</t>
  </si>
  <si>
    <t>PETORCA</t>
  </si>
  <si>
    <t>POCOCHAY-LA CRUZ</t>
  </si>
  <si>
    <t>PUTAENDO</t>
  </si>
  <si>
    <t>QUILLOTA</t>
  </si>
  <si>
    <t>RINCONADA</t>
  </si>
  <si>
    <t>SAN ANTONIO</t>
  </si>
  <si>
    <t>SAN ESTEBAN</t>
  </si>
  <si>
    <t>SAN FELIPE</t>
  </si>
  <si>
    <t>SANTA MARIA</t>
  </si>
  <si>
    <t>SANTO DOMINGO</t>
  </si>
  <si>
    <t xml:space="preserve">  ▶  RM  METROPOLITANA</t>
  </si>
  <si>
    <t>RM</t>
  </si>
  <si>
    <t>METROPOLITANA</t>
  </si>
  <si>
    <t>ALHUE</t>
  </si>
  <si>
    <t>BUIN</t>
  </si>
  <si>
    <t>CALERA DE TANGA</t>
  </si>
  <si>
    <t>COLINA</t>
  </si>
  <si>
    <t>CURACAVI</t>
  </si>
  <si>
    <t>EL MONTE</t>
  </si>
  <si>
    <t>ESTACION CENTRAL</t>
  </si>
  <si>
    <t>ISLA MAIPO</t>
  </si>
  <si>
    <t>LAMPA</t>
  </si>
  <si>
    <t>MARIA PINTO</t>
  </si>
  <si>
    <t>MELIPILLA</t>
  </si>
  <si>
    <t>PADRE HURTADO</t>
  </si>
  <si>
    <t>PAINE</t>
  </si>
  <si>
    <t>PEÑAFLOR</t>
  </si>
  <si>
    <t>POMAIRE</t>
  </si>
  <si>
    <t>SAN BERNARDO</t>
  </si>
  <si>
    <t>TALAGANTE</t>
  </si>
  <si>
    <t>TILTIL</t>
  </si>
  <si>
    <t xml:space="preserve">  ▶  VI  OHIGGINS</t>
  </si>
  <si>
    <t>VI</t>
  </si>
  <si>
    <t>OHIGGINS</t>
  </si>
  <si>
    <t>CHIMBARONGO</t>
  </si>
  <si>
    <t>CODEGUA</t>
  </si>
  <si>
    <t>GRANEROS</t>
  </si>
  <si>
    <t>LA ESTRELLA</t>
  </si>
  <si>
    <t>LAS CABRAS</t>
  </si>
  <si>
    <t>LITUECHE</t>
  </si>
  <si>
    <t>LOLOL</t>
  </si>
  <si>
    <t>MACHALI</t>
  </si>
  <si>
    <t>MALLOA</t>
  </si>
  <si>
    <t>MARCHIGUE</t>
  </si>
  <si>
    <t>MOSTAZAL</t>
  </si>
  <si>
    <t>NANCAGUA</t>
  </si>
  <si>
    <t>PALMILLA</t>
  </si>
  <si>
    <t>PERALILLO</t>
  </si>
  <si>
    <t>PEUMO</t>
  </si>
  <si>
    <t>PICHIDEGUA</t>
  </si>
  <si>
    <t>PLACILLA</t>
  </si>
  <si>
    <t>QUINTA DE TILCOCO</t>
  </si>
  <si>
    <t>RANCAGUA</t>
  </si>
  <si>
    <t>RENGO</t>
  </si>
  <si>
    <t>REQUINOA</t>
  </si>
  <si>
    <t>ROSARIO</t>
  </si>
  <si>
    <t>SAN FERNANDO</t>
  </si>
  <si>
    <t>SAN VICENTE</t>
  </si>
  <si>
    <t>SANTA CRUZ</t>
  </si>
  <si>
    <t xml:space="preserve">  ▶  VII  MAULE</t>
  </si>
  <si>
    <t>VII</t>
  </si>
  <si>
    <t>MAULE</t>
  </si>
  <si>
    <t>CAUQUENES</t>
  </si>
  <si>
    <t>COLBUN</t>
  </si>
  <si>
    <t>CUMPEO</t>
  </si>
  <si>
    <t>CURICO</t>
  </si>
  <si>
    <t>HUALAÑE</t>
  </si>
  <si>
    <t>LINARES</t>
  </si>
  <si>
    <t>LONGAVI</t>
  </si>
  <si>
    <t>MOLINA</t>
  </si>
  <si>
    <t>PARRAL</t>
  </si>
  <si>
    <t>PELARCO</t>
  </si>
  <si>
    <t>PENCAHUE</t>
  </si>
  <si>
    <t>RAUCO</t>
  </si>
  <si>
    <t>RETIRO</t>
  </si>
  <si>
    <t>RIO CLARO</t>
  </si>
  <si>
    <t>ROMERAL</t>
  </si>
  <si>
    <t>SAGRADA FAMILA</t>
  </si>
  <si>
    <t>SAN CLEMENTE</t>
  </si>
  <si>
    <t>SAN RAFAEL</t>
  </si>
  <si>
    <t>TALCA</t>
  </si>
  <si>
    <t>TENO</t>
  </si>
  <si>
    <t>VILLA ALEGRE</t>
  </si>
  <si>
    <t>YERBAS BUENAS</t>
  </si>
  <si>
    <t xml:space="preserve">  ▶  VII  ÑUBLE</t>
  </si>
  <si>
    <t>TARIFARIO DE TRANSPORTE — ORIGEN: CASABLANCA</t>
  </si>
  <si>
    <t xml:space="preserve">  AZUL = dato fijo (KM, Tarifa Orig)  |  AMARILLO = SOLLEM (dato del archivo)  |  VERDE = Nueva Tarifa (= TarOrig × (1+Factor%))  |  AZUL CLARO = fórmula calculada  |  Factor% = porcentaje real del archivo original por cada destino</t>
  </si>
  <si>
    <t>SOLLEM</t>
  </si>
  <si>
    <t>BAJA 20,86%</t>
  </si>
  <si>
    <t>SOLLEM
(dato)</t>
  </si>
  <si>
    <t>Alza $
= I−F</t>
  </si>
  <si>
    <t>Var %
= J/F</t>
  </si>
  <si>
    <t>$/KM Nueva
= I/E</t>
  </si>
  <si>
    <t>Alza $/KM
= M−L</t>
  </si>
  <si>
    <t>Alza Comb
= O×580</t>
  </si>
  <si>
    <t>Nueva Tarifa Final 20,86%
= I×(1-T)</t>
  </si>
  <si>
    <t>NUEVA TARIFA FINAL (20,86%)</t>
  </si>
  <si>
    <t xml:space="preserve">  ▶  None  COPIAPO</t>
  </si>
  <si>
    <t>COPIAPO</t>
  </si>
  <si>
    <t>TIERRA AMARILLA</t>
  </si>
  <si>
    <t>VALLENAR</t>
  </si>
  <si>
    <t>LONAVI</t>
  </si>
  <si>
    <t>TARIFARIO DE TRANSPORTE — ORIGEN: PENCO</t>
  </si>
  <si>
    <t>Nueva Tarifa Final 20,86%
= H×(1-R)</t>
  </si>
  <si>
    <t>TARIFARIO DE TRANSPORTE — ORIGEN: BULNES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</si>
</sst>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0.0%"/>
    <numFmt numFmtId="165" formatCode="0.0"/>
  </numFmts>
  <fonts count="16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i/>
      <sz val="9"/>
      <color rgb="FF1A5276"/>
      <name val="Arial"/>
      <family val="2"/>
    </font>
    <font>
      <sz val="9"/>
      <color rgb="FF000000"/>
      <name val="Arial"/>
      <family val="2"/>
    </font>
    <font>
      <b/>
      <sz val="14"/>
      <color rgb="FFFFFFFF"/>
      <name val="Arial"/>
      <family val="2"/>
    </font>
    <font>
      <i/>
      <sz val="8"/>
      <color rgb="FF2E75B6"/>
      <name val="Arial"/>
      <family val="2"/>
    </font>
    <font>
      <b/>
      <sz val="8"/>
      <color rgb="FFFFFFFF"/>
      <name val="Arial"/>
      <family val="2"/>
    </font>
    <font>
      <b/>
      <sz val="9"/>
      <color rgb="FF0B3D91"/>
      <name val="Arial"/>
      <family val="2"/>
    </font>
    <font>
      <b/>
      <sz val="9"/>
      <color rgb="FF7B3F00"/>
      <name val="Arial"/>
      <family val="2"/>
    </font>
    <font>
      <b/>
      <sz val="9"/>
      <color rgb="FF1E5631"/>
      <name val="Arial"/>
      <family val="2"/>
    </font>
    <font>
      <sz val="11"/>
      <color theme="1"/>
      <name val="Calibri"/>
      <family val="2"/>
    </font>
    <font>
      <i/>
      <sz val="9"/>
      <color rgb="FF7B6B00"/>
      <name val="Arial"/>
      <family val="2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1A3A5C"/>
        <bgColor rgb="FF1A3A5C"/>
      </patternFill>
    </fill>
    <fill>
      <patternFill patternType="solid">
        <fgColor rgb="FF1E6B4B"/>
        <bgColor rgb="FF1E6B4B"/>
      </patternFill>
    </fill>
    <fill>
      <patternFill patternType="solid">
        <fgColor rgb="FF1E5631"/>
        <bgColor rgb="FF1E5631"/>
      </patternFill>
    </fill>
    <fill>
      <patternFill patternType="solid">
        <fgColor rgb="FFDEEAF1"/>
        <bgColor rgb="FFDEEAF1"/>
      </patternFill>
    </fill>
    <fill>
      <patternFill patternType="solid">
        <fgColor rgb="FFE8F5E9"/>
        <bgColor rgb="FFE8F5E9"/>
      </patternFill>
    </fill>
    <fill>
      <patternFill patternType="solid">
        <fgColor rgb="FF7B6B00"/>
        <bgColor rgb="FF7B6B00"/>
      </patternFill>
    </fill>
    <fill>
      <patternFill patternType="solid">
        <fgColor rgb="FF1A5276"/>
        <bgColor rgb="FF1A5276"/>
      </patternFill>
    </fill>
    <fill>
      <patternFill patternType="solid">
        <fgColor rgb="FFFFF9C4"/>
        <bgColor rgb="FFFFF9C4"/>
      </patternFill>
    </fill>
    <fill>
      <patternFill patternType="solid">
        <fgColor rgb="FF7B3F00"/>
        <bgColor rgb="FF7B3F00"/>
      </patternFill>
    </fill>
    <fill>
      <patternFill patternType="solid">
        <fgColor rgb="FFFFFF00"/>
        <bgColor rgb="FFEBF3FB"/>
      </patternFill>
    </fill>
  </fills>
  <borders count="1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3" fontId="10" fillId="12" borderId="4" xfId="0" applyNumberFormat="1" applyFont="1" applyFill="1" applyBorder="1" applyAlignment="1">
      <alignment horizontal="center" vertical="center"/>
    </xf>
    <xf numFmtId="164" fontId="11" fillId="7" borderId="4" xfId="0" applyNumberFormat="1" applyFont="1" applyFill="1" applyBorder="1" applyAlignment="1">
      <alignment horizontal="center" vertical="center"/>
    </xf>
    <xf numFmtId="3" fontId="12" fillId="13" borderId="4" xfId="0" applyNumberFormat="1" applyFont="1" applyFill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165" fontId="5" fillId="5" borderId="4" xfId="0" applyNumberFormat="1" applyFont="1" applyFill="1" applyBorder="1" applyAlignment="1">
      <alignment horizontal="center" vertical="center"/>
    </xf>
    <xf numFmtId="164" fontId="5" fillId="5" borderId="15" xfId="0" applyNumberFormat="1" applyFont="1" applyFill="1" applyBorder="1"/>
    <xf numFmtId="3" fontId="12" fillId="13" borderId="15" xfId="0" applyNumberFormat="1" applyFont="1" applyFill="1" applyBorder="1"/>
    <xf numFmtId="3" fontId="13" fillId="0" borderId="0" xfId="0" applyNumberFormat="1" applyFont="1"/>
    <xf numFmtId="0" fontId="6" fillId="4" borderId="4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3" fontId="14" fillId="16" borderId="4" xfId="0" applyNumberFormat="1" applyFont="1" applyFill="1" applyBorder="1" applyAlignment="1">
      <alignment horizontal="center" vertical="center"/>
    </xf>
    <xf numFmtId="42" fontId="13" fillId="0" borderId="0" xfId="0" applyNumberFormat="1" applyFont="1"/>
    <xf numFmtId="0" fontId="15" fillId="0" borderId="0" xfId="0" applyFont="1"/>
    <xf numFmtId="41" fontId="13" fillId="0" borderId="0" xfId="0" applyNumberFormat="1" applyFont="1"/>
    <xf numFmtId="0" fontId="2" fillId="3" borderId="1" xfId="0" applyFont="1" applyFill="1" applyBorder="1" applyAlignment="1">
      <alignment horizontal="left" vertical="center"/>
    </xf>
    <xf numFmtId="0" fontId="1" fillId="0" borderId="2" xfId="0" applyFont="1" applyBorder="1"/>
    <xf numFmtId="0" fontId="1" fillId="0" borderId="11" xfId="0" applyFont="1" applyBorder="1"/>
    <xf numFmtId="0" fontId="7" fillId="2" borderId="5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8" fillId="8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3" fillId="1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0" fontId="1" fillId="0" borderId="14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3" fillId="17" borderId="1" xfId="0" applyFont="1" applyFill="1" applyBorder="1" applyAlignment="1">
      <alignment horizontal="center" vertical="center" wrapText="1"/>
    </xf>
    <xf numFmtId="3" fontId="5" fillId="18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topLeftCell="C1" workbookViewId="0">
      <pane ySplit="7" topLeftCell="A8" activePane="bottomLeft" state="frozen"/>
      <selection pane="bottomLeft" activeCell="A3" sqref="A3:O3"/>
    </sheetView>
  </sheetViews>
  <sheetFormatPr baseColWidth="10" defaultColWidth="14.453125" defaultRowHeight="15" customHeight="1" x14ac:dyDescent="0.35"/>
  <cols>
    <col min="1" max="1" width="5" customWidth="1"/>
    <col min="2" max="2" width="6" customWidth="1"/>
    <col min="3" max="3" width="20" customWidth="1"/>
    <col min="4" max="4" width="26" customWidth="1"/>
    <col min="5" max="5" width="7" customWidth="1"/>
    <col min="6" max="6" width="14" customWidth="1"/>
    <col min="7" max="7" width="8" customWidth="1"/>
    <col min="8" max="8" width="14" customWidth="1"/>
    <col min="9" max="9" width="12" customWidth="1"/>
    <col min="10" max="10" width="9" customWidth="1"/>
    <col min="11" max="12" width="11" customWidth="1"/>
    <col min="13" max="13" width="10" customWidth="1"/>
    <col min="14" max="14" width="9" customWidth="1"/>
    <col min="15" max="15" width="14" customWidth="1"/>
    <col min="16" max="16" width="11.08984375" customWidth="1"/>
    <col min="17" max="17" width="2.54296875" customWidth="1"/>
    <col min="18" max="18" width="13.453125" customWidth="1"/>
    <col min="19" max="21" width="8.6328125" hidden="1" customWidth="1"/>
    <col min="22" max="26" width="8.6328125" customWidth="1"/>
  </cols>
  <sheetData>
    <row r="1" spans="1:20" ht="27.75" customHeight="1" x14ac:dyDescent="0.35">
      <c r="A1" s="28" t="s">
        <v>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/>
    </row>
    <row r="2" spans="1:20" ht="3.75" customHeight="1" x14ac:dyDescent="0.3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</row>
    <row r="3" spans="1:20" ht="13.5" customHeight="1" x14ac:dyDescent="0.35">
      <c r="A3" s="34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20" ht="18" customHeight="1" x14ac:dyDescent="0.35">
      <c r="A4" s="42" t="s">
        <v>4</v>
      </c>
      <c r="B4" s="26"/>
      <c r="C4" s="26"/>
      <c r="D4" s="36"/>
      <c r="E4" s="35" t="s">
        <v>5</v>
      </c>
      <c r="F4" s="26"/>
      <c r="G4" s="36"/>
      <c r="H4" s="43" t="s">
        <v>6</v>
      </c>
      <c r="I4" s="26"/>
      <c r="J4" s="36"/>
      <c r="K4" s="38" t="s">
        <v>7</v>
      </c>
      <c r="L4" s="26"/>
      <c r="M4" s="36"/>
      <c r="N4" s="39" t="s">
        <v>8</v>
      </c>
      <c r="O4" s="36"/>
      <c r="P4" s="40" t="s">
        <v>9</v>
      </c>
      <c r="Q4" s="44"/>
      <c r="R4" s="41"/>
    </row>
    <row r="5" spans="1:20" ht="39.75" customHeight="1" x14ac:dyDescent="0.35">
      <c r="A5" s="6"/>
      <c r="B5" s="6"/>
      <c r="C5" s="6"/>
      <c r="D5" s="6"/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6" t="s">
        <v>20</v>
      </c>
      <c r="P5" s="7" t="s">
        <v>21</v>
      </c>
      <c r="Q5" s="7"/>
      <c r="R5" s="7" t="s">
        <v>22</v>
      </c>
    </row>
    <row r="6" spans="1:20" ht="27.75" customHeight="1" x14ac:dyDescent="0.35">
      <c r="A6" s="1" t="s">
        <v>23</v>
      </c>
      <c r="B6" s="1" t="s">
        <v>24</v>
      </c>
      <c r="C6" s="1" t="s">
        <v>0</v>
      </c>
      <c r="D6" s="1" t="s">
        <v>25</v>
      </c>
      <c r="E6" s="1" t="s">
        <v>10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8" t="s">
        <v>36</v>
      </c>
      <c r="Q6" s="8"/>
      <c r="R6" s="8" t="s">
        <v>37</v>
      </c>
    </row>
    <row r="7" spans="1:20" ht="3.75" customHeight="1" x14ac:dyDescent="0.35"/>
    <row r="8" spans="1:20" ht="18" customHeight="1" x14ac:dyDescent="0.35">
      <c r="A8" s="25" t="s">
        <v>38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7"/>
    </row>
    <row r="9" spans="1:20" ht="15.75" customHeight="1" x14ac:dyDescent="0.35">
      <c r="A9" s="9">
        <v>1</v>
      </c>
      <c r="B9" s="9" t="s">
        <v>39</v>
      </c>
      <c r="C9" s="5" t="s">
        <v>40</v>
      </c>
      <c r="D9" s="4" t="s">
        <v>40</v>
      </c>
      <c r="E9" s="10">
        <v>386</v>
      </c>
      <c r="F9" s="10">
        <v>517000</v>
      </c>
      <c r="G9" s="11">
        <v>0.19600000000000001</v>
      </c>
      <c r="H9" s="12">
        <f t="shared" ref="H9:H13" si="0">F9*(1+G9)</f>
        <v>618332</v>
      </c>
      <c r="I9" s="13">
        <f t="shared" ref="I9:I17" si="1">H9-F9</f>
        <v>101332</v>
      </c>
      <c r="J9" s="14">
        <f t="shared" ref="J9:J17" si="2">I9/F9</f>
        <v>0.19600000000000001</v>
      </c>
      <c r="K9" s="13">
        <f t="shared" ref="K9:K17" si="3">F9/E9</f>
        <v>1339.3782383419689</v>
      </c>
      <c r="L9" s="13">
        <f t="shared" ref="L9:L17" si="4">H9/E9</f>
        <v>1601.8963730569949</v>
      </c>
      <c r="M9" s="13">
        <f t="shared" ref="M9:M17" si="5">L9-K9</f>
        <v>262.51813471502601</v>
      </c>
      <c r="N9" s="15">
        <f t="shared" ref="N9:N17" si="6">E9/2.2</f>
        <v>175.45454545454544</v>
      </c>
      <c r="O9" s="13">
        <f t="shared" ref="O9:O17" si="7">N9*580</f>
        <v>101763.63636363635</v>
      </c>
      <c r="P9" s="16">
        <v>0.47589999999999999</v>
      </c>
      <c r="Q9" s="16"/>
      <c r="R9" s="17">
        <f t="shared" ref="R9:R17" si="8">+F9+S9</f>
        <v>570108.10120000003</v>
      </c>
      <c r="S9" s="17">
        <f t="shared" ref="S9:S105" si="9">I9*(1-P9)</f>
        <v>53108.101200000005</v>
      </c>
      <c r="T9" s="18">
        <f t="shared" ref="T9:T105" si="10">+R9-H9</f>
        <v>-48223.898799999966</v>
      </c>
    </row>
    <row r="10" spans="1:20" ht="15.75" customHeight="1" x14ac:dyDescent="0.35">
      <c r="A10" s="19">
        <v>2</v>
      </c>
      <c r="B10" s="19" t="s">
        <v>39</v>
      </c>
      <c r="C10" s="3" t="s">
        <v>40</v>
      </c>
      <c r="D10" s="2" t="s">
        <v>41</v>
      </c>
      <c r="E10" s="10">
        <v>591</v>
      </c>
      <c r="F10" s="10">
        <v>790000</v>
      </c>
      <c r="G10" s="11">
        <v>0.19600000000000001</v>
      </c>
      <c r="H10" s="12">
        <f t="shared" si="0"/>
        <v>944840</v>
      </c>
      <c r="I10" s="13">
        <f t="shared" si="1"/>
        <v>154840</v>
      </c>
      <c r="J10" s="14">
        <f t="shared" si="2"/>
        <v>0.19600000000000001</v>
      </c>
      <c r="K10" s="13">
        <f t="shared" si="3"/>
        <v>1336.7174280879865</v>
      </c>
      <c r="L10" s="13">
        <f t="shared" si="4"/>
        <v>1598.7140439932318</v>
      </c>
      <c r="M10" s="13">
        <f t="shared" si="5"/>
        <v>261.99661590524533</v>
      </c>
      <c r="N10" s="15">
        <f t="shared" si="6"/>
        <v>268.63636363636363</v>
      </c>
      <c r="O10" s="13">
        <f t="shared" si="7"/>
        <v>155809.09090909091</v>
      </c>
      <c r="P10" s="16">
        <v>0.47589999999999999</v>
      </c>
      <c r="Q10" s="16"/>
      <c r="R10" s="17">
        <f t="shared" si="8"/>
        <v>871151.64399999997</v>
      </c>
      <c r="S10" s="17">
        <f t="shared" si="9"/>
        <v>81151.644</v>
      </c>
      <c r="T10" s="18">
        <f t="shared" si="10"/>
        <v>-73688.356000000029</v>
      </c>
    </row>
    <row r="11" spans="1:20" ht="15.75" customHeight="1" x14ac:dyDescent="0.35">
      <c r="A11" s="9">
        <v>3</v>
      </c>
      <c r="B11" s="9" t="s">
        <v>39</v>
      </c>
      <c r="C11" s="5" t="s">
        <v>40</v>
      </c>
      <c r="D11" s="4" t="s">
        <v>42</v>
      </c>
      <c r="E11" s="10">
        <v>650</v>
      </c>
      <c r="F11" s="10">
        <v>870000</v>
      </c>
      <c r="G11" s="11">
        <v>0.19600000000000001</v>
      </c>
      <c r="H11" s="12">
        <f t="shared" si="0"/>
        <v>1040520</v>
      </c>
      <c r="I11" s="13">
        <f t="shared" si="1"/>
        <v>170520</v>
      </c>
      <c r="J11" s="14">
        <f t="shared" si="2"/>
        <v>0.19600000000000001</v>
      </c>
      <c r="K11" s="13">
        <f t="shared" si="3"/>
        <v>1338.4615384615386</v>
      </c>
      <c r="L11" s="13">
        <f t="shared" si="4"/>
        <v>1600.8</v>
      </c>
      <c r="M11" s="13">
        <f t="shared" si="5"/>
        <v>262.33846153846139</v>
      </c>
      <c r="N11" s="15">
        <f t="shared" si="6"/>
        <v>295.45454545454544</v>
      </c>
      <c r="O11" s="13">
        <f t="shared" si="7"/>
        <v>171363.63636363635</v>
      </c>
      <c r="P11" s="16">
        <v>0.47589999999999999</v>
      </c>
      <c r="Q11" s="16"/>
      <c r="R11" s="17">
        <f t="shared" si="8"/>
        <v>959369.53200000001</v>
      </c>
      <c r="S11" s="17">
        <f t="shared" si="9"/>
        <v>89369.532000000007</v>
      </c>
      <c r="T11" s="18">
        <f t="shared" si="10"/>
        <v>-81150.467999999993</v>
      </c>
    </row>
    <row r="12" spans="1:20" ht="15.75" customHeight="1" x14ac:dyDescent="0.35">
      <c r="A12" s="19">
        <v>4</v>
      </c>
      <c r="B12" s="19" t="s">
        <v>39</v>
      </c>
      <c r="C12" s="3" t="s">
        <v>40</v>
      </c>
      <c r="D12" s="2" t="s">
        <v>43</v>
      </c>
      <c r="E12" s="10">
        <v>375</v>
      </c>
      <c r="F12" s="10">
        <v>495000</v>
      </c>
      <c r="G12" s="11">
        <v>0.19900000000000001</v>
      </c>
      <c r="H12" s="12">
        <f t="shared" si="0"/>
        <v>593505</v>
      </c>
      <c r="I12" s="13">
        <f t="shared" si="1"/>
        <v>98505</v>
      </c>
      <c r="J12" s="14">
        <f t="shared" si="2"/>
        <v>0.19900000000000001</v>
      </c>
      <c r="K12" s="13">
        <f t="shared" si="3"/>
        <v>1320</v>
      </c>
      <c r="L12" s="13">
        <f t="shared" si="4"/>
        <v>1582.68</v>
      </c>
      <c r="M12" s="13">
        <f t="shared" si="5"/>
        <v>262.68000000000006</v>
      </c>
      <c r="N12" s="15">
        <f t="shared" si="6"/>
        <v>170.45454545454544</v>
      </c>
      <c r="O12" s="13">
        <f t="shared" si="7"/>
        <v>98863.636363636353</v>
      </c>
      <c r="P12" s="16">
        <v>0.47589999999999999</v>
      </c>
      <c r="Q12" s="16"/>
      <c r="R12" s="17">
        <f t="shared" si="8"/>
        <v>546626.47050000005</v>
      </c>
      <c r="S12" s="17">
        <f t="shared" si="9"/>
        <v>51626.470500000003</v>
      </c>
      <c r="T12" s="18">
        <f t="shared" si="10"/>
        <v>-46878.529499999946</v>
      </c>
    </row>
    <row r="13" spans="1:20" ht="15.75" customHeight="1" x14ac:dyDescent="0.35">
      <c r="A13" s="9">
        <v>5</v>
      </c>
      <c r="B13" s="9" t="s">
        <v>39</v>
      </c>
      <c r="C13" s="5" t="s">
        <v>40</v>
      </c>
      <c r="D13" s="4" t="s">
        <v>44</v>
      </c>
      <c r="E13" s="10">
        <v>492</v>
      </c>
      <c r="F13" s="10">
        <v>660000</v>
      </c>
      <c r="G13" s="11">
        <v>0.19600000000000001</v>
      </c>
      <c r="H13" s="12">
        <f t="shared" si="0"/>
        <v>789360</v>
      </c>
      <c r="I13" s="13">
        <f t="shared" si="1"/>
        <v>129360</v>
      </c>
      <c r="J13" s="14">
        <f t="shared" si="2"/>
        <v>0.19600000000000001</v>
      </c>
      <c r="K13" s="13">
        <f t="shared" si="3"/>
        <v>1341.4634146341464</v>
      </c>
      <c r="L13" s="13">
        <f t="shared" si="4"/>
        <v>1604.3902439024391</v>
      </c>
      <c r="M13" s="13">
        <f t="shared" si="5"/>
        <v>262.92682926829275</v>
      </c>
      <c r="N13" s="15">
        <f t="shared" si="6"/>
        <v>223.63636363636363</v>
      </c>
      <c r="O13" s="13">
        <f t="shared" si="7"/>
        <v>129709.0909090909</v>
      </c>
      <c r="P13" s="16">
        <v>0.47589999999999999</v>
      </c>
      <c r="Q13" s="16"/>
      <c r="R13" s="17">
        <f t="shared" si="8"/>
        <v>727797.576</v>
      </c>
      <c r="S13" s="17">
        <f t="shared" si="9"/>
        <v>67797.576000000001</v>
      </c>
      <c r="T13" s="18">
        <f t="shared" si="10"/>
        <v>-61562.423999999999</v>
      </c>
    </row>
    <row r="14" spans="1:20" ht="15.75" customHeight="1" x14ac:dyDescent="0.35">
      <c r="A14" s="19">
        <v>6</v>
      </c>
      <c r="B14" s="19" t="s">
        <v>39</v>
      </c>
      <c r="C14" s="3" t="s">
        <v>40</v>
      </c>
      <c r="D14" s="2" t="s">
        <v>45</v>
      </c>
      <c r="E14" s="10">
        <v>462</v>
      </c>
      <c r="F14" s="10">
        <v>621000</v>
      </c>
      <c r="G14" s="11">
        <v>0.19600000000000001</v>
      </c>
      <c r="H14" s="12">
        <v>785180</v>
      </c>
      <c r="I14" s="13">
        <f t="shared" si="1"/>
        <v>164180</v>
      </c>
      <c r="J14" s="14">
        <f t="shared" si="2"/>
        <v>0.26438003220611916</v>
      </c>
      <c r="K14" s="13">
        <f t="shared" si="3"/>
        <v>1344.1558441558441</v>
      </c>
      <c r="L14" s="13">
        <f t="shared" si="4"/>
        <v>1699.5238095238096</v>
      </c>
      <c r="M14" s="13">
        <f t="shared" si="5"/>
        <v>355.36796536796555</v>
      </c>
      <c r="N14" s="15">
        <f t="shared" si="6"/>
        <v>209.99999999999997</v>
      </c>
      <c r="O14" s="13">
        <f t="shared" si="7"/>
        <v>121799.99999999999</v>
      </c>
      <c r="P14" s="16">
        <v>0.47589999999999999</v>
      </c>
      <c r="Q14" s="16"/>
      <c r="R14" s="17">
        <f t="shared" si="8"/>
        <v>707046.73800000001</v>
      </c>
      <c r="S14" s="17">
        <f t="shared" si="9"/>
        <v>86046.737999999998</v>
      </c>
      <c r="T14" s="18">
        <f t="shared" si="10"/>
        <v>-78133.261999999988</v>
      </c>
    </row>
    <row r="15" spans="1:20" ht="15.75" customHeight="1" x14ac:dyDescent="0.35">
      <c r="A15" s="9">
        <v>7</v>
      </c>
      <c r="B15" s="9" t="s">
        <v>39</v>
      </c>
      <c r="C15" s="5" t="s">
        <v>40</v>
      </c>
      <c r="D15" s="4" t="s">
        <v>46</v>
      </c>
      <c r="E15" s="10">
        <v>396</v>
      </c>
      <c r="F15" s="10">
        <v>530000</v>
      </c>
      <c r="G15" s="11">
        <v>0.19600000000000001</v>
      </c>
      <c r="H15" s="12">
        <f t="shared" ref="H15:H17" si="11">F15*(1+G15)</f>
        <v>633880</v>
      </c>
      <c r="I15" s="13">
        <f t="shared" si="1"/>
        <v>103880</v>
      </c>
      <c r="J15" s="14">
        <f t="shared" si="2"/>
        <v>0.19600000000000001</v>
      </c>
      <c r="K15" s="13">
        <f t="shared" si="3"/>
        <v>1338.3838383838383</v>
      </c>
      <c r="L15" s="13">
        <f t="shared" si="4"/>
        <v>1600.7070707070707</v>
      </c>
      <c r="M15" s="13">
        <f t="shared" si="5"/>
        <v>262.32323232323233</v>
      </c>
      <c r="N15" s="15">
        <f t="shared" si="6"/>
        <v>179.99999999999997</v>
      </c>
      <c r="O15" s="13">
        <f t="shared" si="7"/>
        <v>104399.99999999999</v>
      </c>
      <c r="P15" s="16">
        <v>0.47589999999999999</v>
      </c>
      <c r="Q15" s="16"/>
      <c r="R15" s="17">
        <f t="shared" si="8"/>
        <v>584443.50800000003</v>
      </c>
      <c r="S15" s="17">
        <f t="shared" si="9"/>
        <v>54443.508000000002</v>
      </c>
      <c r="T15" s="18">
        <f t="shared" si="10"/>
        <v>-49436.491999999969</v>
      </c>
    </row>
    <row r="16" spans="1:20" ht="15.75" customHeight="1" x14ac:dyDescent="0.35">
      <c r="A16" s="19">
        <v>8</v>
      </c>
      <c r="B16" s="19" t="s">
        <v>39</v>
      </c>
      <c r="C16" s="3" t="s">
        <v>40</v>
      </c>
      <c r="D16" s="2" t="s">
        <v>47</v>
      </c>
      <c r="E16" s="10">
        <v>475</v>
      </c>
      <c r="F16" s="10">
        <v>640000</v>
      </c>
      <c r="G16" s="11">
        <v>0.19600000000000001</v>
      </c>
      <c r="H16" s="12">
        <f t="shared" si="11"/>
        <v>765440</v>
      </c>
      <c r="I16" s="13">
        <f t="shared" si="1"/>
        <v>125440</v>
      </c>
      <c r="J16" s="14">
        <f t="shared" si="2"/>
        <v>0.19600000000000001</v>
      </c>
      <c r="K16" s="13">
        <f t="shared" si="3"/>
        <v>1347.3684210526317</v>
      </c>
      <c r="L16" s="13">
        <f t="shared" si="4"/>
        <v>1611.4526315789474</v>
      </c>
      <c r="M16" s="13">
        <f t="shared" si="5"/>
        <v>264.0842105263157</v>
      </c>
      <c r="N16" s="15">
        <f t="shared" si="6"/>
        <v>215.90909090909088</v>
      </c>
      <c r="O16" s="13">
        <f t="shared" si="7"/>
        <v>125227.27272727271</v>
      </c>
      <c r="P16" s="16">
        <v>0.47589999999999999</v>
      </c>
      <c r="Q16" s="16"/>
      <c r="R16" s="17">
        <f t="shared" si="8"/>
        <v>705743.10400000005</v>
      </c>
      <c r="S16" s="17">
        <f t="shared" si="9"/>
        <v>65743.104000000007</v>
      </c>
      <c r="T16" s="18">
        <f t="shared" si="10"/>
        <v>-59696.89599999995</v>
      </c>
    </row>
    <row r="17" spans="1:20" ht="15.75" customHeight="1" x14ac:dyDescent="0.35">
      <c r="A17" s="9">
        <v>9</v>
      </c>
      <c r="B17" s="9" t="s">
        <v>39</v>
      </c>
      <c r="C17" s="5" t="s">
        <v>40</v>
      </c>
      <c r="D17" s="4" t="s">
        <v>48</v>
      </c>
      <c r="E17" s="10">
        <v>438</v>
      </c>
      <c r="F17" s="10">
        <v>586000</v>
      </c>
      <c r="G17" s="11">
        <v>0.19600000000000001</v>
      </c>
      <c r="H17" s="12">
        <f t="shared" si="11"/>
        <v>700856</v>
      </c>
      <c r="I17" s="13">
        <f t="shared" si="1"/>
        <v>114856</v>
      </c>
      <c r="J17" s="14">
        <f t="shared" si="2"/>
        <v>0.19600000000000001</v>
      </c>
      <c r="K17" s="13">
        <f t="shared" si="3"/>
        <v>1337.8995433789955</v>
      </c>
      <c r="L17" s="13">
        <f t="shared" si="4"/>
        <v>1600.1278538812785</v>
      </c>
      <c r="M17" s="13">
        <f t="shared" si="5"/>
        <v>262.22831050228297</v>
      </c>
      <c r="N17" s="15">
        <f t="shared" si="6"/>
        <v>199.09090909090907</v>
      </c>
      <c r="O17" s="13">
        <f t="shared" si="7"/>
        <v>115472.72727272726</v>
      </c>
      <c r="P17" s="16">
        <v>0.47589999999999999</v>
      </c>
      <c r="Q17" s="16"/>
      <c r="R17" s="17">
        <f t="shared" si="8"/>
        <v>646196.02960000001</v>
      </c>
      <c r="S17" s="17">
        <f t="shared" si="9"/>
        <v>60196.029600000002</v>
      </c>
      <c r="T17" s="18">
        <f t="shared" si="10"/>
        <v>-54659.970399999991</v>
      </c>
    </row>
    <row r="18" spans="1:20" ht="18" customHeight="1" x14ac:dyDescent="0.35">
      <c r="A18" s="25" t="s">
        <v>49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7"/>
      <c r="S18" s="17">
        <f t="shared" si="9"/>
        <v>0</v>
      </c>
      <c r="T18" s="18">
        <f t="shared" si="10"/>
        <v>0</v>
      </c>
    </row>
    <row r="19" spans="1:20" ht="15.75" customHeight="1" x14ac:dyDescent="0.35">
      <c r="A19" s="9">
        <v>10</v>
      </c>
      <c r="B19" s="9" t="s">
        <v>50</v>
      </c>
      <c r="C19" s="5" t="s">
        <v>51</v>
      </c>
      <c r="D19" s="4" t="s">
        <v>52</v>
      </c>
      <c r="E19" s="10">
        <v>725</v>
      </c>
      <c r="F19" s="10">
        <v>570000</v>
      </c>
      <c r="G19" s="11">
        <v>0.33500000000000002</v>
      </c>
      <c r="H19" s="12">
        <f t="shared" ref="H19:H37" si="12">F19*(1+G19)</f>
        <v>760950</v>
      </c>
      <c r="I19" s="13">
        <f t="shared" ref="I19:I37" si="13">H19-F19</f>
        <v>190950</v>
      </c>
      <c r="J19" s="14">
        <f t="shared" ref="J19:J37" si="14">I19/F19</f>
        <v>0.33500000000000002</v>
      </c>
      <c r="K19" s="13">
        <f t="shared" ref="K19:K37" si="15">F19/E19</f>
        <v>786.20689655172418</v>
      </c>
      <c r="L19" s="13">
        <f t="shared" ref="L19:L37" si="16">H19/E19</f>
        <v>1049.5862068965516</v>
      </c>
      <c r="M19" s="13">
        <f t="shared" ref="M19:M37" si="17">L19-K19</f>
        <v>263.37931034482745</v>
      </c>
      <c r="N19" s="15">
        <f t="shared" ref="N19:N37" si="18">E19/2.2</f>
        <v>329.5454545454545</v>
      </c>
      <c r="O19" s="13">
        <f t="shared" ref="O19:O37" si="19">N19*580</f>
        <v>191136.36363636362</v>
      </c>
      <c r="P19" s="16">
        <v>0.47589999999999999</v>
      </c>
      <c r="Q19" s="16"/>
      <c r="R19" s="17">
        <f t="shared" ref="R19:R37" si="20">+F19+S19</f>
        <v>670076.89500000002</v>
      </c>
      <c r="S19" s="17">
        <f t="shared" si="9"/>
        <v>100076.895</v>
      </c>
      <c r="T19" s="18">
        <f t="shared" si="10"/>
        <v>-90873.104999999981</v>
      </c>
    </row>
    <row r="20" spans="1:20" ht="15.75" customHeight="1" x14ac:dyDescent="0.35">
      <c r="A20" s="19">
        <v>11</v>
      </c>
      <c r="B20" s="19" t="s">
        <v>50</v>
      </c>
      <c r="C20" s="3" t="s">
        <v>51</v>
      </c>
      <c r="D20" s="2" t="s">
        <v>53</v>
      </c>
      <c r="E20" s="10">
        <v>808</v>
      </c>
      <c r="F20" s="10">
        <v>632000</v>
      </c>
      <c r="G20" s="11">
        <v>0.33700000000000002</v>
      </c>
      <c r="H20" s="12">
        <f t="shared" si="12"/>
        <v>844984</v>
      </c>
      <c r="I20" s="13">
        <f t="shared" si="13"/>
        <v>212984</v>
      </c>
      <c r="J20" s="14">
        <f t="shared" si="14"/>
        <v>0.33700000000000002</v>
      </c>
      <c r="K20" s="13">
        <f t="shared" si="15"/>
        <v>782.17821782178214</v>
      </c>
      <c r="L20" s="13">
        <f t="shared" si="16"/>
        <v>1045.7722772277227</v>
      </c>
      <c r="M20" s="13">
        <f t="shared" si="17"/>
        <v>263.59405940594058</v>
      </c>
      <c r="N20" s="15">
        <f t="shared" si="18"/>
        <v>367.27272727272725</v>
      </c>
      <c r="O20" s="13">
        <f t="shared" si="19"/>
        <v>213018.18181818179</v>
      </c>
      <c r="P20" s="16">
        <v>0.47589999999999999</v>
      </c>
      <c r="Q20" s="16"/>
      <c r="R20" s="17">
        <f t="shared" si="20"/>
        <v>743624.91440000001</v>
      </c>
      <c r="S20" s="17">
        <f t="shared" si="9"/>
        <v>111624.91440000001</v>
      </c>
      <c r="T20" s="18">
        <f t="shared" si="10"/>
        <v>-101359.08559999999</v>
      </c>
    </row>
    <row r="21" spans="1:20" ht="15.75" customHeight="1" x14ac:dyDescent="0.35">
      <c r="A21" s="9">
        <v>12</v>
      </c>
      <c r="B21" s="9" t="s">
        <v>50</v>
      </c>
      <c r="C21" s="5" t="s">
        <v>51</v>
      </c>
      <c r="D21" s="4" t="s">
        <v>1</v>
      </c>
      <c r="E21" s="10">
        <v>820</v>
      </c>
      <c r="F21" s="10">
        <v>650000</v>
      </c>
      <c r="G21" s="11">
        <v>0.33200000000000002</v>
      </c>
      <c r="H21" s="12">
        <f t="shared" si="12"/>
        <v>865800</v>
      </c>
      <c r="I21" s="13">
        <f t="shared" si="13"/>
        <v>215800</v>
      </c>
      <c r="J21" s="14">
        <f t="shared" si="14"/>
        <v>0.33200000000000002</v>
      </c>
      <c r="K21" s="13">
        <f t="shared" si="15"/>
        <v>792.68292682926824</v>
      </c>
      <c r="L21" s="13">
        <f t="shared" si="16"/>
        <v>1055.8536585365853</v>
      </c>
      <c r="M21" s="13">
        <f t="shared" si="17"/>
        <v>263.17073170731703</v>
      </c>
      <c r="N21" s="15">
        <f t="shared" si="18"/>
        <v>372.72727272727269</v>
      </c>
      <c r="O21" s="13">
        <f t="shared" si="19"/>
        <v>216181.81818181815</v>
      </c>
      <c r="P21" s="16">
        <v>0.47589999999999999</v>
      </c>
      <c r="Q21" s="16"/>
      <c r="R21" s="17">
        <f t="shared" si="20"/>
        <v>763100.78</v>
      </c>
      <c r="S21" s="17">
        <f t="shared" si="9"/>
        <v>113100.78</v>
      </c>
      <c r="T21" s="18">
        <f t="shared" si="10"/>
        <v>-102699.21999999997</v>
      </c>
    </row>
    <row r="22" spans="1:20" ht="15.75" customHeight="1" x14ac:dyDescent="0.35">
      <c r="A22" s="19">
        <v>13</v>
      </c>
      <c r="B22" s="19" t="s">
        <v>50</v>
      </c>
      <c r="C22" s="3" t="s">
        <v>51</v>
      </c>
      <c r="D22" s="2" t="s">
        <v>54</v>
      </c>
      <c r="E22" s="10">
        <v>740</v>
      </c>
      <c r="F22" s="10">
        <v>580000</v>
      </c>
      <c r="G22" s="11">
        <v>0.33600000000000002</v>
      </c>
      <c r="H22" s="12">
        <f t="shared" si="12"/>
        <v>774880</v>
      </c>
      <c r="I22" s="13">
        <f t="shared" si="13"/>
        <v>194880</v>
      </c>
      <c r="J22" s="14">
        <f t="shared" si="14"/>
        <v>0.33600000000000002</v>
      </c>
      <c r="K22" s="13">
        <f t="shared" si="15"/>
        <v>783.78378378378375</v>
      </c>
      <c r="L22" s="13">
        <f t="shared" si="16"/>
        <v>1047.1351351351352</v>
      </c>
      <c r="M22" s="13">
        <f t="shared" si="17"/>
        <v>263.35135135135147</v>
      </c>
      <c r="N22" s="15">
        <f t="shared" si="18"/>
        <v>336.36363636363632</v>
      </c>
      <c r="O22" s="13">
        <f t="shared" si="19"/>
        <v>195090.90909090906</v>
      </c>
      <c r="P22" s="16">
        <v>0.47589999999999999</v>
      </c>
      <c r="Q22" s="16"/>
      <c r="R22" s="17">
        <f t="shared" si="20"/>
        <v>682136.60800000001</v>
      </c>
      <c r="S22" s="17">
        <f t="shared" si="9"/>
        <v>102136.60800000001</v>
      </c>
      <c r="T22" s="18">
        <f t="shared" si="10"/>
        <v>-92743.391999999993</v>
      </c>
    </row>
    <row r="23" spans="1:20" ht="15.75" customHeight="1" x14ac:dyDescent="0.35">
      <c r="A23" s="9">
        <v>14</v>
      </c>
      <c r="B23" s="9" t="s">
        <v>50</v>
      </c>
      <c r="C23" s="5" t="s">
        <v>51</v>
      </c>
      <c r="D23" s="4" t="s">
        <v>55</v>
      </c>
      <c r="E23" s="10">
        <v>705</v>
      </c>
      <c r="F23" s="10">
        <v>552000</v>
      </c>
      <c r="G23" s="11">
        <v>0.33600000000000002</v>
      </c>
      <c r="H23" s="12">
        <f t="shared" si="12"/>
        <v>737472</v>
      </c>
      <c r="I23" s="13">
        <f t="shared" si="13"/>
        <v>185472</v>
      </c>
      <c r="J23" s="14">
        <f t="shared" si="14"/>
        <v>0.33600000000000002</v>
      </c>
      <c r="K23" s="13">
        <f t="shared" si="15"/>
        <v>782.97872340425533</v>
      </c>
      <c r="L23" s="13">
        <f t="shared" si="16"/>
        <v>1046.0595744680852</v>
      </c>
      <c r="M23" s="13">
        <f t="shared" si="17"/>
        <v>263.08085106382987</v>
      </c>
      <c r="N23" s="15">
        <f t="shared" si="18"/>
        <v>320.45454545454544</v>
      </c>
      <c r="O23" s="13">
        <f t="shared" si="19"/>
        <v>185863.63636363635</v>
      </c>
      <c r="P23" s="16">
        <v>0.47589999999999999</v>
      </c>
      <c r="Q23" s="16"/>
      <c r="R23" s="17">
        <f t="shared" si="20"/>
        <v>649205.87520000001</v>
      </c>
      <c r="S23" s="17">
        <f t="shared" si="9"/>
        <v>97205.875199999995</v>
      </c>
      <c r="T23" s="18">
        <f t="shared" si="10"/>
        <v>-88266.124799999991</v>
      </c>
    </row>
    <row r="24" spans="1:20" ht="15.75" customHeight="1" x14ac:dyDescent="0.35">
      <c r="A24" s="19">
        <v>15</v>
      </c>
      <c r="B24" s="19" t="s">
        <v>50</v>
      </c>
      <c r="C24" s="3" t="s">
        <v>51</v>
      </c>
      <c r="D24" s="2" t="s">
        <v>56</v>
      </c>
      <c r="E24" s="10">
        <v>760</v>
      </c>
      <c r="F24" s="10">
        <v>598000</v>
      </c>
      <c r="G24" s="11">
        <v>0.33500000000000002</v>
      </c>
      <c r="H24" s="12">
        <f t="shared" si="12"/>
        <v>798330</v>
      </c>
      <c r="I24" s="13">
        <f t="shared" si="13"/>
        <v>200330</v>
      </c>
      <c r="J24" s="14">
        <f t="shared" si="14"/>
        <v>0.33500000000000002</v>
      </c>
      <c r="K24" s="13">
        <f t="shared" si="15"/>
        <v>786.84210526315792</v>
      </c>
      <c r="L24" s="13">
        <f t="shared" si="16"/>
        <v>1050.4342105263158</v>
      </c>
      <c r="M24" s="13">
        <f t="shared" si="17"/>
        <v>263.59210526315792</v>
      </c>
      <c r="N24" s="15">
        <f t="shared" si="18"/>
        <v>345.45454545454544</v>
      </c>
      <c r="O24" s="13">
        <f t="shared" si="19"/>
        <v>200363.63636363635</v>
      </c>
      <c r="P24" s="16">
        <v>0.47589999999999999</v>
      </c>
      <c r="Q24" s="16"/>
      <c r="R24" s="17">
        <f t="shared" si="20"/>
        <v>702992.95299999998</v>
      </c>
      <c r="S24" s="17">
        <f t="shared" si="9"/>
        <v>104992.95300000001</v>
      </c>
      <c r="T24" s="18">
        <f t="shared" si="10"/>
        <v>-95337.04700000002</v>
      </c>
    </row>
    <row r="25" spans="1:20" ht="15.75" customHeight="1" x14ac:dyDescent="0.35">
      <c r="A25" s="9">
        <v>16</v>
      </c>
      <c r="B25" s="9" t="s">
        <v>50</v>
      </c>
      <c r="C25" s="5" t="s">
        <v>51</v>
      </c>
      <c r="D25" s="4" t="s">
        <v>57</v>
      </c>
      <c r="E25" s="10">
        <v>808</v>
      </c>
      <c r="F25" s="10">
        <v>632000</v>
      </c>
      <c r="G25" s="11">
        <v>0.33700000000000002</v>
      </c>
      <c r="H25" s="12">
        <f t="shared" si="12"/>
        <v>844984</v>
      </c>
      <c r="I25" s="13">
        <f t="shared" si="13"/>
        <v>212984</v>
      </c>
      <c r="J25" s="14">
        <f t="shared" si="14"/>
        <v>0.33700000000000002</v>
      </c>
      <c r="K25" s="13">
        <f t="shared" si="15"/>
        <v>782.17821782178214</v>
      </c>
      <c r="L25" s="13">
        <f t="shared" si="16"/>
        <v>1045.7722772277227</v>
      </c>
      <c r="M25" s="13">
        <f t="shared" si="17"/>
        <v>263.59405940594058</v>
      </c>
      <c r="N25" s="15">
        <f t="shared" si="18"/>
        <v>367.27272727272725</v>
      </c>
      <c r="O25" s="13">
        <f t="shared" si="19"/>
        <v>213018.18181818179</v>
      </c>
      <c r="P25" s="16">
        <v>0.47589999999999999</v>
      </c>
      <c r="Q25" s="16"/>
      <c r="R25" s="17">
        <f t="shared" si="20"/>
        <v>743624.91440000001</v>
      </c>
      <c r="S25" s="17">
        <f t="shared" si="9"/>
        <v>111624.91440000001</v>
      </c>
      <c r="T25" s="18">
        <f t="shared" si="10"/>
        <v>-101359.08559999999</v>
      </c>
    </row>
    <row r="26" spans="1:20" ht="15.75" customHeight="1" x14ac:dyDescent="0.35">
      <c r="A26" s="19">
        <v>17</v>
      </c>
      <c r="B26" s="19" t="s">
        <v>50</v>
      </c>
      <c r="C26" s="3" t="s">
        <v>51</v>
      </c>
      <c r="D26" s="2" t="s">
        <v>58</v>
      </c>
      <c r="E26" s="10">
        <v>778</v>
      </c>
      <c r="F26" s="10">
        <v>610000</v>
      </c>
      <c r="G26" s="11">
        <v>0.33600000000000002</v>
      </c>
      <c r="H26" s="12">
        <f t="shared" si="12"/>
        <v>814960</v>
      </c>
      <c r="I26" s="13">
        <f t="shared" si="13"/>
        <v>204960</v>
      </c>
      <c r="J26" s="14">
        <f t="shared" si="14"/>
        <v>0.33600000000000002</v>
      </c>
      <c r="K26" s="13">
        <f t="shared" si="15"/>
        <v>784.06169665809773</v>
      </c>
      <c r="L26" s="13">
        <f t="shared" si="16"/>
        <v>1047.5064267352186</v>
      </c>
      <c r="M26" s="13">
        <f t="shared" si="17"/>
        <v>263.44473007712088</v>
      </c>
      <c r="N26" s="15">
        <f t="shared" si="18"/>
        <v>353.63636363636363</v>
      </c>
      <c r="O26" s="13">
        <f t="shared" si="19"/>
        <v>205109.09090909091</v>
      </c>
      <c r="P26" s="16">
        <v>0.47589999999999999</v>
      </c>
      <c r="Q26" s="16"/>
      <c r="R26" s="17">
        <f t="shared" si="20"/>
        <v>717419.53599999996</v>
      </c>
      <c r="S26" s="17">
        <f t="shared" si="9"/>
        <v>107419.53600000001</v>
      </c>
      <c r="T26" s="18">
        <f t="shared" si="10"/>
        <v>-97540.464000000036</v>
      </c>
    </row>
    <row r="27" spans="1:20" ht="15.75" customHeight="1" x14ac:dyDescent="0.35">
      <c r="A27" s="9">
        <v>18</v>
      </c>
      <c r="B27" s="9" t="s">
        <v>50</v>
      </c>
      <c r="C27" s="5" t="s">
        <v>51</v>
      </c>
      <c r="D27" s="4" t="s">
        <v>59</v>
      </c>
      <c r="E27" s="10">
        <v>740</v>
      </c>
      <c r="F27" s="10">
        <v>580000</v>
      </c>
      <c r="G27" s="11">
        <v>0.33600000000000002</v>
      </c>
      <c r="H27" s="12">
        <f t="shared" si="12"/>
        <v>774880</v>
      </c>
      <c r="I27" s="13">
        <f t="shared" si="13"/>
        <v>194880</v>
      </c>
      <c r="J27" s="14">
        <f t="shared" si="14"/>
        <v>0.33600000000000002</v>
      </c>
      <c r="K27" s="13">
        <f t="shared" si="15"/>
        <v>783.78378378378375</v>
      </c>
      <c r="L27" s="13">
        <f t="shared" si="16"/>
        <v>1047.1351351351352</v>
      </c>
      <c r="M27" s="13">
        <f t="shared" si="17"/>
        <v>263.35135135135147</v>
      </c>
      <c r="N27" s="15">
        <f t="shared" si="18"/>
        <v>336.36363636363632</v>
      </c>
      <c r="O27" s="13">
        <f t="shared" si="19"/>
        <v>195090.90909090906</v>
      </c>
      <c r="P27" s="16">
        <v>0.47589999999999999</v>
      </c>
      <c r="Q27" s="16"/>
      <c r="R27" s="17">
        <f t="shared" si="20"/>
        <v>682136.60800000001</v>
      </c>
      <c r="S27" s="17">
        <f t="shared" si="9"/>
        <v>102136.60800000001</v>
      </c>
      <c r="T27" s="18">
        <f t="shared" si="10"/>
        <v>-92743.391999999993</v>
      </c>
    </row>
    <row r="28" spans="1:20" ht="15.75" customHeight="1" x14ac:dyDescent="0.35">
      <c r="A28" s="19">
        <v>19</v>
      </c>
      <c r="B28" s="19" t="s">
        <v>50</v>
      </c>
      <c r="C28" s="3" t="s">
        <v>51</v>
      </c>
      <c r="D28" s="2" t="s">
        <v>60</v>
      </c>
      <c r="E28" s="10">
        <v>753</v>
      </c>
      <c r="F28" s="10">
        <v>590000</v>
      </c>
      <c r="G28" s="11">
        <v>0.33600000000000002</v>
      </c>
      <c r="H28" s="12">
        <f t="shared" si="12"/>
        <v>788240</v>
      </c>
      <c r="I28" s="13">
        <f t="shared" si="13"/>
        <v>198240</v>
      </c>
      <c r="J28" s="14">
        <f t="shared" si="14"/>
        <v>0.33600000000000002</v>
      </c>
      <c r="K28" s="13">
        <f t="shared" si="15"/>
        <v>783.53253652058436</v>
      </c>
      <c r="L28" s="13">
        <f t="shared" si="16"/>
        <v>1046.7994687915007</v>
      </c>
      <c r="M28" s="13">
        <f t="shared" si="17"/>
        <v>263.2669322709163</v>
      </c>
      <c r="N28" s="15">
        <f t="shared" si="18"/>
        <v>342.27272727272725</v>
      </c>
      <c r="O28" s="13">
        <f t="shared" si="19"/>
        <v>198518.18181818179</v>
      </c>
      <c r="P28" s="16">
        <v>0.47589999999999999</v>
      </c>
      <c r="Q28" s="16"/>
      <c r="R28" s="17">
        <f t="shared" si="20"/>
        <v>693897.58400000003</v>
      </c>
      <c r="S28" s="17">
        <f t="shared" si="9"/>
        <v>103897.584</v>
      </c>
      <c r="T28" s="18">
        <f t="shared" si="10"/>
        <v>-94342.415999999968</v>
      </c>
    </row>
    <row r="29" spans="1:20" ht="15.75" customHeight="1" x14ac:dyDescent="0.35">
      <c r="A29" s="9">
        <v>20</v>
      </c>
      <c r="B29" s="9" t="s">
        <v>50</v>
      </c>
      <c r="C29" s="5" t="s">
        <v>51</v>
      </c>
      <c r="D29" s="4" t="s">
        <v>61</v>
      </c>
      <c r="E29" s="10">
        <v>793</v>
      </c>
      <c r="F29" s="10">
        <v>621000</v>
      </c>
      <c r="G29" s="11">
        <v>0.33700000000000002</v>
      </c>
      <c r="H29" s="12">
        <f t="shared" si="12"/>
        <v>830277</v>
      </c>
      <c r="I29" s="13">
        <f t="shared" si="13"/>
        <v>209277</v>
      </c>
      <c r="J29" s="14">
        <f t="shared" si="14"/>
        <v>0.33700000000000002</v>
      </c>
      <c r="K29" s="13">
        <f t="shared" si="15"/>
        <v>783.10214375788144</v>
      </c>
      <c r="L29" s="13">
        <f t="shared" si="16"/>
        <v>1047.0075662042875</v>
      </c>
      <c r="M29" s="13">
        <f t="shared" si="17"/>
        <v>263.90542244640608</v>
      </c>
      <c r="N29" s="15">
        <f t="shared" si="18"/>
        <v>360.45454545454544</v>
      </c>
      <c r="O29" s="13">
        <f t="shared" si="19"/>
        <v>209063.63636363635</v>
      </c>
      <c r="P29" s="16">
        <v>0.47589999999999999</v>
      </c>
      <c r="Q29" s="16"/>
      <c r="R29" s="17">
        <f t="shared" si="20"/>
        <v>730682.07570000004</v>
      </c>
      <c r="S29" s="17">
        <f t="shared" si="9"/>
        <v>109682.0757</v>
      </c>
      <c r="T29" s="18">
        <f t="shared" si="10"/>
        <v>-99594.924299999955</v>
      </c>
    </row>
    <row r="30" spans="1:20" ht="15.75" customHeight="1" x14ac:dyDescent="0.35">
      <c r="A30" s="19">
        <v>21</v>
      </c>
      <c r="B30" s="19" t="s">
        <v>50</v>
      </c>
      <c r="C30" s="3" t="s">
        <v>51</v>
      </c>
      <c r="D30" s="2" t="s">
        <v>62</v>
      </c>
      <c r="E30" s="10">
        <v>714</v>
      </c>
      <c r="F30" s="10">
        <v>560000</v>
      </c>
      <c r="G30" s="11">
        <v>0.33500000000000002</v>
      </c>
      <c r="H30" s="12">
        <f t="shared" si="12"/>
        <v>747600</v>
      </c>
      <c r="I30" s="13">
        <f t="shared" si="13"/>
        <v>187600</v>
      </c>
      <c r="J30" s="14">
        <f t="shared" si="14"/>
        <v>0.33500000000000002</v>
      </c>
      <c r="K30" s="13">
        <f t="shared" si="15"/>
        <v>784.31372549019613</v>
      </c>
      <c r="L30" s="13">
        <f t="shared" si="16"/>
        <v>1047.0588235294117</v>
      </c>
      <c r="M30" s="13">
        <f t="shared" si="17"/>
        <v>262.74509803921558</v>
      </c>
      <c r="N30" s="15">
        <f t="shared" si="18"/>
        <v>324.5454545454545</v>
      </c>
      <c r="O30" s="13">
        <f t="shared" si="19"/>
        <v>188236.36363636362</v>
      </c>
      <c r="P30" s="16">
        <v>0.47589999999999999</v>
      </c>
      <c r="Q30" s="16"/>
      <c r="R30" s="17">
        <f t="shared" si="20"/>
        <v>658321.16</v>
      </c>
      <c r="S30" s="17">
        <f t="shared" si="9"/>
        <v>98321.16</v>
      </c>
      <c r="T30" s="18">
        <f t="shared" si="10"/>
        <v>-89278.839999999967</v>
      </c>
    </row>
    <row r="31" spans="1:20" ht="15.75" customHeight="1" x14ac:dyDescent="0.35">
      <c r="A31" s="9">
        <v>22</v>
      </c>
      <c r="B31" s="9" t="s">
        <v>50</v>
      </c>
      <c r="C31" s="5" t="s">
        <v>51</v>
      </c>
      <c r="D31" s="4" t="s">
        <v>63</v>
      </c>
      <c r="E31" s="10">
        <v>802</v>
      </c>
      <c r="F31" s="10">
        <v>632000</v>
      </c>
      <c r="G31" s="11">
        <v>0.33500000000000002</v>
      </c>
      <c r="H31" s="12">
        <f t="shared" si="12"/>
        <v>843720</v>
      </c>
      <c r="I31" s="13">
        <f t="shared" si="13"/>
        <v>211720</v>
      </c>
      <c r="J31" s="14">
        <f t="shared" si="14"/>
        <v>0.33500000000000002</v>
      </c>
      <c r="K31" s="13">
        <f t="shared" si="15"/>
        <v>788.0299251870324</v>
      </c>
      <c r="L31" s="13">
        <f t="shared" si="16"/>
        <v>1052.0199501246882</v>
      </c>
      <c r="M31" s="13">
        <f t="shared" si="17"/>
        <v>263.99002493765579</v>
      </c>
      <c r="N31" s="15">
        <f t="shared" si="18"/>
        <v>364.5454545454545</v>
      </c>
      <c r="O31" s="13">
        <f t="shared" si="19"/>
        <v>211436.36363636362</v>
      </c>
      <c r="P31" s="16">
        <v>0.47589999999999999</v>
      </c>
      <c r="Q31" s="16"/>
      <c r="R31" s="17">
        <f t="shared" si="20"/>
        <v>742962.45200000005</v>
      </c>
      <c r="S31" s="17">
        <f t="shared" si="9"/>
        <v>110962.452</v>
      </c>
      <c r="T31" s="18">
        <f t="shared" si="10"/>
        <v>-100757.54799999995</v>
      </c>
    </row>
    <row r="32" spans="1:20" ht="15.75" customHeight="1" x14ac:dyDescent="0.35">
      <c r="A32" s="19">
        <v>23</v>
      </c>
      <c r="B32" s="19" t="s">
        <v>50</v>
      </c>
      <c r="C32" s="3" t="s">
        <v>51</v>
      </c>
      <c r="D32" s="2" t="s">
        <v>64</v>
      </c>
      <c r="E32" s="10">
        <v>867</v>
      </c>
      <c r="F32" s="10">
        <v>730000</v>
      </c>
      <c r="G32" s="11">
        <v>0.312</v>
      </c>
      <c r="H32" s="12">
        <f t="shared" si="12"/>
        <v>957760</v>
      </c>
      <c r="I32" s="13">
        <f t="shared" si="13"/>
        <v>227760</v>
      </c>
      <c r="J32" s="14">
        <f t="shared" si="14"/>
        <v>0.312</v>
      </c>
      <c r="K32" s="13">
        <f t="shared" si="15"/>
        <v>841.98385236447518</v>
      </c>
      <c r="L32" s="13">
        <f t="shared" si="16"/>
        <v>1104.6828143021914</v>
      </c>
      <c r="M32" s="13">
        <f t="shared" si="17"/>
        <v>262.69896193771626</v>
      </c>
      <c r="N32" s="15">
        <f t="shared" si="18"/>
        <v>394.09090909090907</v>
      </c>
      <c r="O32" s="13">
        <f t="shared" si="19"/>
        <v>228572.72727272726</v>
      </c>
      <c r="P32" s="16">
        <v>0.47589999999999999</v>
      </c>
      <c r="Q32" s="16"/>
      <c r="R32" s="17">
        <f t="shared" si="20"/>
        <v>849369.01600000006</v>
      </c>
      <c r="S32" s="17">
        <f t="shared" si="9"/>
        <v>119369.016</v>
      </c>
      <c r="T32" s="18">
        <f t="shared" si="10"/>
        <v>-108390.98399999994</v>
      </c>
    </row>
    <row r="33" spans="1:20" ht="15.75" customHeight="1" x14ac:dyDescent="0.35">
      <c r="A33" s="9">
        <v>24</v>
      </c>
      <c r="B33" s="9" t="s">
        <v>50</v>
      </c>
      <c r="C33" s="5" t="s">
        <v>51</v>
      </c>
      <c r="D33" s="4" t="s">
        <v>65</v>
      </c>
      <c r="E33" s="10">
        <v>809</v>
      </c>
      <c r="F33" s="10">
        <v>632000</v>
      </c>
      <c r="G33" s="11">
        <v>0.33700000000000002</v>
      </c>
      <c r="H33" s="12">
        <f t="shared" si="12"/>
        <v>844984</v>
      </c>
      <c r="I33" s="13">
        <f t="shared" si="13"/>
        <v>212984</v>
      </c>
      <c r="J33" s="14">
        <f t="shared" si="14"/>
        <v>0.33700000000000002</v>
      </c>
      <c r="K33" s="13">
        <f t="shared" si="15"/>
        <v>781.21137206427693</v>
      </c>
      <c r="L33" s="13">
        <f t="shared" si="16"/>
        <v>1044.4796044499383</v>
      </c>
      <c r="M33" s="13">
        <f t="shared" si="17"/>
        <v>263.26823238566135</v>
      </c>
      <c r="N33" s="15">
        <f t="shared" si="18"/>
        <v>367.72727272727269</v>
      </c>
      <c r="O33" s="13">
        <f t="shared" si="19"/>
        <v>213281.81818181815</v>
      </c>
      <c r="P33" s="16">
        <v>0.47589999999999999</v>
      </c>
      <c r="Q33" s="16"/>
      <c r="R33" s="17">
        <f t="shared" si="20"/>
        <v>743624.91440000001</v>
      </c>
      <c r="S33" s="17">
        <f t="shared" si="9"/>
        <v>111624.91440000001</v>
      </c>
      <c r="T33" s="18">
        <f t="shared" si="10"/>
        <v>-101359.08559999999</v>
      </c>
    </row>
    <row r="34" spans="1:20" ht="15.75" customHeight="1" x14ac:dyDescent="0.35">
      <c r="A34" s="19">
        <v>25</v>
      </c>
      <c r="B34" s="19" t="s">
        <v>50</v>
      </c>
      <c r="C34" s="3" t="s">
        <v>51</v>
      </c>
      <c r="D34" s="2" t="s">
        <v>66</v>
      </c>
      <c r="E34" s="10">
        <v>755</v>
      </c>
      <c r="F34" s="10">
        <v>590000</v>
      </c>
      <c r="G34" s="11">
        <v>0.33800000000000002</v>
      </c>
      <c r="H34" s="12">
        <f t="shared" si="12"/>
        <v>789420</v>
      </c>
      <c r="I34" s="13">
        <f t="shared" si="13"/>
        <v>199420</v>
      </c>
      <c r="J34" s="14">
        <f t="shared" si="14"/>
        <v>0.33800000000000002</v>
      </c>
      <c r="K34" s="13">
        <f t="shared" si="15"/>
        <v>781.45695364238406</v>
      </c>
      <c r="L34" s="13">
        <f t="shared" si="16"/>
        <v>1045.5894039735099</v>
      </c>
      <c r="M34" s="13">
        <f t="shared" si="17"/>
        <v>264.13245033112582</v>
      </c>
      <c r="N34" s="15">
        <f t="shared" si="18"/>
        <v>343.18181818181813</v>
      </c>
      <c r="O34" s="13">
        <f t="shared" si="19"/>
        <v>199045.45454545453</v>
      </c>
      <c r="P34" s="16">
        <v>0.47589999999999999</v>
      </c>
      <c r="Q34" s="16"/>
      <c r="R34" s="17">
        <f t="shared" si="20"/>
        <v>694516.022</v>
      </c>
      <c r="S34" s="17">
        <f t="shared" si="9"/>
        <v>104516.022</v>
      </c>
      <c r="T34" s="18">
        <f t="shared" si="10"/>
        <v>-94903.978000000003</v>
      </c>
    </row>
    <row r="35" spans="1:20" ht="15.75" customHeight="1" x14ac:dyDescent="0.35">
      <c r="A35" s="9">
        <v>26</v>
      </c>
      <c r="B35" s="9" t="s">
        <v>50</v>
      </c>
      <c r="C35" s="5" t="s">
        <v>51</v>
      </c>
      <c r="D35" s="4" t="s">
        <v>67</v>
      </c>
      <c r="E35" s="10">
        <v>801</v>
      </c>
      <c r="F35" s="10">
        <v>632000</v>
      </c>
      <c r="G35" s="11">
        <v>0.33500000000000002</v>
      </c>
      <c r="H35" s="12">
        <f t="shared" si="12"/>
        <v>843720</v>
      </c>
      <c r="I35" s="13">
        <f t="shared" si="13"/>
        <v>211720</v>
      </c>
      <c r="J35" s="14">
        <f t="shared" si="14"/>
        <v>0.33500000000000002</v>
      </c>
      <c r="K35" s="13">
        <f t="shared" si="15"/>
        <v>789.01373283395753</v>
      </c>
      <c r="L35" s="13">
        <f t="shared" si="16"/>
        <v>1053.3333333333333</v>
      </c>
      <c r="M35" s="13">
        <f t="shared" si="17"/>
        <v>264.31960049937572</v>
      </c>
      <c r="N35" s="15">
        <f t="shared" si="18"/>
        <v>364.09090909090907</v>
      </c>
      <c r="O35" s="13">
        <f t="shared" si="19"/>
        <v>211172.72727272726</v>
      </c>
      <c r="P35" s="16">
        <v>0.47589999999999999</v>
      </c>
      <c r="Q35" s="16"/>
      <c r="R35" s="17">
        <f t="shared" si="20"/>
        <v>742962.45200000005</v>
      </c>
      <c r="S35" s="17">
        <f t="shared" si="9"/>
        <v>110962.452</v>
      </c>
      <c r="T35" s="18">
        <f t="shared" si="10"/>
        <v>-100757.54799999995</v>
      </c>
    </row>
    <row r="36" spans="1:20" ht="15.75" customHeight="1" x14ac:dyDescent="0.35">
      <c r="A36" s="19">
        <v>27</v>
      </c>
      <c r="B36" s="19" t="s">
        <v>50</v>
      </c>
      <c r="C36" s="3" t="s">
        <v>51</v>
      </c>
      <c r="D36" s="2" t="s">
        <v>68</v>
      </c>
      <c r="E36" s="10">
        <v>871</v>
      </c>
      <c r="F36" s="10">
        <v>736000</v>
      </c>
      <c r="G36" s="11">
        <v>0.312</v>
      </c>
      <c r="H36" s="12">
        <f t="shared" si="12"/>
        <v>965632</v>
      </c>
      <c r="I36" s="13">
        <f t="shared" si="13"/>
        <v>229632</v>
      </c>
      <c r="J36" s="14">
        <f t="shared" si="14"/>
        <v>0.312</v>
      </c>
      <c r="K36" s="13">
        <f t="shared" si="15"/>
        <v>845.00574052812863</v>
      </c>
      <c r="L36" s="13">
        <f t="shared" si="16"/>
        <v>1108.6475315729047</v>
      </c>
      <c r="M36" s="13">
        <f t="shared" si="17"/>
        <v>263.64179104477603</v>
      </c>
      <c r="N36" s="15">
        <f t="shared" si="18"/>
        <v>395.90909090909088</v>
      </c>
      <c r="O36" s="13">
        <f t="shared" si="19"/>
        <v>229627.27272727271</v>
      </c>
      <c r="P36" s="16">
        <v>0.47589999999999999</v>
      </c>
      <c r="Q36" s="16"/>
      <c r="R36" s="17">
        <f t="shared" si="20"/>
        <v>856350.13119999995</v>
      </c>
      <c r="S36" s="17">
        <f t="shared" si="9"/>
        <v>120350.1312</v>
      </c>
      <c r="T36" s="18">
        <f t="shared" si="10"/>
        <v>-109281.86880000005</v>
      </c>
    </row>
    <row r="37" spans="1:20" ht="15.75" customHeight="1" x14ac:dyDescent="0.35">
      <c r="A37" s="9">
        <v>28</v>
      </c>
      <c r="B37" s="9" t="s">
        <v>50</v>
      </c>
      <c r="C37" s="5" t="s">
        <v>51</v>
      </c>
      <c r="D37" s="4" t="s">
        <v>51</v>
      </c>
      <c r="E37" s="10">
        <v>805</v>
      </c>
      <c r="F37" s="10">
        <v>632000</v>
      </c>
      <c r="G37" s="11">
        <v>0.33600000000000002</v>
      </c>
      <c r="H37" s="12">
        <f t="shared" si="12"/>
        <v>844352</v>
      </c>
      <c r="I37" s="13">
        <f t="shared" si="13"/>
        <v>212352</v>
      </c>
      <c r="J37" s="14">
        <f t="shared" si="14"/>
        <v>0.33600000000000002</v>
      </c>
      <c r="K37" s="13">
        <f t="shared" si="15"/>
        <v>785.09316770186331</v>
      </c>
      <c r="L37" s="13">
        <f t="shared" si="16"/>
        <v>1048.8844720496895</v>
      </c>
      <c r="M37" s="13">
        <f t="shared" si="17"/>
        <v>263.79130434782621</v>
      </c>
      <c r="N37" s="15">
        <f t="shared" si="18"/>
        <v>365.90909090909088</v>
      </c>
      <c r="O37" s="13">
        <f t="shared" si="19"/>
        <v>212227.27272727271</v>
      </c>
      <c r="P37" s="16">
        <v>0.47589999999999999</v>
      </c>
      <c r="Q37" s="16"/>
      <c r="R37" s="17">
        <f t="shared" si="20"/>
        <v>743293.68319999997</v>
      </c>
      <c r="S37" s="17">
        <f t="shared" si="9"/>
        <v>111293.6832</v>
      </c>
      <c r="T37" s="18">
        <f t="shared" si="10"/>
        <v>-101058.31680000003</v>
      </c>
    </row>
    <row r="38" spans="1:20" ht="18" customHeight="1" x14ac:dyDescent="0.35">
      <c r="A38" s="25" t="s">
        <v>69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7"/>
      <c r="S38" s="17">
        <f t="shared" si="9"/>
        <v>0</v>
      </c>
      <c r="T38" s="18">
        <f t="shared" si="10"/>
        <v>0</v>
      </c>
    </row>
    <row r="39" spans="1:20" ht="15.75" customHeight="1" x14ac:dyDescent="0.35">
      <c r="A39" s="9">
        <v>29</v>
      </c>
      <c r="B39" s="9" t="s">
        <v>70</v>
      </c>
      <c r="C39" s="5" t="s">
        <v>71</v>
      </c>
      <c r="D39" s="4" t="s">
        <v>72</v>
      </c>
      <c r="E39" s="10">
        <v>978</v>
      </c>
      <c r="F39" s="10">
        <v>805000</v>
      </c>
      <c r="G39" s="11">
        <v>0.32</v>
      </c>
      <c r="H39" s="12">
        <f t="shared" ref="H39:H56" si="21">F39*(1+G39)</f>
        <v>1062600</v>
      </c>
      <c r="I39" s="13">
        <f t="shared" ref="I39:I56" si="22">H39-F39</f>
        <v>257600</v>
      </c>
      <c r="J39" s="14">
        <f t="shared" ref="J39:J56" si="23">I39/F39</f>
        <v>0.32</v>
      </c>
      <c r="K39" s="13">
        <f t="shared" ref="K39:K56" si="24">F39/E39</f>
        <v>823.10838445807769</v>
      </c>
      <c r="L39" s="13">
        <f t="shared" ref="L39:L56" si="25">H39/E39</f>
        <v>1086.5030674846626</v>
      </c>
      <c r="M39" s="13">
        <f t="shared" ref="M39:M56" si="26">L39-K39</f>
        <v>263.39468302658486</v>
      </c>
      <c r="N39" s="15">
        <f t="shared" ref="N39:N56" si="27">E39/2.2</f>
        <v>444.5454545454545</v>
      </c>
      <c r="O39" s="13">
        <f t="shared" ref="O39:O56" si="28">N39*580</f>
        <v>257836.36363636362</v>
      </c>
      <c r="P39" s="16">
        <v>0.47589999999999999</v>
      </c>
      <c r="Q39" s="16"/>
      <c r="R39" s="17">
        <f t="shared" ref="R39:R56" si="29">+F39+S39</f>
        <v>940008.16</v>
      </c>
      <c r="S39" s="17">
        <f t="shared" si="9"/>
        <v>135008.16</v>
      </c>
      <c r="T39" s="18">
        <f t="shared" si="10"/>
        <v>-122591.83999999997</v>
      </c>
    </row>
    <row r="40" spans="1:20" ht="15.75" customHeight="1" x14ac:dyDescent="0.35">
      <c r="A40" s="19">
        <v>30</v>
      </c>
      <c r="B40" s="19" t="s">
        <v>70</v>
      </c>
      <c r="C40" s="3" t="s">
        <v>71</v>
      </c>
      <c r="D40" s="2" t="s">
        <v>73</v>
      </c>
      <c r="E40" s="10">
        <v>877</v>
      </c>
      <c r="F40" s="10">
        <v>725000</v>
      </c>
      <c r="G40" s="11">
        <v>0.32</v>
      </c>
      <c r="H40" s="12">
        <f t="shared" si="21"/>
        <v>957000</v>
      </c>
      <c r="I40" s="13">
        <f t="shared" si="22"/>
        <v>232000</v>
      </c>
      <c r="J40" s="14">
        <f t="shared" si="23"/>
        <v>0.32</v>
      </c>
      <c r="K40" s="13">
        <f t="shared" si="24"/>
        <v>826.68187001140245</v>
      </c>
      <c r="L40" s="13">
        <f t="shared" si="25"/>
        <v>1091.2200684150514</v>
      </c>
      <c r="M40" s="13">
        <f t="shared" si="26"/>
        <v>264.53819840364895</v>
      </c>
      <c r="N40" s="15">
        <f t="shared" si="27"/>
        <v>398.63636363636363</v>
      </c>
      <c r="O40" s="13">
        <f t="shared" si="28"/>
        <v>231209.09090909091</v>
      </c>
      <c r="P40" s="16">
        <v>0.47589999999999999</v>
      </c>
      <c r="Q40" s="16"/>
      <c r="R40" s="17">
        <f t="shared" si="29"/>
        <v>846591.2</v>
      </c>
      <c r="S40" s="17">
        <f t="shared" si="9"/>
        <v>121591.2</v>
      </c>
      <c r="T40" s="18">
        <f t="shared" si="10"/>
        <v>-110408.80000000005</v>
      </c>
    </row>
    <row r="41" spans="1:20" ht="15.75" customHeight="1" x14ac:dyDescent="0.35">
      <c r="A41" s="9">
        <v>31</v>
      </c>
      <c r="B41" s="9" t="s">
        <v>70</v>
      </c>
      <c r="C41" s="5" t="s">
        <v>71</v>
      </c>
      <c r="D41" s="4" t="s">
        <v>74</v>
      </c>
      <c r="E41" s="10">
        <v>870</v>
      </c>
      <c r="F41" s="10">
        <v>725000</v>
      </c>
      <c r="G41" s="11">
        <v>0.315</v>
      </c>
      <c r="H41" s="12">
        <f t="shared" si="21"/>
        <v>953375</v>
      </c>
      <c r="I41" s="13">
        <f t="shared" si="22"/>
        <v>228375</v>
      </c>
      <c r="J41" s="14">
        <f t="shared" si="23"/>
        <v>0.315</v>
      </c>
      <c r="K41" s="13">
        <f t="shared" si="24"/>
        <v>833.33333333333337</v>
      </c>
      <c r="L41" s="13">
        <f t="shared" si="25"/>
        <v>1095.8333333333333</v>
      </c>
      <c r="M41" s="13">
        <f t="shared" si="26"/>
        <v>262.49999999999989</v>
      </c>
      <c r="N41" s="15">
        <f t="shared" si="27"/>
        <v>395.45454545454544</v>
      </c>
      <c r="O41" s="13">
        <f t="shared" si="28"/>
        <v>229363.63636363635</v>
      </c>
      <c r="P41" s="16">
        <v>0.47589999999999999</v>
      </c>
      <c r="Q41" s="16"/>
      <c r="R41" s="17">
        <f t="shared" si="29"/>
        <v>844691.33750000002</v>
      </c>
      <c r="S41" s="17">
        <f t="shared" si="9"/>
        <v>119691.33750000001</v>
      </c>
      <c r="T41" s="18">
        <f t="shared" si="10"/>
        <v>-108683.66249999998</v>
      </c>
    </row>
    <row r="42" spans="1:20" ht="15.75" customHeight="1" x14ac:dyDescent="0.35">
      <c r="A42" s="19">
        <v>32</v>
      </c>
      <c r="B42" s="19" t="s">
        <v>70</v>
      </c>
      <c r="C42" s="3" t="s">
        <v>71</v>
      </c>
      <c r="D42" s="2" t="s">
        <v>75</v>
      </c>
      <c r="E42" s="10">
        <v>832</v>
      </c>
      <c r="F42" s="10">
        <v>680000</v>
      </c>
      <c r="G42" s="11">
        <v>0.32200000000000001</v>
      </c>
      <c r="H42" s="12">
        <f t="shared" si="21"/>
        <v>898960</v>
      </c>
      <c r="I42" s="13">
        <f t="shared" si="22"/>
        <v>218960</v>
      </c>
      <c r="J42" s="14">
        <f t="shared" si="23"/>
        <v>0.32200000000000001</v>
      </c>
      <c r="K42" s="13">
        <f t="shared" si="24"/>
        <v>817.30769230769226</v>
      </c>
      <c r="L42" s="13">
        <f t="shared" si="25"/>
        <v>1080.4807692307693</v>
      </c>
      <c r="M42" s="13">
        <f t="shared" si="26"/>
        <v>263.17307692307702</v>
      </c>
      <c r="N42" s="15">
        <f t="shared" si="27"/>
        <v>378.18181818181813</v>
      </c>
      <c r="O42" s="13">
        <f t="shared" si="28"/>
        <v>219345.45454545453</v>
      </c>
      <c r="P42" s="16">
        <v>0.47589999999999999</v>
      </c>
      <c r="Q42" s="16"/>
      <c r="R42" s="17">
        <f t="shared" si="29"/>
        <v>794756.93599999999</v>
      </c>
      <c r="S42" s="17">
        <f t="shared" si="9"/>
        <v>114756.936</v>
      </c>
      <c r="T42" s="18">
        <f t="shared" si="10"/>
        <v>-104203.06400000001</v>
      </c>
    </row>
    <row r="43" spans="1:20" ht="15.75" customHeight="1" x14ac:dyDescent="0.35">
      <c r="A43" s="9">
        <v>33</v>
      </c>
      <c r="B43" s="9" t="s">
        <v>70</v>
      </c>
      <c r="C43" s="5" t="s">
        <v>71</v>
      </c>
      <c r="D43" s="4" t="s">
        <v>76</v>
      </c>
      <c r="E43" s="10">
        <v>847</v>
      </c>
      <c r="F43" s="10">
        <v>680000</v>
      </c>
      <c r="G43" s="11">
        <v>0.32800000000000001</v>
      </c>
      <c r="H43" s="12">
        <f t="shared" si="21"/>
        <v>903040</v>
      </c>
      <c r="I43" s="13">
        <f t="shared" si="22"/>
        <v>223040</v>
      </c>
      <c r="J43" s="14">
        <f t="shared" si="23"/>
        <v>0.32800000000000001</v>
      </c>
      <c r="K43" s="13">
        <f t="shared" si="24"/>
        <v>802.8335301062574</v>
      </c>
      <c r="L43" s="13">
        <f t="shared" si="25"/>
        <v>1066.1629279811098</v>
      </c>
      <c r="M43" s="13">
        <f t="shared" si="26"/>
        <v>263.32939787485236</v>
      </c>
      <c r="N43" s="15">
        <f t="shared" si="27"/>
        <v>384.99999999999994</v>
      </c>
      <c r="O43" s="13">
        <f t="shared" si="28"/>
        <v>223299.99999999997</v>
      </c>
      <c r="P43" s="16">
        <v>0.47589999999999999</v>
      </c>
      <c r="Q43" s="16"/>
      <c r="R43" s="17">
        <f t="shared" si="29"/>
        <v>796895.26399999997</v>
      </c>
      <c r="S43" s="17">
        <f t="shared" si="9"/>
        <v>116895.264</v>
      </c>
      <c r="T43" s="18">
        <f t="shared" si="10"/>
        <v>-106144.73600000003</v>
      </c>
    </row>
    <row r="44" spans="1:20" ht="15.75" customHeight="1" x14ac:dyDescent="0.35">
      <c r="A44" s="19">
        <v>34</v>
      </c>
      <c r="B44" s="19" t="s">
        <v>70</v>
      </c>
      <c r="C44" s="3" t="s">
        <v>71</v>
      </c>
      <c r="D44" s="2" t="s">
        <v>77</v>
      </c>
      <c r="E44" s="10">
        <v>892</v>
      </c>
      <c r="F44" s="10">
        <v>736000</v>
      </c>
      <c r="G44" s="11">
        <v>0.32</v>
      </c>
      <c r="H44" s="12">
        <f t="shared" si="21"/>
        <v>971520</v>
      </c>
      <c r="I44" s="13">
        <f t="shared" si="22"/>
        <v>235520</v>
      </c>
      <c r="J44" s="14">
        <f t="shared" si="23"/>
        <v>0.32</v>
      </c>
      <c r="K44" s="13">
        <f t="shared" si="24"/>
        <v>825.11210762331837</v>
      </c>
      <c r="L44" s="13">
        <f t="shared" si="25"/>
        <v>1089.1479820627803</v>
      </c>
      <c r="M44" s="13">
        <f t="shared" si="26"/>
        <v>264.03587443946196</v>
      </c>
      <c r="N44" s="15">
        <f t="shared" si="27"/>
        <v>405.45454545454544</v>
      </c>
      <c r="O44" s="13">
        <f t="shared" si="28"/>
        <v>235163.63636363635</v>
      </c>
      <c r="P44" s="16">
        <v>0.47589999999999999</v>
      </c>
      <c r="Q44" s="16"/>
      <c r="R44" s="17">
        <f t="shared" si="29"/>
        <v>859436.03200000001</v>
      </c>
      <c r="S44" s="17">
        <f t="shared" si="9"/>
        <v>123436.03200000001</v>
      </c>
      <c r="T44" s="18">
        <f t="shared" si="10"/>
        <v>-112083.96799999999</v>
      </c>
    </row>
    <row r="45" spans="1:20" ht="15.75" customHeight="1" x14ac:dyDescent="0.35">
      <c r="A45" s="9">
        <v>35</v>
      </c>
      <c r="B45" s="9" t="s">
        <v>70</v>
      </c>
      <c r="C45" s="5" t="s">
        <v>71</v>
      </c>
      <c r="D45" s="4" t="s">
        <v>78</v>
      </c>
      <c r="E45" s="10">
        <v>847</v>
      </c>
      <c r="F45" s="10">
        <v>680000</v>
      </c>
      <c r="G45" s="11">
        <v>0.32800000000000001</v>
      </c>
      <c r="H45" s="12">
        <f t="shared" si="21"/>
        <v>903040</v>
      </c>
      <c r="I45" s="13">
        <f t="shared" si="22"/>
        <v>223040</v>
      </c>
      <c r="J45" s="14">
        <f t="shared" si="23"/>
        <v>0.32800000000000001</v>
      </c>
      <c r="K45" s="13">
        <f t="shared" si="24"/>
        <v>802.8335301062574</v>
      </c>
      <c r="L45" s="13">
        <f t="shared" si="25"/>
        <v>1066.1629279811098</v>
      </c>
      <c r="M45" s="13">
        <f t="shared" si="26"/>
        <v>263.32939787485236</v>
      </c>
      <c r="N45" s="15">
        <f t="shared" si="27"/>
        <v>384.99999999999994</v>
      </c>
      <c r="O45" s="13">
        <f t="shared" si="28"/>
        <v>223299.99999999997</v>
      </c>
      <c r="P45" s="16">
        <v>0.47589999999999999</v>
      </c>
      <c r="Q45" s="16"/>
      <c r="R45" s="17">
        <f t="shared" si="29"/>
        <v>796895.26399999997</v>
      </c>
      <c r="S45" s="17">
        <f t="shared" si="9"/>
        <v>116895.264</v>
      </c>
      <c r="T45" s="18">
        <f t="shared" si="10"/>
        <v>-106144.73600000003</v>
      </c>
    </row>
    <row r="46" spans="1:20" ht="15.75" customHeight="1" x14ac:dyDescent="0.35">
      <c r="A46" s="19">
        <v>36</v>
      </c>
      <c r="B46" s="19" t="s">
        <v>70</v>
      </c>
      <c r="C46" s="3" t="s">
        <v>71</v>
      </c>
      <c r="D46" s="2" t="s">
        <v>79</v>
      </c>
      <c r="E46" s="10">
        <v>893</v>
      </c>
      <c r="F46" s="10">
        <v>736000</v>
      </c>
      <c r="G46" s="11">
        <v>0.32</v>
      </c>
      <c r="H46" s="12">
        <f t="shared" si="21"/>
        <v>971520</v>
      </c>
      <c r="I46" s="13">
        <f t="shared" si="22"/>
        <v>235520</v>
      </c>
      <c r="J46" s="14">
        <f t="shared" si="23"/>
        <v>0.32</v>
      </c>
      <c r="K46" s="13">
        <f t="shared" si="24"/>
        <v>824.18812989921616</v>
      </c>
      <c r="L46" s="13">
        <f t="shared" si="25"/>
        <v>1087.9283314669653</v>
      </c>
      <c r="M46" s="13">
        <f t="shared" si="26"/>
        <v>263.74020156774918</v>
      </c>
      <c r="N46" s="15">
        <f t="shared" si="27"/>
        <v>405.90909090909088</v>
      </c>
      <c r="O46" s="13">
        <f t="shared" si="28"/>
        <v>235427.27272727271</v>
      </c>
      <c r="P46" s="16">
        <v>0.47589999999999999</v>
      </c>
      <c r="Q46" s="16"/>
      <c r="R46" s="17">
        <f t="shared" si="29"/>
        <v>859436.03200000001</v>
      </c>
      <c r="S46" s="17">
        <f t="shared" si="9"/>
        <v>123436.03200000001</v>
      </c>
      <c r="T46" s="18">
        <f t="shared" si="10"/>
        <v>-112083.96799999999</v>
      </c>
    </row>
    <row r="47" spans="1:20" ht="15.75" customHeight="1" x14ac:dyDescent="0.35">
      <c r="A47" s="9">
        <v>37</v>
      </c>
      <c r="B47" s="9" t="s">
        <v>70</v>
      </c>
      <c r="C47" s="5" t="s">
        <v>71</v>
      </c>
      <c r="D47" s="4" t="s">
        <v>80</v>
      </c>
      <c r="E47" s="10">
        <v>830</v>
      </c>
      <c r="F47" s="10">
        <v>680000</v>
      </c>
      <c r="G47" s="11">
        <v>0.32200000000000001</v>
      </c>
      <c r="H47" s="12">
        <f t="shared" si="21"/>
        <v>898960</v>
      </c>
      <c r="I47" s="13">
        <f t="shared" si="22"/>
        <v>218960</v>
      </c>
      <c r="J47" s="14">
        <f t="shared" si="23"/>
        <v>0.32200000000000001</v>
      </c>
      <c r="K47" s="13">
        <f t="shared" si="24"/>
        <v>819.27710843373495</v>
      </c>
      <c r="L47" s="13">
        <f t="shared" si="25"/>
        <v>1083.0843373493976</v>
      </c>
      <c r="M47" s="13">
        <f t="shared" si="26"/>
        <v>263.80722891566268</v>
      </c>
      <c r="N47" s="15">
        <f t="shared" si="27"/>
        <v>377.27272727272725</v>
      </c>
      <c r="O47" s="13">
        <f t="shared" si="28"/>
        <v>218818.18181818179</v>
      </c>
      <c r="P47" s="16">
        <v>0.47589999999999999</v>
      </c>
      <c r="Q47" s="16"/>
      <c r="R47" s="17">
        <f t="shared" si="29"/>
        <v>794756.93599999999</v>
      </c>
      <c r="S47" s="17">
        <f t="shared" si="9"/>
        <v>114756.936</v>
      </c>
      <c r="T47" s="18">
        <f t="shared" si="10"/>
        <v>-104203.06400000001</v>
      </c>
    </row>
    <row r="48" spans="1:20" ht="15.75" customHeight="1" x14ac:dyDescent="0.35">
      <c r="A48" s="19">
        <v>38</v>
      </c>
      <c r="B48" s="19" t="s">
        <v>70</v>
      </c>
      <c r="C48" s="3" t="s">
        <v>71</v>
      </c>
      <c r="D48" s="2" t="s">
        <v>81</v>
      </c>
      <c r="E48" s="10">
        <v>869</v>
      </c>
      <c r="F48" s="10">
        <v>680000</v>
      </c>
      <c r="G48" s="11">
        <v>0.33700000000000002</v>
      </c>
      <c r="H48" s="12">
        <f t="shared" si="21"/>
        <v>909160</v>
      </c>
      <c r="I48" s="13">
        <f t="shared" si="22"/>
        <v>229160</v>
      </c>
      <c r="J48" s="14">
        <f t="shared" si="23"/>
        <v>0.33700000000000002</v>
      </c>
      <c r="K48" s="13">
        <f t="shared" si="24"/>
        <v>782.50863060989639</v>
      </c>
      <c r="L48" s="13">
        <f t="shared" si="25"/>
        <v>1046.2140391254316</v>
      </c>
      <c r="M48" s="13">
        <f t="shared" si="26"/>
        <v>263.70540851553517</v>
      </c>
      <c r="N48" s="15">
        <f t="shared" si="27"/>
        <v>394.99999999999994</v>
      </c>
      <c r="O48" s="13">
        <f t="shared" si="28"/>
        <v>229099.99999999997</v>
      </c>
      <c r="P48" s="16">
        <v>0.47589999999999999</v>
      </c>
      <c r="Q48" s="16"/>
      <c r="R48" s="17">
        <f t="shared" si="29"/>
        <v>800102.75600000005</v>
      </c>
      <c r="S48" s="17">
        <f t="shared" si="9"/>
        <v>120102.75600000001</v>
      </c>
      <c r="T48" s="18">
        <f t="shared" si="10"/>
        <v>-109057.24399999995</v>
      </c>
    </row>
    <row r="49" spans="1:20" ht="15.75" customHeight="1" x14ac:dyDescent="0.35">
      <c r="A49" s="9">
        <v>39</v>
      </c>
      <c r="B49" s="9" t="s">
        <v>70</v>
      </c>
      <c r="C49" s="5" t="s">
        <v>71</v>
      </c>
      <c r="D49" s="4" t="s">
        <v>82</v>
      </c>
      <c r="E49" s="10">
        <v>914</v>
      </c>
      <c r="F49" s="10">
        <v>745000</v>
      </c>
      <c r="G49" s="11">
        <v>0.32300000000000001</v>
      </c>
      <c r="H49" s="12">
        <f t="shared" si="21"/>
        <v>985635</v>
      </c>
      <c r="I49" s="13">
        <f t="shared" si="22"/>
        <v>240635</v>
      </c>
      <c r="J49" s="14">
        <f t="shared" si="23"/>
        <v>0.32300000000000001</v>
      </c>
      <c r="K49" s="13">
        <f t="shared" si="24"/>
        <v>815.09846827133481</v>
      </c>
      <c r="L49" s="13">
        <f t="shared" si="25"/>
        <v>1078.3752735229759</v>
      </c>
      <c r="M49" s="13">
        <f t="shared" si="26"/>
        <v>263.27680525164112</v>
      </c>
      <c r="N49" s="15">
        <f t="shared" si="27"/>
        <v>415.45454545454544</v>
      </c>
      <c r="O49" s="13">
        <f t="shared" si="28"/>
        <v>240963.63636363635</v>
      </c>
      <c r="P49" s="16">
        <v>0.47589999999999999</v>
      </c>
      <c r="Q49" s="16"/>
      <c r="R49" s="17">
        <f t="shared" si="29"/>
        <v>871116.80350000004</v>
      </c>
      <c r="S49" s="17">
        <f t="shared" si="9"/>
        <v>126116.80350000001</v>
      </c>
      <c r="T49" s="18">
        <f t="shared" si="10"/>
        <v>-114518.19649999996</v>
      </c>
    </row>
    <row r="50" spans="1:20" ht="15.75" customHeight="1" x14ac:dyDescent="0.35">
      <c r="A50" s="19">
        <v>40</v>
      </c>
      <c r="B50" s="19" t="s">
        <v>70</v>
      </c>
      <c r="C50" s="3" t="s">
        <v>71</v>
      </c>
      <c r="D50" s="2" t="s">
        <v>83</v>
      </c>
      <c r="E50" s="10">
        <v>870</v>
      </c>
      <c r="F50" s="10">
        <v>725000</v>
      </c>
      <c r="G50" s="11">
        <v>0.317</v>
      </c>
      <c r="H50" s="12">
        <f t="shared" si="21"/>
        <v>954825</v>
      </c>
      <c r="I50" s="13">
        <f t="shared" si="22"/>
        <v>229825</v>
      </c>
      <c r="J50" s="14">
        <f t="shared" si="23"/>
        <v>0.317</v>
      </c>
      <c r="K50" s="13">
        <f t="shared" si="24"/>
        <v>833.33333333333337</v>
      </c>
      <c r="L50" s="13">
        <f t="shared" si="25"/>
        <v>1097.5</v>
      </c>
      <c r="M50" s="13">
        <f t="shared" si="26"/>
        <v>264.16666666666663</v>
      </c>
      <c r="N50" s="15">
        <f t="shared" si="27"/>
        <v>395.45454545454544</v>
      </c>
      <c r="O50" s="13">
        <f t="shared" si="28"/>
        <v>229363.63636363635</v>
      </c>
      <c r="P50" s="16">
        <v>0.47589999999999999</v>
      </c>
      <c r="Q50" s="16"/>
      <c r="R50" s="17">
        <f t="shared" si="29"/>
        <v>845451.28249999997</v>
      </c>
      <c r="S50" s="17">
        <f t="shared" si="9"/>
        <v>120451.2825</v>
      </c>
      <c r="T50" s="18">
        <f t="shared" si="10"/>
        <v>-109373.71750000003</v>
      </c>
    </row>
    <row r="51" spans="1:20" ht="15.75" customHeight="1" x14ac:dyDescent="0.35">
      <c r="A51" s="9">
        <v>41</v>
      </c>
      <c r="B51" s="9" t="s">
        <v>70</v>
      </c>
      <c r="C51" s="5" t="s">
        <v>71</v>
      </c>
      <c r="D51" s="4" t="s">
        <v>84</v>
      </c>
      <c r="E51" s="10">
        <v>887</v>
      </c>
      <c r="F51" s="10">
        <v>736000</v>
      </c>
      <c r="G51" s="11">
        <v>0.318</v>
      </c>
      <c r="H51" s="12">
        <f t="shared" si="21"/>
        <v>970048</v>
      </c>
      <c r="I51" s="13">
        <f t="shared" si="22"/>
        <v>234048</v>
      </c>
      <c r="J51" s="14">
        <f t="shared" si="23"/>
        <v>0.318</v>
      </c>
      <c r="K51" s="13">
        <f t="shared" si="24"/>
        <v>829.76324689966179</v>
      </c>
      <c r="L51" s="13">
        <f t="shared" si="25"/>
        <v>1093.6279594137543</v>
      </c>
      <c r="M51" s="13">
        <f t="shared" si="26"/>
        <v>263.8647125140925</v>
      </c>
      <c r="N51" s="15">
        <f t="shared" si="27"/>
        <v>403.18181818181813</v>
      </c>
      <c r="O51" s="13">
        <f t="shared" si="28"/>
        <v>233845.45454545453</v>
      </c>
      <c r="P51" s="16">
        <v>0.47589999999999999</v>
      </c>
      <c r="Q51" s="16"/>
      <c r="R51" s="17">
        <f t="shared" si="29"/>
        <v>858664.55680000002</v>
      </c>
      <c r="S51" s="17">
        <f t="shared" si="9"/>
        <v>122664.55680000001</v>
      </c>
      <c r="T51" s="18">
        <f t="shared" si="10"/>
        <v>-111383.44319999998</v>
      </c>
    </row>
    <row r="52" spans="1:20" ht="15.75" customHeight="1" x14ac:dyDescent="0.35">
      <c r="A52" s="19">
        <v>42</v>
      </c>
      <c r="B52" s="19" t="s">
        <v>70</v>
      </c>
      <c r="C52" s="3" t="s">
        <v>71</v>
      </c>
      <c r="D52" s="2" t="s">
        <v>85</v>
      </c>
      <c r="E52" s="10">
        <v>875</v>
      </c>
      <c r="F52" s="10">
        <v>725000</v>
      </c>
      <c r="G52" s="11">
        <v>0.318</v>
      </c>
      <c r="H52" s="12">
        <f t="shared" si="21"/>
        <v>955550</v>
      </c>
      <c r="I52" s="13">
        <f t="shared" si="22"/>
        <v>230550</v>
      </c>
      <c r="J52" s="14">
        <f t="shared" si="23"/>
        <v>0.318</v>
      </c>
      <c r="K52" s="13">
        <f t="shared" si="24"/>
        <v>828.57142857142856</v>
      </c>
      <c r="L52" s="13">
        <f t="shared" si="25"/>
        <v>1092.0571428571429</v>
      </c>
      <c r="M52" s="13">
        <f t="shared" si="26"/>
        <v>263.48571428571438</v>
      </c>
      <c r="N52" s="15">
        <f t="shared" si="27"/>
        <v>397.72727272727269</v>
      </c>
      <c r="O52" s="13">
        <f t="shared" si="28"/>
        <v>230681.81818181815</v>
      </c>
      <c r="P52" s="16">
        <v>0.47589999999999999</v>
      </c>
      <c r="Q52" s="16"/>
      <c r="R52" s="17">
        <f t="shared" si="29"/>
        <v>845831.255</v>
      </c>
      <c r="S52" s="17">
        <f t="shared" si="9"/>
        <v>120831.255</v>
      </c>
      <c r="T52" s="18">
        <f t="shared" si="10"/>
        <v>-109718.745</v>
      </c>
    </row>
    <row r="53" spans="1:20" ht="15.75" customHeight="1" x14ac:dyDescent="0.35">
      <c r="A53" s="9">
        <v>43</v>
      </c>
      <c r="B53" s="9" t="s">
        <v>70</v>
      </c>
      <c r="C53" s="5" t="s">
        <v>71</v>
      </c>
      <c r="D53" s="4" t="s">
        <v>86</v>
      </c>
      <c r="E53" s="10">
        <v>909</v>
      </c>
      <c r="F53" s="10">
        <v>745000</v>
      </c>
      <c r="G53" s="11">
        <v>0.32200000000000001</v>
      </c>
      <c r="H53" s="12">
        <f t="shared" si="21"/>
        <v>984890</v>
      </c>
      <c r="I53" s="13">
        <f t="shared" si="22"/>
        <v>239890</v>
      </c>
      <c r="J53" s="14">
        <f t="shared" si="23"/>
        <v>0.32200000000000001</v>
      </c>
      <c r="K53" s="13">
        <f t="shared" si="24"/>
        <v>819.58195819581954</v>
      </c>
      <c r="L53" s="13">
        <f t="shared" si="25"/>
        <v>1083.4873487348734</v>
      </c>
      <c r="M53" s="13">
        <f t="shared" si="26"/>
        <v>263.90539053905388</v>
      </c>
      <c r="N53" s="15">
        <f t="shared" si="27"/>
        <v>413.18181818181813</v>
      </c>
      <c r="O53" s="13">
        <f t="shared" si="28"/>
        <v>239645.45454545453</v>
      </c>
      <c r="P53" s="16">
        <v>0.47589999999999999</v>
      </c>
      <c r="Q53" s="16"/>
      <c r="R53" s="17">
        <f t="shared" si="29"/>
        <v>870726.34900000005</v>
      </c>
      <c r="S53" s="17">
        <f t="shared" si="9"/>
        <v>125726.349</v>
      </c>
      <c r="T53" s="18">
        <f t="shared" si="10"/>
        <v>-114163.65099999995</v>
      </c>
    </row>
    <row r="54" spans="1:20" ht="15.75" customHeight="1" x14ac:dyDescent="0.35">
      <c r="A54" s="19">
        <v>44</v>
      </c>
      <c r="B54" s="19" t="s">
        <v>70</v>
      </c>
      <c r="C54" s="3" t="s">
        <v>71</v>
      </c>
      <c r="D54" s="2" t="s">
        <v>87</v>
      </c>
      <c r="E54" s="10">
        <v>823</v>
      </c>
      <c r="F54" s="10">
        <v>680000</v>
      </c>
      <c r="G54" s="11">
        <v>0.32</v>
      </c>
      <c r="H54" s="12">
        <f t="shared" si="21"/>
        <v>897600</v>
      </c>
      <c r="I54" s="13">
        <f t="shared" si="22"/>
        <v>217600</v>
      </c>
      <c r="J54" s="14">
        <f t="shared" si="23"/>
        <v>0.32</v>
      </c>
      <c r="K54" s="13">
        <f t="shared" si="24"/>
        <v>826.24544349939242</v>
      </c>
      <c r="L54" s="13">
        <f t="shared" si="25"/>
        <v>1090.6439854191981</v>
      </c>
      <c r="M54" s="13">
        <f t="shared" si="26"/>
        <v>264.39854191980567</v>
      </c>
      <c r="N54" s="15">
        <f t="shared" si="27"/>
        <v>374.09090909090907</v>
      </c>
      <c r="O54" s="13">
        <f t="shared" si="28"/>
        <v>216972.72727272726</v>
      </c>
      <c r="P54" s="16">
        <v>0.47589999999999999</v>
      </c>
      <c r="Q54" s="16"/>
      <c r="R54" s="17">
        <f t="shared" si="29"/>
        <v>794044.16</v>
      </c>
      <c r="S54" s="17">
        <f t="shared" si="9"/>
        <v>114044.16</v>
      </c>
      <c r="T54" s="18">
        <f t="shared" si="10"/>
        <v>-103555.83999999997</v>
      </c>
    </row>
    <row r="55" spans="1:20" ht="15.75" customHeight="1" x14ac:dyDescent="0.35">
      <c r="A55" s="9">
        <v>45</v>
      </c>
      <c r="B55" s="9" t="s">
        <v>70</v>
      </c>
      <c r="C55" s="5" t="s">
        <v>71</v>
      </c>
      <c r="D55" s="4" t="s">
        <v>88</v>
      </c>
      <c r="E55" s="10">
        <v>885</v>
      </c>
      <c r="F55" s="10">
        <v>736000</v>
      </c>
      <c r="G55" s="11">
        <v>0.317</v>
      </c>
      <c r="H55" s="12">
        <f t="shared" si="21"/>
        <v>969312</v>
      </c>
      <c r="I55" s="13">
        <f t="shared" si="22"/>
        <v>233312</v>
      </c>
      <c r="J55" s="14">
        <f t="shared" si="23"/>
        <v>0.317</v>
      </c>
      <c r="K55" s="13">
        <f t="shared" si="24"/>
        <v>831.63841807909603</v>
      </c>
      <c r="L55" s="13">
        <f t="shared" si="25"/>
        <v>1095.2677966101694</v>
      </c>
      <c r="M55" s="13">
        <f t="shared" si="26"/>
        <v>263.62937853107337</v>
      </c>
      <c r="N55" s="15">
        <f t="shared" si="27"/>
        <v>402.27272727272725</v>
      </c>
      <c r="O55" s="13">
        <f t="shared" si="28"/>
        <v>233318.18181818179</v>
      </c>
      <c r="P55" s="16">
        <v>0.47589999999999999</v>
      </c>
      <c r="Q55" s="16"/>
      <c r="R55" s="17">
        <f t="shared" si="29"/>
        <v>858278.81920000003</v>
      </c>
      <c r="S55" s="17">
        <f t="shared" si="9"/>
        <v>122278.8192</v>
      </c>
      <c r="T55" s="18">
        <f t="shared" si="10"/>
        <v>-111033.18079999997</v>
      </c>
    </row>
    <row r="56" spans="1:20" ht="15.75" customHeight="1" x14ac:dyDescent="0.35">
      <c r="A56" s="19">
        <v>46</v>
      </c>
      <c r="B56" s="19" t="s">
        <v>70</v>
      </c>
      <c r="C56" s="3" t="s">
        <v>71</v>
      </c>
      <c r="D56" s="2" t="s">
        <v>89</v>
      </c>
      <c r="E56" s="10">
        <v>803</v>
      </c>
      <c r="F56" s="10">
        <v>667000</v>
      </c>
      <c r="G56" s="11">
        <v>0.317</v>
      </c>
      <c r="H56" s="12">
        <f t="shared" si="21"/>
        <v>878439</v>
      </c>
      <c r="I56" s="13">
        <f t="shared" si="22"/>
        <v>211439</v>
      </c>
      <c r="J56" s="14">
        <f t="shared" si="23"/>
        <v>0.317</v>
      </c>
      <c r="K56" s="13">
        <f t="shared" si="24"/>
        <v>830.63511830635116</v>
      </c>
      <c r="L56" s="13">
        <f t="shared" si="25"/>
        <v>1093.9464508094645</v>
      </c>
      <c r="M56" s="13">
        <f t="shared" si="26"/>
        <v>263.31133250311336</v>
      </c>
      <c r="N56" s="15">
        <f t="shared" si="27"/>
        <v>364.99999999999994</v>
      </c>
      <c r="O56" s="13">
        <f t="shared" si="28"/>
        <v>211699.99999999997</v>
      </c>
      <c r="P56" s="16">
        <v>0.47589999999999999</v>
      </c>
      <c r="Q56" s="16"/>
      <c r="R56" s="17">
        <f t="shared" si="29"/>
        <v>777815.17989999999</v>
      </c>
      <c r="S56" s="17">
        <f t="shared" si="9"/>
        <v>110815.1799</v>
      </c>
      <c r="T56" s="18">
        <f t="shared" si="10"/>
        <v>-100623.82010000001</v>
      </c>
    </row>
    <row r="57" spans="1:20" ht="18" customHeight="1" x14ac:dyDescent="0.35">
      <c r="A57" s="25" t="s">
        <v>90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7"/>
      <c r="S57" s="17">
        <f t="shared" si="9"/>
        <v>0</v>
      </c>
      <c r="T57" s="18">
        <f t="shared" si="10"/>
        <v>0</v>
      </c>
    </row>
    <row r="58" spans="1:20" ht="15.75" customHeight="1" x14ac:dyDescent="0.35">
      <c r="A58" s="19">
        <v>47</v>
      </c>
      <c r="B58" s="19" t="s">
        <v>91</v>
      </c>
      <c r="C58" s="3" t="s">
        <v>92</v>
      </c>
      <c r="D58" s="2" t="s">
        <v>93</v>
      </c>
      <c r="E58" s="10">
        <v>998</v>
      </c>
      <c r="F58" s="10">
        <v>930000</v>
      </c>
      <c r="G58" s="11">
        <v>0.317</v>
      </c>
      <c r="H58" s="12">
        <f t="shared" ref="H58:H82" si="30">F58*(1+G58)</f>
        <v>1224810</v>
      </c>
      <c r="I58" s="13">
        <f t="shared" ref="I58:I82" si="31">H58-F58</f>
        <v>294810</v>
      </c>
      <c r="J58" s="14">
        <f t="shared" ref="J58:J82" si="32">I58/F58</f>
        <v>0.317</v>
      </c>
      <c r="K58" s="13">
        <f t="shared" ref="K58:K82" si="33">F58/E58</f>
        <v>931.86372745490985</v>
      </c>
      <c r="L58" s="13">
        <f t="shared" ref="L58:L82" si="34">H58/E58</f>
        <v>1227.2645290581163</v>
      </c>
      <c r="M58" s="13">
        <f t="shared" ref="M58:M82" si="35">L58-K58</f>
        <v>295.40080160320645</v>
      </c>
      <c r="N58" s="15">
        <f t="shared" ref="N58:N82" si="36">E58/2.2</f>
        <v>453.63636363636363</v>
      </c>
      <c r="O58" s="13">
        <f t="shared" ref="O58:O82" si="37">N58*580</f>
        <v>263109.09090909088</v>
      </c>
      <c r="P58" s="16">
        <v>0.47589999999999999</v>
      </c>
      <c r="Q58" s="16"/>
      <c r="R58" s="17">
        <f t="shared" ref="R58:R82" si="38">+F58+S58</f>
        <v>1084509.9210000001</v>
      </c>
      <c r="S58" s="17">
        <f t="shared" si="9"/>
        <v>154509.921</v>
      </c>
      <c r="T58" s="18">
        <f t="shared" si="10"/>
        <v>-140300.07899999991</v>
      </c>
    </row>
    <row r="59" spans="1:20" ht="15.75" customHeight="1" x14ac:dyDescent="0.35">
      <c r="A59" s="9">
        <v>48</v>
      </c>
      <c r="B59" s="9" t="s">
        <v>91</v>
      </c>
      <c r="C59" s="5" t="s">
        <v>92</v>
      </c>
      <c r="D59" s="4" t="s">
        <v>94</v>
      </c>
      <c r="E59" s="10">
        <v>916</v>
      </c>
      <c r="F59" s="10">
        <v>860000</v>
      </c>
      <c r="G59" s="11">
        <v>0.28000000000000003</v>
      </c>
      <c r="H59" s="12">
        <f t="shared" si="30"/>
        <v>1100800</v>
      </c>
      <c r="I59" s="13">
        <f t="shared" si="31"/>
        <v>240800</v>
      </c>
      <c r="J59" s="14">
        <f t="shared" si="32"/>
        <v>0.28000000000000003</v>
      </c>
      <c r="K59" s="13">
        <f t="shared" si="33"/>
        <v>938.86462882096066</v>
      </c>
      <c r="L59" s="13">
        <f t="shared" si="34"/>
        <v>1201.7467248908297</v>
      </c>
      <c r="M59" s="13">
        <f t="shared" si="35"/>
        <v>262.88209606986902</v>
      </c>
      <c r="N59" s="15">
        <f t="shared" si="36"/>
        <v>416.36363636363632</v>
      </c>
      <c r="O59" s="13">
        <f t="shared" si="37"/>
        <v>241490.90909090906</v>
      </c>
      <c r="P59" s="16">
        <v>0.47589999999999999</v>
      </c>
      <c r="Q59" s="16"/>
      <c r="R59" s="17">
        <f t="shared" si="38"/>
        <v>986203.28</v>
      </c>
      <c r="S59" s="17">
        <f t="shared" si="9"/>
        <v>126203.28</v>
      </c>
      <c r="T59" s="18">
        <f t="shared" si="10"/>
        <v>-114596.71999999997</v>
      </c>
    </row>
    <row r="60" spans="1:20" ht="15.75" customHeight="1" x14ac:dyDescent="0.35">
      <c r="A60" s="19">
        <v>49</v>
      </c>
      <c r="B60" s="19" t="s">
        <v>91</v>
      </c>
      <c r="C60" s="3" t="s">
        <v>92</v>
      </c>
      <c r="D60" s="2" t="s">
        <v>95</v>
      </c>
      <c r="E60" s="10">
        <v>918</v>
      </c>
      <c r="F60" s="10">
        <v>860000</v>
      </c>
      <c r="G60" s="11">
        <v>0.28199999999999997</v>
      </c>
      <c r="H60" s="12">
        <f t="shared" si="30"/>
        <v>1102520</v>
      </c>
      <c r="I60" s="13">
        <f t="shared" si="31"/>
        <v>242520</v>
      </c>
      <c r="J60" s="14">
        <f t="shared" si="32"/>
        <v>0.28199999999999997</v>
      </c>
      <c r="K60" s="13">
        <f t="shared" si="33"/>
        <v>936.81917211328971</v>
      </c>
      <c r="L60" s="13">
        <f t="shared" si="34"/>
        <v>1201.0021786492375</v>
      </c>
      <c r="M60" s="13">
        <f t="shared" si="35"/>
        <v>264.18300653594781</v>
      </c>
      <c r="N60" s="15">
        <f t="shared" si="36"/>
        <v>417.27272727272725</v>
      </c>
      <c r="O60" s="13">
        <f t="shared" si="37"/>
        <v>242018.18181818179</v>
      </c>
      <c r="P60" s="16">
        <v>0.47589999999999999</v>
      </c>
      <c r="Q60" s="16"/>
      <c r="R60" s="17">
        <f t="shared" si="38"/>
        <v>987104.73199999996</v>
      </c>
      <c r="S60" s="17">
        <f t="shared" si="9"/>
        <v>127104.732</v>
      </c>
      <c r="T60" s="18">
        <f t="shared" si="10"/>
        <v>-115415.26800000004</v>
      </c>
    </row>
    <row r="61" spans="1:20" ht="15.75" customHeight="1" x14ac:dyDescent="0.35">
      <c r="A61" s="9">
        <v>50</v>
      </c>
      <c r="B61" s="9" t="s">
        <v>91</v>
      </c>
      <c r="C61" s="5" t="s">
        <v>92</v>
      </c>
      <c r="D61" s="4" t="s">
        <v>96</v>
      </c>
      <c r="E61" s="10">
        <v>955</v>
      </c>
      <c r="F61" s="10">
        <v>874000</v>
      </c>
      <c r="G61" s="11">
        <v>0.28799999999999998</v>
      </c>
      <c r="H61" s="12">
        <f t="shared" si="30"/>
        <v>1125712</v>
      </c>
      <c r="I61" s="13">
        <f t="shared" si="31"/>
        <v>251712</v>
      </c>
      <c r="J61" s="14">
        <f t="shared" si="32"/>
        <v>0.28799999999999998</v>
      </c>
      <c r="K61" s="13">
        <f t="shared" si="33"/>
        <v>915.18324607329839</v>
      </c>
      <c r="L61" s="13">
        <f t="shared" si="34"/>
        <v>1178.7560209424084</v>
      </c>
      <c r="M61" s="13">
        <f t="shared" si="35"/>
        <v>263.57277486911005</v>
      </c>
      <c r="N61" s="15">
        <f t="shared" si="36"/>
        <v>434.09090909090907</v>
      </c>
      <c r="O61" s="13">
        <f t="shared" si="37"/>
        <v>251772.72727272726</v>
      </c>
      <c r="P61" s="16">
        <v>0.47589999999999999</v>
      </c>
      <c r="Q61" s="16"/>
      <c r="R61" s="17">
        <f t="shared" si="38"/>
        <v>1005922.2592</v>
      </c>
      <c r="S61" s="17">
        <f t="shared" si="9"/>
        <v>131922.2592</v>
      </c>
      <c r="T61" s="18">
        <f t="shared" si="10"/>
        <v>-119789.74080000003</v>
      </c>
    </row>
    <row r="62" spans="1:20" ht="15.75" customHeight="1" x14ac:dyDescent="0.35">
      <c r="A62" s="19">
        <v>51</v>
      </c>
      <c r="B62" s="19" t="s">
        <v>91</v>
      </c>
      <c r="C62" s="3" t="s">
        <v>92</v>
      </c>
      <c r="D62" s="2" t="s">
        <v>97</v>
      </c>
      <c r="E62" s="10">
        <v>958</v>
      </c>
      <c r="F62" s="10">
        <v>874000</v>
      </c>
      <c r="G62" s="11">
        <v>0.28799999999999998</v>
      </c>
      <c r="H62" s="12">
        <f t="shared" si="30"/>
        <v>1125712</v>
      </c>
      <c r="I62" s="13">
        <f t="shared" si="31"/>
        <v>251712</v>
      </c>
      <c r="J62" s="14">
        <f t="shared" si="32"/>
        <v>0.28799999999999998</v>
      </c>
      <c r="K62" s="13">
        <f t="shared" si="33"/>
        <v>912.31732776617957</v>
      </c>
      <c r="L62" s="13">
        <f t="shared" si="34"/>
        <v>1175.0647181628392</v>
      </c>
      <c r="M62" s="13">
        <f t="shared" si="35"/>
        <v>262.74739039665963</v>
      </c>
      <c r="N62" s="15">
        <f t="shared" si="36"/>
        <v>435.45454545454544</v>
      </c>
      <c r="O62" s="13">
        <f t="shared" si="37"/>
        <v>252563.63636363635</v>
      </c>
      <c r="P62" s="16">
        <v>0.47589999999999999</v>
      </c>
      <c r="Q62" s="16"/>
      <c r="R62" s="17">
        <f t="shared" si="38"/>
        <v>1005922.2592</v>
      </c>
      <c r="S62" s="17">
        <f t="shared" si="9"/>
        <v>131922.2592</v>
      </c>
      <c r="T62" s="18">
        <f t="shared" si="10"/>
        <v>-119789.74080000003</v>
      </c>
    </row>
    <row r="63" spans="1:20" ht="15.75" customHeight="1" x14ac:dyDescent="0.35">
      <c r="A63" s="9">
        <v>52</v>
      </c>
      <c r="B63" s="9" t="s">
        <v>91</v>
      </c>
      <c r="C63" s="5" t="s">
        <v>92</v>
      </c>
      <c r="D63" s="4" t="s">
        <v>98</v>
      </c>
      <c r="E63" s="10">
        <v>939</v>
      </c>
      <c r="F63" s="10">
        <v>874000</v>
      </c>
      <c r="G63" s="11">
        <v>0.28299999999999997</v>
      </c>
      <c r="H63" s="12">
        <f t="shared" si="30"/>
        <v>1121342</v>
      </c>
      <c r="I63" s="13">
        <f t="shared" si="31"/>
        <v>247342</v>
      </c>
      <c r="J63" s="14">
        <f t="shared" si="32"/>
        <v>0.28299999999999997</v>
      </c>
      <c r="K63" s="13">
        <f t="shared" si="33"/>
        <v>930.77742279020231</v>
      </c>
      <c r="L63" s="13">
        <f t="shared" si="34"/>
        <v>1194.1874334398296</v>
      </c>
      <c r="M63" s="13">
        <f t="shared" si="35"/>
        <v>263.41001064962734</v>
      </c>
      <c r="N63" s="15">
        <f t="shared" si="36"/>
        <v>426.81818181818176</v>
      </c>
      <c r="O63" s="13">
        <f t="shared" si="37"/>
        <v>247554.54545454541</v>
      </c>
      <c r="P63" s="16">
        <v>0.47589999999999999</v>
      </c>
      <c r="Q63" s="16"/>
      <c r="R63" s="17">
        <f t="shared" si="38"/>
        <v>1003631.9422</v>
      </c>
      <c r="S63" s="17">
        <f t="shared" si="9"/>
        <v>129631.9422</v>
      </c>
      <c r="T63" s="18">
        <f t="shared" si="10"/>
        <v>-117710.05779999995</v>
      </c>
    </row>
    <row r="64" spans="1:20" ht="15.75" customHeight="1" x14ac:dyDescent="0.35">
      <c r="A64" s="19">
        <v>53</v>
      </c>
      <c r="B64" s="19" t="s">
        <v>91</v>
      </c>
      <c r="C64" s="3" t="s">
        <v>92</v>
      </c>
      <c r="D64" s="2" t="s">
        <v>99</v>
      </c>
      <c r="E64" s="10">
        <v>1055</v>
      </c>
      <c r="F64" s="10">
        <v>1000000</v>
      </c>
      <c r="G64" s="11">
        <v>0.27800000000000002</v>
      </c>
      <c r="H64" s="12">
        <f t="shared" si="30"/>
        <v>1278000</v>
      </c>
      <c r="I64" s="13">
        <f t="shared" si="31"/>
        <v>278000</v>
      </c>
      <c r="J64" s="14">
        <f t="shared" si="32"/>
        <v>0.27800000000000002</v>
      </c>
      <c r="K64" s="13">
        <f t="shared" si="33"/>
        <v>947.8672985781991</v>
      </c>
      <c r="L64" s="13">
        <f t="shared" si="34"/>
        <v>1211.3744075829384</v>
      </c>
      <c r="M64" s="13">
        <f t="shared" si="35"/>
        <v>263.50710900473928</v>
      </c>
      <c r="N64" s="15">
        <f t="shared" si="36"/>
        <v>479.5454545454545</v>
      </c>
      <c r="O64" s="13">
        <f t="shared" si="37"/>
        <v>278136.36363636359</v>
      </c>
      <c r="P64" s="16">
        <v>0.47589999999999999</v>
      </c>
      <c r="Q64" s="16"/>
      <c r="R64" s="17">
        <f t="shared" si="38"/>
        <v>1145699.8</v>
      </c>
      <c r="S64" s="17">
        <f t="shared" si="9"/>
        <v>145699.79999999999</v>
      </c>
      <c r="T64" s="18">
        <f t="shared" si="10"/>
        <v>-132300.19999999995</v>
      </c>
    </row>
    <row r="65" spans="1:20" ht="15.75" customHeight="1" x14ac:dyDescent="0.35">
      <c r="A65" s="9">
        <v>54</v>
      </c>
      <c r="B65" s="9" t="s">
        <v>91</v>
      </c>
      <c r="C65" s="5" t="s">
        <v>92</v>
      </c>
      <c r="D65" s="4" t="s">
        <v>100</v>
      </c>
      <c r="E65" s="10">
        <v>936</v>
      </c>
      <c r="F65" s="10">
        <v>874000</v>
      </c>
      <c r="G65" s="11">
        <v>0.28299999999999997</v>
      </c>
      <c r="H65" s="12">
        <f t="shared" si="30"/>
        <v>1121342</v>
      </c>
      <c r="I65" s="13">
        <f t="shared" si="31"/>
        <v>247342</v>
      </c>
      <c r="J65" s="14">
        <f t="shared" si="32"/>
        <v>0.28299999999999997</v>
      </c>
      <c r="K65" s="13">
        <f t="shared" si="33"/>
        <v>933.76068376068372</v>
      </c>
      <c r="L65" s="13">
        <f t="shared" si="34"/>
        <v>1198.0149572649573</v>
      </c>
      <c r="M65" s="13">
        <f t="shared" si="35"/>
        <v>264.25427350427356</v>
      </c>
      <c r="N65" s="15">
        <f t="shared" si="36"/>
        <v>425.45454545454544</v>
      </c>
      <c r="O65" s="13">
        <f t="shared" si="37"/>
        <v>246763.63636363635</v>
      </c>
      <c r="P65" s="16">
        <v>0.47589999999999999</v>
      </c>
      <c r="Q65" s="16"/>
      <c r="R65" s="17">
        <f t="shared" si="38"/>
        <v>1003631.9422</v>
      </c>
      <c r="S65" s="17">
        <f t="shared" si="9"/>
        <v>129631.9422</v>
      </c>
      <c r="T65" s="18">
        <f t="shared" si="10"/>
        <v>-117710.05779999995</v>
      </c>
    </row>
    <row r="66" spans="1:20" ht="15.75" customHeight="1" x14ac:dyDescent="0.35">
      <c r="A66" s="19">
        <v>55</v>
      </c>
      <c r="B66" s="19" t="s">
        <v>91</v>
      </c>
      <c r="C66" s="3" t="s">
        <v>92</v>
      </c>
      <c r="D66" s="2" t="s">
        <v>101</v>
      </c>
      <c r="E66" s="10">
        <v>966</v>
      </c>
      <c r="F66" s="10">
        <v>890000</v>
      </c>
      <c r="G66" s="11">
        <v>0.28699999999999998</v>
      </c>
      <c r="H66" s="12">
        <f t="shared" si="30"/>
        <v>1145430</v>
      </c>
      <c r="I66" s="13">
        <f t="shared" si="31"/>
        <v>255430</v>
      </c>
      <c r="J66" s="14">
        <f t="shared" si="32"/>
        <v>0.28699999999999998</v>
      </c>
      <c r="K66" s="13">
        <f t="shared" si="33"/>
        <v>921.32505175983442</v>
      </c>
      <c r="L66" s="13">
        <f t="shared" si="34"/>
        <v>1185.7453416149069</v>
      </c>
      <c r="M66" s="13">
        <f t="shared" si="35"/>
        <v>264.4202898550725</v>
      </c>
      <c r="N66" s="15">
        <f t="shared" si="36"/>
        <v>439.09090909090907</v>
      </c>
      <c r="O66" s="13">
        <f t="shared" si="37"/>
        <v>254672.72727272726</v>
      </c>
      <c r="P66" s="16">
        <v>0.47589999999999999</v>
      </c>
      <c r="Q66" s="16"/>
      <c r="R66" s="17">
        <f t="shared" si="38"/>
        <v>1023870.863</v>
      </c>
      <c r="S66" s="17">
        <f t="shared" si="9"/>
        <v>133870.86300000001</v>
      </c>
      <c r="T66" s="18">
        <f t="shared" si="10"/>
        <v>-121559.13699999999</v>
      </c>
    </row>
    <row r="67" spans="1:20" ht="15.75" customHeight="1" x14ac:dyDescent="0.35">
      <c r="A67" s="9">
        <v>56</v>
      </c>
      <c r="B67" s="9" t="s">
        <v>91</v>
      </c>
      <c r="C67" s="5" t="s">
        <v>92</v>
      </c>
      <c r="D67" s="4" t="s">
        <v>102</v>
      </c>
      <c r="E67" s="10">
        <v>986</v>
      </c>
      <c r="F67" s="10">
        <v>920000</v>
      </c>
      <c r="G67" s="11">
        <v>0.28299999999999997</v>
      </c>
      <c r="H67" s="12">
        <f t="shared" si="30"/>
        <v>1180360</v>
      </c>
      <c r="I67" s="13">
        <f t="shared" si="31"/>
        <v>260360</v>
      </c>
      <c r="J67" s="14">
        <f t="shared" si="32"/>
        <v>0.28299999999999997</v>
      </c>
      <c r="K67" s="13">
        <f t="shared" si="33"/>
        <v>933.06288032454358</v>
      </c>
      <c r="L67" s="13">
        <f t="shared" si="34"/>
        <v>1197.1196754563894</v>
      </c>
      <c r="M67" s="13">
        <f t="shared" si="35"/>
        <v>264.05679513184577</v>
      </c>
      <c r="N67" s="15">
        <f t="shared" si="36"/>
        <v>448.18181818181813</v>
      </c>
      <c r="O67" s="13">
        <f t="shared" si="37"/>
        <v>259945.45454545453</v>
      </c>
      <c r="P67" s="16">
        <v>0.47589999999999999</v>
      </c>
      <c r="Q67" s="16"/>
      <c r="R67" s="17">
        <f t="shared" si="38"/>
        <v>1056454.676</v>
      </c>
      <c r="S67" s="17">
        <f t="shared" si="9"/>
        <v>136454.67600000001</v>
      </c>
      <c r="T67" s="18">
        <f t="shared" si="10"/>
        <v>-123905.32400000002</v>
      </c>
    </row>
    <row r="68" spans="1:20" ht="15.75" customHeight="1" x14ac:dyDescent="0.35">
      <c r="A68" s="19">
        <v>57</v>
      </c>
      <c r="B68" s="19" t="s">
        <v>91</v>
      </c>
      <c r="C68" s="3" t="s">
        <v>92</v>
      </c>
      <c r="D68" s="2" t="s">
        <v>103</v>
      </c>
      <c r="E68" s="10">
        <v>907</v>
      </c>
      <c r="F68" s="10">
        <v>850000</v>
      </c>
      <c r="G68" s="11">
        <v>0.28199999999999997</v>
      </c>
      <c r="H68" s="12">
        <f t="shared" si="30"/>
        <v>1089700</v>
      </c>
      <c r="I68" s="13">
        <f t="shared" si="31"/>
        <v>239700</v>
      </c>
      <c r="J68" s="14">
        <f t="shared" si="32"/>
        <v>0.28199999999999997</v>
      </c>
      <c r="K68" s="13">
        <f t="shared" si="33"/>
        <v>937.15545755237042</v>
      </c>
      <c r="L68" s="13">
        <f t="shared" si="34"/>
        <v>1201.4332965821388</v>
      </c>
      <c r="M68" s="13">
        <f t="shared" si="35"/>
        <v>264.27783902976842</v>
      </c>
      <c r="N68" s="15">
        <f t="shared" si="36"/>
        <v>412.27272727272725</v>
      </c>
      <c r="O68" s="13">
        <f t="shared" si="37"/>
        <v>239118.18181818179</v>
      </c>
      <c r="P68" s="16">
        <v>0.47589999999999999</v>
      </c>
      <c r="Q68" s="16"/>
      <c r="R68" s="17">
        <f t="shared" si="38"/>
        <v>975626.77</v>
      </c>
      <c r="S68" s="17">
        <f t="shared" si="9"/>
        <v>125626.77</v>
      </c>
      <c r="T68" s="18">
        <f t="shared" si="10"/>
        <v>-114073.22999999998</v>
      </c>
    </row>
    <row r="69" spans="1:20" ht="15.75" customHeight="1" x14ac:dyDescent="0.35">
      <c r="A69" s="9">
        <v>58</v>
      </c>
      <c r="B69" s="9" t="s">
        <v>91</v>
      </c>
      <c r="C69" s="5" t="s">
        <v>92</v>
      </c>
      <c r="D69" s="4" t="s">
        <v>104</v>
      </c>
      <c r="E69" s="10">
        <v>1006</v>
      </c>
      <c r="F69" s="10">
        <v>947000</v>
      </c>
      <c r="G69" s="11">
        <v>0.28000000000000003</v>
      </c>
      <c r="H69" s="12">
        <f t="shared" si="30"/>
        <v>1212160</v>
      </c>
      <c r="I69" s="13">
        <f t="shared" si="31"/>
        <v>265160</v>
      </c>
      <c r="J69" s="14">
        <f t="shared" si="32"/>
        <v>0.28000000000000003</v>
      </c>
      <c r="K69" s="13">
        <f t="shared" si="33"/>
        <v>941.35188866799206</v>
      </c>
      <c r="L69" s="13">
        <f t="shared" si="34"/>
        <v>1204.9304174950298</v>
      </c>
      <c r="M69" s="13">
        <f t="shared" si="35"/>
        <v>263.57852882703776</v>
      </c>
      <c r="N69" s="15">
        <f t="shared" si="36"/>
        <v>457.27272727272725</v>
      </c>
      <c r="O69" s="13">
        <f t="shared" si="37"/>
        <v>265218.18181818182</v>
      </c>
      <c r="P69" s="16">
        <v>0.47589999999999999</v>
      </c>
      <c r="Q69" s="16"/>
      <c r="R69" s="17">
        <f t="shared" si="38"/>
        <v>1085970.3559999999</v>
      </c>
      <c r="S69" s="17">
        <f t="shared" si="9"/>
        <v>138970.356</v>
      </c>
      <c r="T69" s="18">
        <f t="shared" si="10"/>
        <v>-126189.64400000009</v>
      </c>
    </row>
    <row r="70" spans="1:20" ht="15.75" customHeight="1" x14ac:dyDescent="0.35">
      <c r="A70" s="19">
        <v>59</v>
      </c>
      <c r="B70" s="19" t="s">
        <v>91</v>
      </c>
      <c r="C70" s="3" t="s">
        <v>92</v>
      </c>
      <c r="D70" s="2" t="s">
        <v>105</v>
      </c>
      <c r="E70" s="10">
        <v>1024</v>
      </c>
      <c r="F70" s="10">
        <v>960000</v>
      </c>
      <c r="G70" s="11">
        <v>0.28199999999999997</v>
      </c>
      <c r="H70" s="12">
        <f t="shared" si="30"/>
        <v>1230720</v>
      </c>
      <c r="I70" s="13">
        <f t="shared" si="31"/>
        <v>270720</v>
      </c>
      <c r="J70" s="14">
        <f t="shared" si="32"/>
        <v>0.28199999999999997</v>
      </c>
      <c r="K70" s="13">
        <f t="shared" si="33"/>
        <v>937.5</v>
      </c>
      <c r="L70" s="13">
        <f t="shared" si="34"/>
        <v>1201.875</v>
      </c>
      <c r="M70" s="13">
        <f t="shared" si="35"/>
        <v>264.375</v>
      </c>
      <c r="N70" s="15">
        <f t="shared" si="36"/>
        <v>465.45454545454544</v>
      </c>
      <c r="O70" s="13">
        <f t="shared" si="37"/>
        <v>269963.63636363635</v>
      </c>
      <c r="P70" s="16">
        <v>0.47589999999999999</v>
      </c>
      <c r="Q70" s="16"/>
      <c r="R70" s="17">
        <f t="shared" si="38"/>
        <v>1101884.352</v>
      </c>
      <c r="S70" s="17">
        <f t="shared" si="9"/>
        <v>141884.35200000001</v>
      </c>
      <c r="T70" s="18">
        <f t="shared" si="10"/>
        <v>-128835.64800000004</v>
      </c>
    </row>
    <row r="71" spans="1:20" ht="15.75" customHeight="1" x14ac:dyDescent="0.35">
      <c r="A71" s="9">
        <v>60</v>
      </c>
      <c r="B71" s="9" t="s">
        <v>91</v>
      </c>
      <c r="C71" s="5" t="s">
        <v>92</v>
      </c>
      <c r="D71" s="4" t="s">
        <v>106</v>
      </c>
      <c r="E71" s="10">
        <v>1042</v>
      </c>
      <c r="F71" s="10">
        <v>960000</v>
      </c>
      <c r="G71" s="11">
        <v>0.28599999999999998</v>
      </c>
      <c r="H71" s="12">
        <f t="shared" si="30"/>
        <v>1234560</v>
      </c>
      <c r="I71" s="13">
        <f t="shared" si="31"/>
        <v>274560</v>
      </c>
      <c r="J71" s="14">
        <f t="shared" si="32"/>
        <v>0.28599999999999998</v>
      </c>
      <c r="K71" s="13">
        <f t="shared" si="33"/>
        <v>921.30518234165072</v>
      </c>
      <c r="L71" s="13">
        <f t="shared" si="34"/>
        <v>1184.7984644913627</v>
      </c>
      <c r="M71" s="13">
        <f t="shared" si="35"/>
        <v>263.49328214971194</v>
      </c>
      <c r="N71" s="15">
        <f t="shared" si="36"/>
        <v>473.63636363636363</v>
      </c>
      <c r="O71" s="13">
        <f t="shared" si="37"/>
        <v>274709.09090909088</v>
      </c>
      <c r="P71" s="16">
        <v>0.47589999999999999</v>
      </c>
      <c r="Q71" s="16"/>
      <c r="R71" s="17">
        <f t="shared" si="38"/>
        <v>1103896.8959999999</v>
      </c>
      <c r="S71" s="17">
        <f t="shared" si="9"/>
        <v>143896.89600000001</v>
      </c>
      <c r="T71" s="18">
        <f t="shared" si="10"/>
        <v>-130663.10400000005</v>
      </c>
    </row>
    <row r="72" spans="1:20" ht="15.75" customHeight="1" x14ac:dyDescent="0.35">
      <c r="A72" s="19">
        <v>61</v>
      </c>
      <c r="B72" s="19" t="s">
        <v>91</v>
      </c>
      <c r="C72" s="3" t="s">
        <v>92</v>
      </c>
      <c r="D72" s="2" t="s">
        <v>107</v>
      </c>
      <c r="E72" s="10">
        <v>992</v>
      </c>
      <c r="F72" s="10">
        <v>930000</v>
      </c>
      <c r="G72" s="11">
        <v>0.28100000000000003</v>
      </c>
      <c r="H72" s="12">
        <f t="shared" si="30"/>
        <v>1191330.0000000002</v>
      </c>
      <c r="I72" s="13">
        <f t="shared" si="31"/>
        <v>261330.00000000023</v>
      </c>
      <c r="J72" s="14">
        <f t="shared" si="32"/>
        <v>0.28100000000000025</v>
      </c>
      <c r="K72" s="13">
        <f t="shared" si="33"/>
        <v>937.5</v>
      </c>
      <c r="L72" s="13">
        <f t="shared" si="34"/>
        <v>1200.9375000000002</v>
      </c>
      <c r="M72" s="13">
        <f t="shared" si="35"/>
        <v>263.43750000000023</v>
      </c>
      <c r="N72" s="15">
        <f t="shared" si="36"/>
        <v>450.90909090909088</v>
      </c>
      <c r="O72" s="13">
        <f t="shared" si="37"/>
        <v>261527.27272727271</v>
      </c>
      <c r="P72" s="16">
        <v>0.47589999999999999</v>
      </c>
      <c r="Q72" s="16"/>
      <c r="R72" s="17">
        <f t="shared" si="38"/>
        <v>1066963.0530000001</v>
      </c>
      <c r="S72" s="17">
        <f t="shared" si="9"/>
        <v>136963.05300000013</v>
      </c>
      <c r="T72" s="18">
        <f t="shared" si="10"/>
        <v>-124366.94700000016</v>
      </c>
    </row>
    <row r="73" spans="1:20" ht="15.75" customHeight="1" x14ac:dyDescent="0.35">
      <c r="A73" s="9">
        <v>62</v>
      </c>
      <c r="B73" s="9" t="s">
        <v>91</v>
      </c>
      <c r="C73" s="5" t="s">
        <v>92</v>
      </c>
      <c r="D73" s="4" t="s">
        <v>108</v>
      </c>
      <c r="E73" s="10">
        <v>1007</v>
      </c>
      <c r="F73" s="10">
        <v>947000</v>
      </c>
      <c r="G73" s="11">
        <v>0.28100000000000003</v>
      </c>
      <c r="H73" s="12">
        <f t="shared" si="30"/>
        <v>1213107.0000000002</v>
      </c>
      <c r="I73" s="13">
        <f t="shared" si="31"/>
        <v>266107.00000000023</v>
      </c>
      <c r="J73" s="14">
        <f t="shared" si="32"/>
        <v>0.28100000000000025</v>
      </c>
      <c r="K73" s="13">
        <f t="shared" si="33"/>
        <v>940.41708043694143</v>
      </c>
      <c r="L73" s="13">
        <f t="shared" si="34"/>
        <v>1204.6742800397221</v>
      </c>
      <c r="M73" s="13">
        <f t="shared" si="35"/>
        <v>264.2571996027807</v>
      </c>
      <c r="N73" s="15">
        <f t="shared" si="36"/>
        <v>457.72727272727269</v>
      </c>
      <c r="O73" s="13">
        <f t="shared" si="37"/>
        <v>265481.81818181818</v>
      </c>
      <c r="P73" s="16">
        <v>0.47589999999999999</v>
      </c>
      <c r="Q73" s="16"/>
      <c r="R73" s="17">
        <f t="shared" si="38"/>
        <v>1086466.6787</v>
      </c>
      <c r="S73" s="17">
        <f t="shared" si="9"/>
        <v>139466.67870000013</v>
      </c>
      <c r="T73" s="18">
        <f t="shared" si="10"/>
        <v>-126640.32130000019</v>
      </c>
    </row>
    <row r="74" spans="1:20" ht="15.75" customHeight="1" x14ac:dyDescent="0.35">
      <c r="A74" s="19">
        <v>63</v>
      </c>
      <c r="B74" s="19" t="s">
        <v>91</v>
      </c>
      <c r="C74" s="3" t="s">
        <v>92</v>
      </c>
      <c r="D74" s="2" t="s">
        <v>109</v>
      </c>
      <c r="E74" s="10">
        <v>998</v>
      </c>
      <c r="F74" s="10">
        <v>930000</v>
      </c>
      <c r="G74" s="11">
        <v>0.28299999999999997</v>
      </c>
      <c r="H74" s="12">
        <f t="shared" si="30"/>
        <v>1193190</v>
      </c>
      <c r="I74" s="13">
        <f t="shared" si="31"/>
        <v>263190</v>
      </c>
      <c r="J74" s="14">
        <f t="shared" si="32"/>
        <v>0.28299999999999997</v>
      </c>
      <c r="K74" s="13">
        <f t="shared" si="33"/>
        <v>931.86372745490985</v>
      </c>
      <c r="L74" s="13">
        <f t="shared" si="34"/>
        <v>1195.5811623246493</v>
      </c>
      <c r="M74" s="13">
        <f t="shared" si="35"/>
        <v>263.71743486973946</v>
      </c>
      <c r="N74" s="15">
        <f t="shared" si="36"/>
        <v>453.63636363636363</v>
      </c>
      <c r="O74" s="13">
        <f t="shared" si="37"/>
        <v>263109.09090909088</v>
      </c>
      <c r="P74" s="16">
        <v>0.47589999999999999</v>
      </c>
      <c r="Q74" s="16"/>
      <c r="R74" s="17">
        <f t="shared" si="38"/>
        <v>1067937.879</v>
      </c>
      <c r="S74" s="17">
        <f t="shared" si="9"/>
        <v>137937.87900000002</v>
      </c>
      <c r="T74" s="18">
        <f t="shared" si="10"/>
        <v>-125252.12100000004</v>
      </c>
    </row>
    <row r="75" spans="1:20" ht="15.75" customHeight="1" x14ac:dyDescent="0.35">
      <c r="A75" s="9">
        <v>64</v>
      </c>
      <c r="B75" s="9" t="s">
        <v>91</v>
      </c>
      <c r="C75" s="5" t="s">
        <v>92</v>
      </c>
      <c r="D75" s="4" t="s">
        <v>110</v>
      </c>
      <c r="E75" s="10">
        <v>965</v>
      </c>
      <c r="F75" s="10">
        <v>890000</v>
      </c>
      <c r="G75" s="11">
        <v>0.28499999999999998</v>
      </c>
      <c r="H75" s="12">
        <f t="shared" si="30"/>
        <v>1143650</v>
      </c>
      <c r="I75" s="13">
        <f t="shared" si="31"/>
        <v>253650</v>
      </c>
      <c r="J75" s="14">
        <f t="shared" si="32"/>
        <v>0.28499999999999998</v>
      </c>
      <c r="K75" s="13">
        <f t="shared" si="33"/>
        <v>922.27979274611403</v>
      </c>
      <c r="L75" s="13">
        <f t="shared" si="34"/>
        <v>1185.1295336787564</v>
      </c>
      <c r="M75" s="13">
        <f t="shared" si="35"/>
        <v>262.84974093264236</v>
      </c>
      <c r="N75" s="15">
        <f t="shared" si="36"/>
        <v>438.63636363636363</v>
      </c>
      <c r="O75" s="13">
        <f t="shared" si="37"/>
        <v>254409.09090909091</v>
      </c>
      <c r="P75" s="16">
        <v>0.47589999999999999</v>
      </c>
      <c r="Q75" s="16"/>
      <c r="R75" s="17">
        <f t="shared" si="38"/>
        <v>1022937.965</v>
      </c>
      <c r="S75" s="17">
        <f t="shared" si="9"/>
        <v>132937.965</v>
      </c>
      <c r="T75" s="18">
        <f t="shared" si="10"/>
        <v>-120712.03500000003</v>
      </c>
    </row>
    <row r="76" spans="1:20" ht="15.75" customHeight="1" x14ac:dyDescent="0.35">
      <c r="A76" s="19">
        <v>65</v>
      </c>
      <c r="B76" s="19" t="s">
        <v>91</v>
      </c>
      <c r="C76" s="3" t="s">
        <v>92</v>
      </c>
      <c r="D76" s="2" t="s">
        <v>111</v>
      </c>
      <c r="E76" s="10">
        <v>928</v>
      </c>
      <c r="F76" s="10">
        <v>874000</v>
      </c>
      <c r="G76" s="11">
        <v>0.28000000000000003</v>
      </c>
      <c r="H76" s="12">
        <f t="shared" si="30"/>
        <v>1118720</v>
      </c>
      <c r="I76" s="13">
        <f t="shared" si="31"/>
        <v>244720</v>
      </c>
      <c r="J76" s="14">
        <f t="shared" si="32"/>
        <v>0.28000000000000003</v>
      </c>
      <c r="K76" s="13">
        <f t="shared" si="33"/>
        <v>941.81034482758616</v>
      </c>
      <c r="L76" s="13">
        <f t="shared" si="34"/>
        <v>1205.5172413793102</v>
      </c>
      <c r="M76" s="13">
        <f t="shared" si="35"/>
        <v>263.70689655172407</v>
      </c>
      <c r="N76" s="15">
        <f t="shared" si="36"/>
        <v>421.81818181818176</v>
      </c>
      <c r="O76" s="13">
        <f t="shared" si="37"/>
        <v>244654.54545454541</v>
      </c>
      <c r="P76" s="16">
        <v>0.47589999999999999</v>
      </c>
      <c r="Q76" s="16"/>
      <c r="R76" s="17">
        <f t="shared" si="38"/>
        <v>1002257.752</v>
      </c>
      <c r="S76" s="17">
        <f t="shared" si="9"/>
        <v>128257.75200000001</v>
      </c>
      <c r="T76" s="18">
        <f t="shared" si="10"/>
        <v>-116462.24800000002</v>
      </c>
    </row>
    <row r="77" spans="1:20" ht="15.75" customHeight="1" x14ac:dyDescent="0.35">
      <c r="A77" s="9">
        <v>66</v>
      </c>
      <c r="B77" s="9" t="s">
        <v>91</v>
      </c>
      <c r="C77" s="5" t="s">
        <v>92</v>
      </c>
      <c r="D77" s="4" t="s">
        <v>112</v>
      </c>
      <c r="E77" s="10">
        <v>960</v>
      </c>
      <c r="F77" s="10">
        <v>890000</v>
      </c>
      <c r="G77" s="11">
        <v>0.28499999999999998</v>
      </c>
      <c r="H77" s="12">
        <f t="shared" si="30"/>
        <v>1143650</v>
      </c>
      <c r="I77" s="13">
        <f t="shared" si="31"/>
        <v>253650</v>
      </c>
      <c r="J77" s="14">
        <f t="shared" si="32"/>
        <v>0.28499999999999998</v>
      </c>
      <c r="K77" s="13">
        <f t="shared" si="33"/>
        <v>927.08333333333337</v>
      </c>
      <c r="L77" s="13">
        <f t="shared" si="34"/>
        <v>1191.3020833333333</v>
      </c>
      <c r="M77" s="13">
        <f t="shared" si="35"/>
        <v>264.21874999999989</v>
      </c>
      <c r="N77" s="15">
        <f t="shared" si="36"/>
        <v>436.36363636363632</v>
      </c>
      <c r="O77" s="13">
        <f t="shared" si="37"/>
        <v>253090.90909090906</v>
      </c>
      <c r="P77" s="16">
        <v>0.47589999999999999</v>
      </c>
      <c r="Q77" s="16"/>
      <c r="R77" s="17">
        <f t="shared" si="38"/>
        <v>1022937.965</v>
      </c>
      <c r="S77" s="17">
        <f t="shared" si="9"/>
        <v>132937.965</v>
      </c>
      <c r="T77" s="18">
        <f t="shared" si="10"/>
        <v>-120712.03500000003</v>
      </c>
    </row>
    <row r="78" spans="1:20" ht="15.75" customHeight="1" x14ac:dyDescent="0.35">
      <c r="A78" s="19">
        <v>67</v>
      </c>
      <c r="B78" s="19" t="s">
        <v>91</v>
      </c>
      <c r="C78" s="3" t="s">
        <v>92</v>
      </c>
      <c r="D78" s="2" t="s">
        <v>113</v>
      </c>
      <c r="E78" s="10">
        <v>945</v>
      </c>
      <c r="F78" s="10">
        <v>874000</v>
      </c>
      <c r="G78" s="11">
        <v>0.28499999999999998</v>
      </c>
      <c r="H78" s="12">
        <f t="shared" si="30"/>
        <v>1123090</v>
      </c>
      <c r="I78" s="13">
        <f t="shared" si="31"/>
        <v>249090</v>
      </c>
      <c r="J78" s="14">
        <f t="shared" si="32"/>
        <v>0.28499999999999998</v>
      </c>
      <c r="K78" s="13">
        <f t="shared" si="33"/>
        <v>924.86772486772486</v>
      </c>
      <c r="L78" s="13">
        <f t="shared" si="34"/>
        <v>1188.4550264550264</v>
      </c>
      <c r="M78" s="13">
        <f t="shared" si="35"/>
        <v>263.58730158730157</v>
      </c>
      <c r="N78" s="15">
        <f t="shared" si="36"/>
        <v>429.5454545454545</v>
      </c>
      <c r="O78" s="13">
        <f t="shared" si="37"/>
        <v>249136.36363636362</v>
      </c>
      <c r="P78" s="16">
        <v>0.47589999999999999</v>
      </c>
      <c r="Q78" s="16"/>
      <c r="R78" s="17">
        <f t="shared" si="38"/>
        <v>1004548.069</v>
      </c>
      <c r="S78" s="17">
        <f t="shared" si="9"/>
        <v>130548.069</v>
      </c>
      <c r="T78" s="18">
        <f t="shared" si="10"/>
        <v>-118541.93099999998</v>
      </c>
    </row>
    <row r="79" spans="1:20" ht="15.75" customHeight="1" x14ac:dyDescent="0.35">
      <c r="A79" s="9">
        <v>68</v>
      </c>
      <c r="B79" s="9" t="s">
        <v>91</v>
      </c>
      <c r="C79" s="5" t="s">
        <v>92</v>
      </c>
      <c r="D79" s="4" t="s">
        <v>114</v>
      </c>
      <c r="E79" s="10">
        <v>952</v>
      </c>
      <c r="F79" s="10">
        <v>874000</v>
      </c>
      <c r="G79" s="11">
        <v>0.28799999999999998</v>
      </c>
      <c r="H79" s="12">
        <f t="shared" si="30"/>
        <v>1125712</v>
      </c>
      <c r="I79" s="13">
        <f t="shared" si="31"/>
        <v>251712</v>
      </c>
      <c r="J79" s="14">
        <f t="shared" si="32"/>
        <v>0.28799999999999998</v>
      </c>
      <c r="K79" s="13">
        <f t="shared" si="33"/>
        <v>918.06722689075627</v>
      </c>
      <c r="L79" s="13">
        <f t="shared" si="34"/>
        <v>1182.4705882352941</v>
      </c>
      <c r="M79" s="13">
        <f t="shared" si="35"/>
        <v>264.40336134453787</v>
      </c>
      <c r="N79" s="15">
        <f t="shared" si="36"/>
        <v>432.72727272727269</v>
      </c>
      <c r="O79" s="13">
        <f t="shared" si="37"/>
        <v>250981.81818181815</v>
      </c>
      <c r="P79" s="16">
        <v>0.47589999999999999</v>
      </c>
      <c r="Q79" s="16"/>
      <c r="R79" s="17">
        <f t="shared" si="38"/>
        <v>1005922.2592</v>
      </c>
      <c r="S79" s="17">
        <f t="shared" si="9"/>
        <v>131922.2592</v>
      </c>
      <c r="T79" s="18">
        <f t="shared" si="10"/>
        <v>-119789.74080000003</v>
      </c>
    </row>
    <row r="80" spans="1:20" ht="15.75" customHeight="1" x14ac:dyDescent="0.35">
      <c r="A80" s="19">
        <v>69</v>
      </c>
      <c r="B80" s="19" t="s">
        <v>91</v>
      </c>
      <c r="C80" s="3" t="s">
        <v>92</v>
      </c>
      <c r="D80" s="2" t="s">
        <v>115</v>
      </c>
      <c r="E80" s="10">
        <v>982</v>
      </c>
      <c r="F80" s="10">
        <v>920000</v>
      </c>
      <c r="G80" s="11">
        <v>0.28100000000000003</v>
      </c>
      <c r="H80" s="12">
        <f t="shared" si="30"/>
        <v>1178520.0000000002</v>
      </c>
      <c r="I80" s="13">
        <f t="shared" si="31"/>
        <v>258520.00000000023</v>
      </c>
      <c r="J80" s="14">
        <f t="shared" si="32"/>
        <v>0.28100000000000025</v>
      </c>
      <c r="K80" s="13">
        <f t="shared" si="33"/>
        <v>936.86354378818737</v>
      </c>
      <c r="L80" s="13">
        <f t="shared" si="34"/>
        <v>1200.1221995926683</v>
      </c>
      <c r="M80" s="13">
        <f t="shared" si="35"/>
        <v>263.2586558044809</v>
      </c>
      <c r="N80" s="15">
        <f t="shared" si="36"/>
        <v>446.36363636363632</v>
      </c>
      <c r="O80" s="13">
        <f t="shared" si="37"/>
        <v>258890.90909090906</v>
      </c>
      <c r="P80" s="16">
        <v>0.47589999999999999</v>
      </c>
      <c r="Q80" s="16"/>
      <c r="R80" s="17">
        <f t="shared" si="38"/>
        <v>1055490.3320000002</v>
      </c>
      <c r="S80" s="17">
        <f t="shared" si="9"/>
        <v>135490.33200000011</v>
      </c>
      <c r="T80" s="18">
        <f t="shared" si="10"/>
        <v>-123029.66800000006</v>
      </c>
    </row>
    <row r="81" spans="1:20" ht="15.75" customHeight="1" x14ac:dyDescent="0.35">
      <c r="A81" s="9">
        <v>70</v>
      </c>
      <c r="B81" s="9" t="s">
        <v>91</v>
      </c>
      <c r="C81" s="5" t="s">
        <v>92</v>
      </c>
      <c r="D81" s="4" t="s">
        <v>116</v>
      </c>
      <c r="E81" s="10">
        <v>984</v>
      </c>
      <c r="F81" s="10">
        <v>920000</v>
      </c>
      <c r="G81" s="11">
        <v>0.28299999999999997</v>
      </c>
      <c r="H81" s="12">
        <f t="shared" si="30"/>
        <v>1180360</v>
      </c>
      <c r="I81" s="13">
        <f t="shared" si="31"/>
        <v>260360</v>
      </c>
      <c r="J81" s="14">
        <f t="shared" si="32"/>
        <v>0.28299999999999997</v>
      </c>
      <c r="K81" s="13">
        <f t="shared" si="33"/>
        <v>934.95934959349597</v>
      </c>
      <c r="L81" s="13">
        <f t="shared" si="34"/>
        <v>1199.5528455284552</v>
      </c>
      <c r="M81" s="13">
        <f t="shared" si="35"/>
        <v>264.59349593495926</v>
      </c>
      <c r="N81" s="15">
        <f t="shared" si="36"/>
        <v>447.27272727272725</v>
      </c>
      <c r="O81" s="13">
        <f t="shared" si="37"/>
        <v>259418.18181818179</v>
      </c>
      <c r="P81" s="16">
        <v>0.47589999999999999</v>
      </c>
      <c r="Q81" s="16"/>
      <c r="R81" s="17">
        <f t="shared" si="38"/>
        <v>1056454.676</v>
      </c>
      <c r="S81" s="17">
        <f t="shared" si="9"/>
        <v>136454.67600000001</v>
      </c>
      <c r="T81" s="18">
        <f t="shared" si="10"/>
        <v>-123905.32400000002</v>
      </c>
    </row>
    <row r="82" spans="1:20" ht="15.75" customHeight="1" x14ac:dyDescent="0.35">
      <c r="A82" s="19">
        <v>71</v>
      </c>
      <c r="B82" s="19" t="s">
        <v>91</v>
      </c>
      <c r="C82" s="3" t="s">
        <v>92</v>
      </c>
      <c r="D82" s="2" t="s">
        <v>117</v>
      </c>
      <c r="E82" s="10">
        <v>1023</v>
      </c>
      <c r="F82" s="10">
        <v>960000</v>
      </c>
      <c r="G82" s="11">
        <v>0.28100000000000003</v>
      </c>
      <c r="H82" s="12">
        <f t="shared" si="30"/>
        <v>1229760.0000000002</v>
      </c>
      <c r="I82" s="13">
        <f t="shared" si="31"/>
        <v>269760.00000000023</v>
      </c>
      <c r="J82" s="14">
        <f t="shared" si="32"/>
        <v>0.28100000000000025</v>
      </c>
      <c r="K82" s="13">
        <f t="shared" si="33"/>
        <v>938.41642228738999</v>
      </c>
      <c r="L82" s="13">
        <f t="shared" si="34"/>
        <v>1202.1114369501468</v>
      </c>
      <c r="M82" s="13">
        <f t="shared" si="35"/>
        <v>263.69501466275676</v>
      </c>
      <c r="N82" s="15">
        <f t="shared" si="36"/>
        <v>464.99999999999994</v>
      </c>
      <c r="O82" s="13">
        <f t="shared" si="37"/>
        <v>269699.99999999994</v>
      </c>
      <c r="P82" s="16">
        <v>0.47589999999999999</v>
      </c>
      <c r="Q82" s="16"/>
      <c r="R82" s="17">
        <f t="shared" si="38"/>
        <v>1101381.216</v>
      </c>
      <c r="S82" s="17">
        <f t="shared" si="9"/>
        <v>141381.21600000013</v>
      </c>
      <c r="T82" s="18">
        <f t="shared" si="10"/>
        <v>-128378.78400000022</v>
      </c>
    </row>
    <row r="83" spans="1:20" ht="18" customHeight="1" x14ac:dyDescent="0.35">
      <c r="A83" s="25" t="s">
        <v>118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7"/>
      <c r="S83" s="17">
        <f t="shared" si="9"/>
        <v>0</v>
      </c>
      <c r="T83" s="18">
        <f t="shared" si="10"/>
        <v>0</v>
      </c>
    </row>
    <row r="84" spans="1:20" ht="15.75" customHeight="1" x14ac:dyDescent="0.35">
      <c r="A84" s="19">
        <v>72</v>
      </c>
      <c r="B84" s="19" t="s">
        <v>119</v>
      </c>
      <c r="C84" s="3" t="s">
        <v>120</v>
      </c>
      <c r="D84" s="2" t="s">
        <v>121</v>
      </c>
      <c r="E84" s="10">
        <v>1199</v>
      </c>
      <c r="F84" s="10">
        <v>1100000</v>
      </c>
      <c r="G84" s="11">
        <v>0.28799999999999998</v>
      </c>
      <c r="H84" s="12">
        <f t="shared" ref="H84:H105" si="39">F84*(1+G84)</f>
        <v>1416800</v>
      </c>
      <c r="I84" s="13">
        <f t="shared" ref="I84:I105" si="40">H84-F84</f>
        <v>316800</v>
      </c>
      <c r="J84" s="14">
        <f t="shared" ref="J84:J105" si="41">I84/F84</f>
        <v>0.28799999999999998</v>
      </c>
      <c r="K84" s="13">
        <f t="shared" ref="K84:K105" si="42">F84/E84</f>
        <v>917.43119266055044</v>
      </c>
      <c r="L84" s="13">
        <f t="shared" ref="L84:L105" si="43">H84/E84</f>
        <v>1181.6513761467891</v>
      </c>
      <c r="M84" s="13">
        <f t="shared" ref="M84:M105" si="44">L84-K84</f>
        <v>264.22018348623862</v>
      </c>
      <c r="N84" s="15">
        <f t="shared" ref="N84:N105" si="45">E84/2.2</f>
        <v>545</v>
      </c>
      <c r="O84" s="13">
        <f t="shared" ref="O84:O105" si="46">N84*580</f>
        <v>316100</v>
      </c>
      <c r="P84" s="16">
        <v>0.47589999999999999</v>
      </c>
      <c r="Q84" s="16"/>
      <c r="R84" s="17">
        <f t="shared" ref="R84:R105" si="47">+F84+S84</f>
        <v>1266034.8799999999</v>
      </c>
      <c r="S84" s="17">
        <f t="shared" si="9"/>
        <v>166034.88</v>
      </c>
      <c r="T84" s="18">
        <f t="shared" si="10"/>
        <v>-150765.12000000011</v>
      </c>
    </row>
    <row r="85" spans="1:20" ht="15.75" customHeight="1" x14ac:dyDescent="0.35">
      <c r="A85" s="9">
        <v>73</v>
      </c>
      <c r="B85" s="9" t="s">
        <v>119</v>
      </c>
      <c r="C85" s="5" t="s">
        <v>120</v>
      </c>
      <c r="D85" s="4" t="s">
        <v>122</v>
      </c>
      <c r="E85" s="10">
        <v>1149</v>
      </c>
      <c r="F85" s="10">
        <v>1080000</v>
      </c>
      <c r="G85" s="11">
        <v>0.28000000000000003</v>
      </c>
      <c r="H85" s="12">
        <f t="shared" si="39"/>
        <v>1382400</v>
      </c>
      <c r="I85" s="13">
        <f t="shared" si="40"/>
        <v>302400</v>
      </c>
      <c r="J85" s="14">
        <f t="shared" si="41"/>
        <v>0.28000000000000003</v>
      </c>
      <c r="K85" s="13">
        <f t="shared" si="42"/>
        <v>939.94778067885113</v>
      </c>
      <c r="L85" s="13">
        <f t="shared" si="43"/>
        <v>1203.1331592689296</v>
      </c>
      <c r="M85" s="13">
        <f t="shared" si="44"/>
        <v>263.18537859007847</v>
      </c>
      <c r="N85" s="15">
        <f t="shared" si="45"/>
        <v>522.27272727272725</v>
      </c>
      <c r="O85" s="13">
        <f t="shared" si="46"/>
        <v>302918.18181818182</v>
      </c>
      <c r="P85" s="16">
        <v>0.47589999999999999</v>
      </c>
      <c r="Q85" s="16"/>
      <c r="R85" s="17">
        <f t="shared" si="47"/>
        <v>1238487.8400000001</v>
      </c>
      <c r="S85" s="17">
        <f t="shared" si="9"/>
        <v>158487.84</v>
      </c>
      <c r="T85" s="18">
        <f t="shared" si="10"/>
        <v>-143912.15999999992</v>
      </c>
    </row>
    <row r="86" spans="1:20" ht="15.75" customHeight="1" x14ac:dyDescent="0.35">
      <c r="A86" s="19">
        <v>74</v>
      </c>
      <c r="B86" s="19" t="s">
        <v>119</v>
      </c>
      <c r="C86" s="3" t="s">
        <v>120</v>
      </c>
      <c r="D86" s="2" t="s">
        <v>123</v>
      </c>
      <c r="E86" s="10">
        <v>1084</v>
      </c>
      <c r="F86" s="10">
        <v>1000000</v>
      </c>
      <c r="G86" s="11">
        <v>0.28499999999999998</v>
      </c>
      <c r="H86" s="12">
        <f t="shared" si="39"/>
        <v>1285000</v>
      </c>
      <c r="I86" s="13">
        <f t="shared" si="40"/>
        <v>285000</v>
      </c>
      <c r="J86" s="14">
        <f t="shared" si="41"/>
        <v>0.28499999999999998</v>
      </c>
      <c r="K86" s="13">
        <f t="shared" si="42"/>
        <v>922.50922509225097</v>
      </c>
      <c r="L86" s="13">
        <f t="shared" si="43"/>
        <v>1185.4243542435424</v>
      </c>
      <c r="M86" s="13">
        <f t="shared" si="44"/>
        <v>262.91512915129147</v>
      </c>
      <c r="N86" s="15">
        <f t="shared" si="45"/>
        <v>492.72727272727269</v>
      </c>
      <c r="O86" s="13">
        <f t="shared" si="46"/>
        <v>285781.81818181818</v>
      </c>
      <c r="P86" s="16">
        <v>0.47589999999999999</v>
      </c>
      <c r="Q86" s="16"/>
      <c r="R86" s="17">
        <f t="shared" si="47"/>
        <v>1149368.5</v>
      </c>
      <c r="S86" s="17">
        <f t="shared" si="9"/>
        <v>149368.5</v>
      </c>
      <c r="T86" s="18">
        <f t="shared" si="10"/>
        <v>-135631.5</v>
      </c>
    </row>
    <row r="87" spans="1:20" ht="15.75" customHeight="1" x14ac:dyDescent="0.35">
      <c r="A87" s="9">
        <v>75</v>
      </c>
      <c r="B87" s="9" t="s">
        <v>119</v>
      </c>
      <c r="C87" s="5" t="s">
        <v>120</v>
      </c>
      <c r="D87" s="4" t="s">
        <v>124</v>
      </c>
      <c r="E87" s="10">
        <v>1038</v>
      </c>
      <c r="F87" s="10">
        <v>980000</v>
      </c>
      <c r="G87" s="11">
        <v>0.28000000000000003</v>
      </c>
      <c r="H87" s="12">
        <f t="shared" si="39"/>
        <v>1254400</v>
      </c>
      <c r="I87" s="13">
        <f t="shared" si="40"/>
        <v>274400</v>
      </c>
      <c r="J87" s="14">
        <f t="shared" si="41"/>
        <v>0.28000000000000003</v>
      </c>
      <c r="K87" s="13">
        <f t="shared" si="42"/>
        <v>944.12331406551061</v>
      </c>
      <c r="L87" s="13">
        <f t="shared" si="43"/>
        <v>1208.4778420038535</v>
      </c>
      <c r="M87" s="13">
        <f t="shared" si="44"/>
        <v>264.35452793834293</v>
      </c>
      <c r="N87" s="15">
        <f t="shared" si="45"/>
        <v>471.81818181818176</v>
      </c>
      <c r="O87" s="13">
        <f t="shared" si="46"/>
        <v>273654.54545454541</v>
      </c>
      <c r="P87" s="16">
        <v>0.47589999999999999</v>
      </c>
      <c r="Q87" s="16"/>
      <c r="R87" s="17">
        <f t="shared" si="47"/>
        <v>1123813.04</v>
      </c>
      <c r="S87" s="17">
        <f t="shared" si="9"/>
        <v>143813.04</v>
      </c>
      <c r="T87" s="18">
        <f t="shared" si="10"/>
        <v>-130586.95999999996</v>
      </c>
    </row>
    <row r="88" spans="1:20" ht="15.75" customHeight="1" x14ac:dyDescent="0.35">
      <c r="A88" s="19">
        <v>76</v>
      </c>
      <c r="B88" s="19" t="s">
        <v>119</v>
      </c>
      <c r="C88" s="3" t="s">
        <v>120</v>
      </c>
      <c r="D88" s="2" t="s">
        <v>125</v>
      </c>
      <c r="E88" s="10">
        <v>1100</v>
      </c>
      <c r="F88" s="10">
        <v>1035000</v>
      </c>
      <c r="G88" s="11">
        <v>0.28000000000000003</v>
      </c>
      <c r="H88" s="12">
        <f t="shared" si="39"/>
        <v>1324800</v>
      </c>
      <c r="I88" s="13">
        <f t="shared" si="40"/>
        <v>289800</v>
      </c>
      <c r="J88" s="14">
        <f t="shared" si="41"/>
        <v>0.28000000000000003</v>
      </c>
      <c r="K88" s="13">
        <f t="shared" si="42"/>
        <v>940.90909090909088</v>
      </c>
      <c r="L88" s="13">
        <f t="shared" si="43"/>
        <v>1204.3636363636363</v>
      </c>
      <c r="M88" s="13">
        <f t="shared" si="44"/>
        <v>263.45454545454538</v>
      </c>
      <c r="N88" s="15">
        <f t="shared" si="45"/>
        <v>499.99999999999994</v>
      </c>
      <c r="O88" s="13">
        <f t="shared" si="46"/>
        <v>289999.99999999994</v>
      </c>
      <c r="P88" s="16">
        <v>0.47589999999999999</v>
      </c>
      <c r="Q88" s="16"/>
      <c r="R88" s="17">
        <f t="shared" si="47"/>
        <v>1186884.18</v>
      </c>
      <c r="S88" s="17">
        <f t="shared" si="9"/>
        <v>151884.18</v>
      </c>
      <c r="T88" s="18">
        <f t="shared" si="10"/>
        <v>-137915.82000000007</v>
      </c>
    </row>
    <row r="89" spans="1:20" ht="15.75" customHeight="1" x14ac:dyDescent="0.35">
      <c r="A89" s="9">
        <v>77</v>
      </c>
      <c r="B89" s="9" t="s">
        <v>119</v>
      </c>
      <c r="C89" s="5" t="s">
        <v>120</v>
      </c>
      <c r="D89" s="4" t="s">
        <v>126</v>
      </c>
      <c r="E89" s="10">
        <v>1148</v>
      </c>
      <c r="F89" s="10">
        <v>1080000</v>
      </c>
      <c r="G89" s="11">
        <v>0.28000000000000003</v>
      </c>
      <c r="H89" s="12">
        <f t="shared" si="39"/>
        <v>1382400</v>
      </c>
      <c r="I89" s="13">
        <f t="shared" si="40"/>
        <v>302400</v>
      </c>
      <c r="J89" s="14">
        <f t="shared" si="41"/>
        <v>0.28000000000000003</v>
      </c>
      <c r="K89" s="13">
        <f t="shared" si="42"/>
        <v>940.76655052264812</v>
      </c>
      <c r="L89" s="13">
        <f t="shared" si="43"/>
        <v>1204.1811846689895</v>
      </c>
      <c r="M89" s="13">
        <f t="shared" si="44"/>
        <v>263.41463414634143</v>
      </c>
      <c r="N89" s="15">
        <f t="shared" si="45"/>
        <v>521.81818181818176</v>
      </c>
      <c r="O89" s="13">
        <f t="shared" si="46"/>
        <v>302654.54545454541</v>
      </c>
      <c r="P89" s="16">
        <v>0.47589999999999999</v>
      </c>
      <c r="Q89" s="16"/>
      <c r="R89" s="17">
        <f t="shared" si="47"/>
        <v>1238487.8400000001</v>
      </c>
      <c r="S89" s="17">
        <f t="shared" si="9"/>
        <v>158487.84</v>
      </c>
      <c r="T89" s="18">
        <f t="shared" si="10"/>
        <v>-143912.15999999992</v>
      </c>
    </row>
    <row r="90" spans="1:20" ht="15.75" customHeight="1" x14ac:dyDescent="0.35">
      <c r="A90" s="19">
        <v>78</v>
      </c>
      <c r="B90" s="19" t="s">
        <v>119</v>
      </c>
      <c r="C90" s="3" t="s">
        <v>120</v>
      </c>
      <c r="D90" s="2" t="s">
        <v>127</v>
      </c>
      <c r="E90" s="10">
        <v>1161</v>
      </c>
      <c r="F90" s="10">
        <v>1080000</v>
      </c>
      <c r="G90" s="11">
        <v>0.28299999999999997</v>
      </c>
      <c r="H90" s="12">
        <f t="shared" si="39"/>
        <v>1385640</v>
      </c>
      <c r="I90" s="13">
        <f t="shared" si="40"/>
        <v>305640</v>
      </c>
      <c r="J90" s="14">
        <f t="shared" si="41"/>
        <v>0.28299999999999997</v>
      </c>
      <c r="K90" s="13">
        <f t="shared" si="42"/>
        <v>930.23255813953483</v>
      </c>
      <c r="L90" s="13">
        <f t="shared" si="43"/>
        <v>1193.4883720930231</v>
      </c>
      <c r="M90" s="13">
        <f t="shared" si="44"/>
        <v>263.25581395348831</v>
      </c>
      <c r="N90" s="15">
        <f t="shared" si="45"/>
        <v>527.72727272727263</v>
      </c>
      <c r="O90" s="13">
        <f t="shared" si="46"/>
        <v>306081.81818181812</v>
      </c>
      <c r="P90" s="16">
        <v>0.47589999999999999</v>
      </c>
      <c r="Q90" s="16"/>
      <c r="R90" s="17">
        <f t="shared" si="47"/>
        <v>1240185.9240000001</v>
      </c>
      <c r="S90" s="17">
        <f t="shared" si="9"/>
        <v>160185.924</v>
      </c>
      <c r="T90" s="18">
        <f t="shared" si="10"/>
        <v>-145454.07599999988</v>
      </c>
    </row>
    <row r="91" spans="1:20" ht="15.75" customHeight="1" x14ac:dyDescent="0.35">
      <c r="A91" s="9">
        <v>79</v>
      </c>
      <c r="B91" s="9" t="s">
        <v>119</v>
      </c>
      <c r="C91" s="5" t="s">
        <v>120</v>
      </c>
      <c r="D91" s="4" t="s">
        <v>128</v>
      </c>
      <c r="E91" s="10">
        <v>1053</v>
      </c>
      <c r="F91" s="10">
        <v>980000</v>
      </c>
      <c r="G91" s="11">
        <v>0.28399999999999997</v>
      </c>
      <c r="H91" s="12">
        <f t="shared" si="39"/>
        <v>1258320</v>
      </c>
      <c r="I91" s="13">
        <f t="shared" si="40"/>
        <v>278320</v>
      </c>
      <c r="J91" s="14">
        <f t="shared" si="41"/>
        <v>0.28399999999999997</v>
      </c>
      <c r="K91" s="13">
        <f t="shared" si="42"/>
        <v>930.67426400759734</v>
      </c>
      <c r="L91" s="13">
        <f t="shared" si="43"/>
        <v>1194.985754985755</v>
      </c>
      <c r="M91" s="13">
        <f t="shared" si="44"/>
        <v>264.31149097815762</v>
      </c>
      <c r="N91" s="15">
        <f t="shared" si="45"/>
        <v>478.63636363636363</v>
      </c>
      <c r="O91" s="13">
        <f t="shared" si="46"/>
        <v>277609.09090909088</v>
      </c>
      <c r="P91" s="16">
        <v>0.47589999999999999</v>
      </c>
      <c r="Q91" s="16"/>
      <c r="R91" s="17">
        <f t="shared" si="47"/>
        <v>1125867.5120000001</v>
      </c>
      <c r="S91" s="17">
        <f t="shared" si="9"/>
        <v>145867.51200000002</v>
      </c>
      <c r="T91" s="18">
        <f t="shared" si="10"/>
        <v>-132452.4879999999</v>
      </c>
    </row>
    <row r="92" spans="1:20" ht="15.75" customHeight="1" x14ac:dyDescent="0.35">
      <c r="A92" s="19">
        <v>80</v>
      </c>
      <c r="B92" s="19" t="s">
        <v>119</v>
      </c>
      <c r="C92" s="3" t="s">
        <v>120</v>
      </c>
      <c r="D92" s="2" t="s">
        <v>129</v>
      </c>
      <c r="E92" s="10">
        <v>1185</v>
      </c>
      <c r="F92" s="10">
        <v>1100000</v>
      </c>
      <c r="G92" s="11">
        <v>0.28399999999999997</v>
      </c>
      <c r="H92" s="12">
        <f t="shared" si="39"/>
        <v>1412400</v>
      </c>
      <c r="I92" s="13">
        <f t="shared" si="40"/>
        <v>312400</v>
      </c>
      <c r="J92" s="14">
        <f t="shared" si="41"/>
        <v>0.28399999999999997</v>
      </c>
      <c r="K92" s="13">
        <f t="shared" si="42"/>
        <v>928.27004219409287</v>
      </c>
      <c r="L92" s="13">
        <f t="shared" si="43"/>
        <v>1191.8987341772151</v>
      </c>
      <c r="M92" s="13">
        <f t="shared" si="44"/>
        <v>263.62869198312228</v>
      </c>
      <c r="N92" s="15">
        <f t="shared" si="45"/>
        <v>538.63636363636363</v>
      </c>
      <c r="O92" s="13">
        <f t="shared" si="46"/>
        <v>312409.09090909088</v>
      </c>
      <c r="P92" s="16">
        <v>0.47589999999999999</v>
      </c>
      <c r="Q92" s="16"/>
      <c r="R92" s="17">
        <f t="shared" si="47"/>
        <v>1263728.8400000001</v>
      </c>
      <c r="S92" s="17">
        <f t="shared" si="9"/>
        <v>163728.84</v>
      </c>
      <c r="T92" s="18">
        <f t="shared" si="10"/>
        <v>-148671.15999999992</v>
      </c>
    </row>
    <row r="93" spans="1:20" ht="15.75" customHeight="1" x14ac:dyDescent="0.35">
      <c r="A93" s="9">
        <v>81</v>
      </c>
      <c r="B93" s="9" t="s">
        <v>119</v>
      </c>
      <c r="C93" s="5" t="s">
        <v>120</v>
      </c>
      <c r="D93" s="4" t="s">
        <v>130</v>
      </c>
      <c r="E93" s="10">
        <v>1096</v>
      </c>
      <c r="F93" s="10">
        <v>1000000</v>
      </c>
      <c r="G93" s="11">
        <v>0.28799999999999998</v>
      </c>
      <c r="H93" s="12">
        <f t="shared" si="39"/>
        <v>1288000</v>
      </c>
      <c r="I93" s="13">
        <f t="shared" si="40"/>
        <v>288000</v>
      </c>
      <c r="J93" s="14">
        <f t="shared" si="41"/>
        <v>0.28799999999999998</v>
      </c>
      <c r="K93" s="13">
        <f t="shared" si="42"/>
        <v>912.40875912408762</v>
      </c>
      <c r="L93" s="13">
        <f t="shared" si="43"/>
        <v>1175.1824817518248</v>
      </c>
      <c r="M93" s="13">
        <f t="shared" si="44"/>
        <v>262.77372262773713</v>
      </c>
      <c r="N93" s="15">
        <f t="shared" si="45"/>
        <v>498.18181818181813</v>
      </c>
      <c r="O93" s="13">
        <f t="shared" si="46"/>
        <v>288945.45454545453</v>
      </c>
      <c r="P93" s="16">
        <v>0.47589999999999999</v>
      </c>
      <c r="Q93" s="16"/>
      <c r="R93" s="17">
        <f t="shared" si="47"/>
        <v>1150940.8</v>
      </c>
      <c r="S93" s="17">
        <f t="shared" si="9"/>
        <v>150940.80000000002</v>
      </c>
      <c r="T93" s="18">
        <f t="shared" si="10"/>
        <v>-137059.19999999995</v>
      </c>
    </row>
    <row r="94" spans="1:20" ht="15.75" customHeight="1" x14ac:dyDescent="0.35">
      <c r="A94" s="19">
        <v>82</v>
      </c>
      <c r="B94" s="19" t="s">
        <v>119</v>
      </c>
      <c r="C94" s="3" t="s">
        <v>120</v>
      </c>
      <c r="D94" s="2" t="s">
        <v>131</v>
      </c>
      <c r="E94" s="10">
        <v>1113</v>
      </c>
      <c r="F94" s="10">
        <v>1035000</v>
      </c>
      <c r="G94" s="11">
        <v>0.28399999999999997</v>
      </c>
      <c r="H94" s="12">
        <f t="shared" si="39"/>
        <v>1328940</v>
      </c>
      <c r="I94" s="13">
        <f t="shared" si="40"/>
        <v>293940</v>
      </c>
      <c r="J94" s="14">
        <f t="shared" si="41"/>
        <v>0.28399999999999997</v>
      </c>
      <c r="K94" s="13">
        <f t="shared" si="42"/>
        <v>929.91913746630723</v>
      </c>
      <c r="L94" s="13">
        <f t="shared" si="43"/>
        <v>1194.0161725067385</v>
      </c>
      <c r="M94" s="13">
        <f t="shared" si="44"/>
        <v>264.09703504043125</v>
      </c>
      <c r="N94" s="15">
        <f t="shared" si="45"/>
        <v>505.90909090909088</v>
      </c>
      <c r="O94" s="13">
        <f t="shared" si="46"/>
        <v>293427.27272727271</v>
      </c>
      <c r="P94" s="16">
        <v>0.47589999999999999</v>
      </c>
      <c r="Q94" s="16"/>
      <c r="R94" s="17">
        <f t="shared" si="47"/>
        <v>1189053.9539999999</v>
      </c>
      <c r="S94" s="17">
        <f t="shared" si="9"/>
        <v>154053.954</v>
      </c>
      <c r="T94" s="18">
        <f t="shared" si="10"/>
        <v>-139886.04600000009</v>
      </c>
    </row>
    <row r="95" spans="1:20" ht="15.75" customHeight="1" x14ac:dyDescent="0.35">
      <c r="A95" s="9">
        <v>83</v>
      </c>
      <c r="B95" s="9" t="s">
        <v>119</v>
      </c>
      <c r="C95" s="5" t="s">
        <v>120</v>
      </c>
      <c r="D95" s="4" t="s">
        <v>132</v>
      </c>
      <c r="E95" s="10">
        <v>1041</v>
      </c>
      <c r="F95" s="10">
        <v>980000</v>
      </c>
      <c r="G95" s="11">
        <v>0.28000000000000003</v>
      </c>
      <c r="H95" s="12">
        <f t="shared" si="39"/>
        <v>1254400</v>
      </c>
      <c r="I95" s="13">
        <f t="shared" si="40"/>
        <v>274400</v>
      </c>
      <c r="J95" s="14">
        <f t="shared" si="41"/>
        <v>0.28000000000000003</v>
      </c>
      <c r="K95" s="13">
        <f t="shared" si="42"/>
        <v>941.40249759846301</v>
      </c>
      <c r="L95" s="13">
        <f t="shared" si="43"/>
        <v>1204.9951969260326</v>
      </c>
      <c r="M95" s="13">
        <f t="shared" si="44"/>
        <v>263.59269932756956</v>
      </c>
      <c r="N95" s="15">
        <f t="shared" si="45"/>
        <v>473.18181818181813</v>
      </c>
      <c r="O95" s="13">
        <f t="shared" si="46"/>
        <v>274445.45454545453</v>
      </c>
      <c r="P95" s="16">
        <v>0.47589999999999999</v>
      </c>
      <c r="Q95" s="16"/>
      <c r="R95" s="17">
        <f t="shared" si="47"/>
        <v>1123813.04</v>
      </c>
      <c r="S95" s="17">
        <f t="shared" si="9"/>
        <v>143813.04</v>
      </c>
      <c r="T95" s="18">
        <f t="shared" si="10"/>
        <v>-130586.95999999996</v>
      </c>
    </row>
    <row r="96" spans="1:20" ht="15.75" customHeight="1" x14ac:dyDescent="0.35">
      <c r="A96" s="19">
        <v>84</v>
      </c>
      <c r="B96" s="19" t="s">
        <v>119</v>
      </c>
      <c r="C96" s="3" t="s">
        <v>120</v>
      </c>
      <c r="D96" s="2" t="s">
        <v>133</v>
      </c>
      <c r="E96" s="10">
        <v>1173</v>
      </c>
      <c r="F96" s="10">
        <v>1080000</v>
      </c>
      <c r="G96" s="11">
        <v>0.28599999999999998</v>
      </c>
      <c r="H96" s="12">
        <f t="shared" si="39"/>
        <v>1388880</v>
      </c>
      <c r="I96" s="13">
        <f t="shared" si="40"/>
        <v>308880</v>
      </c>
      <c r="J96" s="14">
        <f t="shared" si="41"/>
        <v>0.28599999999999998</v>
      </c>
      <c r="K96" s="13">
        <f t="shared" si="42"/>
        <v>920.71611253196932</v>
      </c>
      <c r="L96" s="13">
        <f t="shared" si="43"/>
        <v>1184.0409207161126</v>
      </c>
      <c r="M96" s="13">
        <f t="shared" si="44"/>
        <v>263.32480818414331</v>
      </c>
      <c r="N96" s="15">
        <f t="shared" si="45"/>
        <v>533.18181818181813</v>
      </c>
      <c r="O96" s="13">
        <f t="shared" si="46"/>
        <v>309245.45454545453</v>
      </c>
      <c r="P96" s="16">
        <v>0.47589999999999999</v>
      </c>
      <c r="Q96" s="16"/>
      <c r="R96" s="17">
        <f t="shared" si="47"/>
        <v>1241884.0079999999</v>
      </c>
      <c r="S96" s="17">
        <f t="shared" si="9"/>
        <v>161884.008</v>
      </c>
      <c r="T96" s="18">
        <f t="shared" si="10"/>
        <v>-146995.99200000009</v>
      </c>
    </row>
    <row r="97" spans="1:20" ht="15.75" customHeight="1" x14ac:dyDescent="0.35">
      <c r="A97" s="9">
        <v>85</v>
      </c>
      <c r="B97" s="9" t="s">
        <v>119</v>
      </c>
      <c r="C97" s="5" t="s">
        <v>120</v>
      </c>
      <c r="D97" s="4" t="s">
        <v>134</v>
      </c>
      <c r="E97" s="10">
        <v>1084</v>
      </c>
      <c r="F97" s="10">
        <v>1000000</v>
      </c>
      <c r="G97" s="11">
        <v>0.28499999999999998</v>
      </c>
      <c r="H97" s="12">
        <f t="shared" si="39"/>
        <v>1285000</v>
      </c>
      <c r="I97" s="13">
        <f t="shared" si="40"/>
        <v>285000</v>
      </c>
      <c r="J97" s="14">
        <f t="shared" si="41"/>
        <v>0.28499999999999998</v>
      </c>
      <c r="K97" s="13">
        <f t="shared" si="42"/>
        <v>922.50922509225097</v>
      </c>
      <c r="L97" s="13">
        <f t="shared" si="43"/>
        <v>1185.4243542435424</v>
      </c>
      <c r="M97" s="13">
        <f t="shared" si="44"/>
        <v>262.91512915129147</v>
      </c>
      <c r="N97" s="15">
        <f t="shared" si="45"/>
        <v>492.72727272727269</v>
      </c>
      <c r="O97" s="13">
        <f t="shared" si="46"/>
        <v>285781.81818181818</v>
      </c>
      <c r="P97" s="16">
        <v>0.47589999999999999</v>
      </c>
      <c r="Q97" s="16"/>
      <c r="R97" s="17">
        <f t="shared" si="47"/>
        <v>1149368.5</v>
      </c>
      <c r="S97" s="17">
        <f t="shared" si="9"/>
        <v>149368.5</v>
      </c>
      <c r="T97" s="18">
        <f t="shared" si="10"/>
        <v>-135631.5</v>
      </c>
    </row>
    <row r="98" spans="1:20" ht="15.75" customHeight="1" x14ac:dyDescent="0.35">
      <c r="A98" s="19">
        <v>86</v>
      </c>
      <c r="B98" s="19" t="s">
        <v>119</v>
      </c>
      <c r="C98" s="3" t="s">
        <v>120</v>
      </c>
      <c r="D98" s="2" t="s">
        <v>135</v>
      </c>
      <c r="E98" s="10">
        <v>1037</v>
      </c>
      <c r="F98" s="10">
        <v>980000</v>
      </c>
      <c r="G98" s="11">
        <v>0.27900000000000003</v>
      </c>
      <c r="H98" s="12">
        <f t="shared" si="39"/>
        <v>1253420</v>
      </c>
      <c r="I98" s="13">
        <f t="shared" si="40"/>
        <v>273420</v>
      </c>
      <c r="J98" s="14">
        <f t="shared" si="41"/>
        <v>0.27900000000000003</v>
      </c>
      <c r="K98" s="13">
        <f t="shared" si="42"/>
        <v>945.03375120540022</v>
      </c>
      <c r="L98" s="13">
        <f t="shared" si="43"/>
        <v>1208.6981677917067</v>
      </c>
      <c r="M98" s="13">
        <f t="shared" si="44"/>
        <v>263.66441658630652</v>
      </c>
      <c r="N98" s="15">
        <f t="shared" si="45"/>
        <v>471.36363636363632</v>
      </c>
      <c r="O98" s="13">
        <f t="shared" si="46"/>
        <v>273390.90909090906</v>
      </c>
      <c r="P98" s="16">
        <v>0.47589999999999999</v>
      </c>
      <c r="Q98" s="16"/>
      <c r="R98" s="17">
        <f t="shared" si="47"/>
        <v>1123299.422</v>
      </c>
      <c r="S98" s="17">
        <f t="shared" si="9"/>
        <v>143299.42199999999</v>
      </c>
      <c r="T98" s="18">
        <f t="shared" si="10"/>
        <v>-130120.57799999998</v>
      </c>
    </row>
    <row r="99" spans="1:20" ht="15.75" customHeight="1" x14ac:dyDescent="0.35">
      <c r="A99" s="9">
        <v>87</v>
      </c>
      <c r="B99" s="9" t="s">
        <v>119</v>
      </c>
      <c r="C99" s="5" t="s">
        <v>120</v>
      </c>
      <c r="D99" s="4" t="s">
        <v>136</v>
      </c>
      <c r="E99" s="10">
        <v>1055</v>
      </c>
      <c r="F99" s="10">
        <v>990000</v>
      </c>
      <c r="G99" s="11">
        <v>0.28000000000000003</v>
      </c>
      <c r="H99" s="12">
        <f t="shared" si="39"/>
        <v>1267200</v>
      </c>
      <c r="I99" s="13">
        <f t="shared" si="40"/>
        <v>277200</v>
      </c>
      <c r="J99" s="14">
        <f t="shared" si="41"/>
        <v>0.28000000000000003</v>
      </c>
      <c r="K99" s="13">
        <f t="shared" si="42"/>
        <v>938.38862559241704</v>
      </c>
      <c r="L99" s="13">
        <f t="shared" si="43"/>
        <v>1201.1374407582939</v>
      </c>
      <c r="M99" s="13">
        <f t="shared" si="44"/>
        <v>262.74881516587686</v>
      </c>
      <c r="N99" s="15">
        <f t="shared" si="45"/>
        <v>479.5454545454545</v>
      </c>
      <c r="O99" s="13">
        <f t="shared" si="46"/>
        <v>278136.36363636359</v>
      </c>
      <c r="P99" s="16">
        <v>0.47589999999999999</v>
      </c>
      <c r="Q99" s="16"/>
      <c r="R99" s="17">
        <f t="shared" si="47"/>
        <v>1135280.52</v>
      </c>
      <c r="S99" s="17">
        <f t="shared" si="9"/>
        <v>145280.51999999999</v>
      </c>
      <c r="T99" s="18">
        <f t="shared" si="10"/>
        <v>-131919.47999999998</v>
      </c>
    </row>
    <row r="100" spans="1:20" ht="15.75" customHeight="1" x14ac:dyDescent="0.35">
      <c r="A100" s="19">
        <v>88</v>
      </c>
      <c r="B100" s="19" t="s">
        <v>119</v>
      </c>
      <c r="C100" s="3" t="s">
        <v>120</v>
      </c>
      <c r="D100" s="2" t="s">
        <v>137</v>
      </c>
      <c r="E100" s="10">
        <v>1116</v>
      </c>
      <c r="F100" s="10">
        <v>1035000</v>
      </c>
      <c r="G100" s="11">
        <v>0.28499999999999998</v>
      </c>
      <c r="H100" s="12">
        <f t="shared" si="39"/>
        <v>1329975</v>
      </c>
      <c r="I100" s="13">
        <f t="shared" si="40"/>
        <v>294975</v>
      </c>
      <c r="J100" s="14">
        <f t="shared" si="41"/>
        <v>0.28499999999999998</v>
      </c>
      <c r="K100" s="13">
        <f t="shared" si="42"/>
        <v>927.41935483870964</v>
      </c>
      <c r="L100" s="13">
        <f t="shared" si="43"/>
        <v>1191.733870967742</v>
      </c>
      <c r="M100" s="13">
        <f t="shared" si="44"/>
        <v>264.31451612903231</v>
      </c>
      <c r="N100" s="15">
        <f t="shared" si="45"/>
        <v>507.27272727272725</v>
      </c>
      <c r="O100" s="13">
        <f t="shared" si="46"/>
        <v>294218.18181818182</v>
      </c>
      <c r="P100" s="16">
        <v>0.47589999999999999</v>
      </c>
      <c r="Q100" s="16"/>
      <c r="R100" s="17">
        <f t="shared" si="47"/>
        <v>1189596.3975</v>
      </c>
      <c r="S100" s="17">
        <f t="shared" si="9"/>
        <v>154596.39749999999</v>
      </c>
      <c r="T100" s="18">
        <f t="shared" si="10"/>
        <v>-140378.60250000004</v>
      </c>
    </row>
    <row r="101" spans="1:20" ht="15.75" customHeight="1" x14ac:dyDescent="0.35">
      <c r="A101" s="9">
        <v>89</v>
      </c>
      <c r="B101" s="9" t="s">
        <v>119</v>
      </c>
      <c r="C101" s="5" t="s">
        <v>120</v>
      </c>
      <c r="D101" s="4" t="s">
        <v>138</v>
      </c>
      <c r="E101" s="10">
        <v>1079</v>
      </c>
      <c r="F101" s="10">
        <v>1000000</v>
      </c>
      <c r="G101" s="11">
        <v>0.28399999999999997</v>
      </c>
      <c r="H101" s="12">
        <f t="shared" si="39"/>
        <v>1284000</v>
      </c>
      <c r="I101" s="13">
        <f t="shared" si="40"/>
        <v>284000</v>
      </c>
      <c r="J101" s="14">
        <f t="shared" si="41"/>
        <v>0.28399999999999997</v>
      </c>
      <c r="K101" s="13">
        <f t="shared" si="42"/>
        <v>926.78405931417979</v>
      </c>
      <c r="L101" s="13">
        <f t="shared" si="43"/>
        <v>1189.9907321594069</v>
      </c>
      <c r="M101" s="13">
        <f t="shared" si="44"/>
        <v>263.2066728452271</v>
      </c>
      <c r="N101" s="15">
        <f t="shared" si="45"/>
        <v>490.45454545454544</v>
      </c>
      <c r="O101" s="13">
        <f t="shared" si="46"/>
        <v>284463.63636363635</v>
      </c>
      <c r="P101" s="16">
        <v>0.47589999999999999</v>
      </c>
      <c r="Q101" s="16"/>
      <c r="R101" s="17">
        <f t="shared" si="47"/>
        <v>1148844.3999999999</v>
      </c>
      <c r="S101" s="17">
        <f t="shared" si="9"/>
        <v>148844.4</v>
      </c>
      <c r="T101" s="18">
        <f t="shared" si="10"/>
        <v>-135155.60000000009</v>
      </c>
    </row>
    <row r="102" spans="1:20" ht="15.75" customHeight="1" x14ac:dyDescent="0.35">
      <c r="A102" s="19">
        <v>90</v>
      </c>
      <c r="B102" s="19" t="s">
        <v>119</v>
      </c>
      <c r="C102" s="3" t="s">
        <v>120</v>
      </c>
      <c r="D102" s="2" t="s">
        <v>139</v>
      </c>
      <c r="E102" s="10">
        <v>1098</v>
      </c>
      <c r="F102" s="10">
        <v>1035000</v>
      </c>
      <c r="G102" s="11">
        <v>0.28000000000000003</v>
      </c>
      <c r="H102" s="12">
        <f t="shared" si="39"/>
        <v>1324800</v>
      </c>
      <c r="I102" s="13">
        <f t="shared" si="40"/>
        <v>289800</v>
      </c>
      <c r="J102" s="14">
        <f t="shared" si="41"/>
        <v>0.28000000000000003</v>
      </c>
      <c r="K102" s="13">
        <f t="shared" si="42"/>
        <v>942.62295081967216</v>
      </c>
      <c r="L102" s="13">
        <f t="shared" si="43"/>
        <v>1206.5573770491803</v>
      </c>
      <c r="M102" s="13">
        <f t="shared" si="44"/>
        <v>263.93442622950818</v>
      </c>
      <c r="N102" s="15">
        <f t="shared" si="45"/>
        <v>499.09090909090907</v>
      </c>
      <c r="O102" s="13">
        <f t="shared" si="46"/>
        <v>289472.72727272724</v>
      </c>
      <c r="P102" s="16">
        <v>0.47589999999999999</v>
      </c>
      <c r="Q102" s="16"/>
      <c r="R102" s="17">
        <f t="shared" si="47"/>
        <v>1186884.18</v>
      </c>
      <c r="S102" s="17">
        <f t="shared" si="9"/>
        <v>151884.18</v>
      </c>
      <c r="T102" s="18">
        <f t="shared" si="10"/>
        <v>-137915.82000000007</v>
      </c>
    </row>
    <row r="103" spans="1:20" ht="15.75" customHeight="1" x14ac:dyDescent="0.35">
      <c r="A103" s="9">
        <v>91</v>
      </c>
      <c r="B103" s="9" t="s">
        <v>119</v>
      </c>
      <c r="C103" s="5" t="s">
        <v>120</v>
      </c>
      <c r="D103" s="4" t="s">
        <v>140</v>
      </c>
      <c r="E103" s="10">
        <v>1022</v>
      </c>
      <c r="F103" s="10">
        <v>980000</v>
      </c>
      <c r="G103" s="11">
        <v>0.27500000000000002</v>
      </c>
      <c r="H103" s="12">
        <f t="shared" si="39"/>
        <v>1249500</v>
      </c>
      <c r="I103" s="13">
        <f t="shared" si="40"/>
        <v>269500</v>
      </c>
      <c r="J103" s="14">
        <f t="shared" si="41"/>
        <v>0.27500000000000002</v>
      </c>
      <c r="K103" s="13">
        <f t="shared" si="42"/>
        <v>958.90410958904113</v>
      </c>
      <c r="L103" s="13">
        <f t="shared" si="43"/>
        <v>1222.6027397260275</v>
      </c>
      <c r="M103" s="13">
        <f t="shared" si="44"/>
        <v>263.69863013698637</v>
      </c>
      <c r="N103" s="15">
        <f t="shared" si="45"/>
        <v>464.5454545454545</v>
      </c>
      <c r="O103" s="13">
        <f t="shared" si="46"/>
        <v>269436.36363636359</v>
      </c>
      <c r="P103" s="16">
        <v>0.47589999999999999</v>
      </c>
      <c r="Q103" s="16"/>
      <c r="R103" s="17">
        <f t="shared" si="47"/>
        <v>1121244.95</v>
      </c>
      <c r="S103" s="17">
        <f t="shared" si="9"/>
        <v>141244.95000000001</v>
      </c>
      <c r="T103" s="18">
        <f t="shared" si="10"/>
        <v>-128255.05000000005</v>
      </c>
    </row>
    <row r="104" spans="1:20" ht="15.75" customHeight="1" x14ac:dyDescent="0.35">
      <c r="A104" s="19">
        <v>92</v>
      </c>
      <c r="B104" s="19" t="s">
        <v>119</v>
      </c>
      <c r="C104" s="3" t="s">
        <v>120</v>
      </c>
      <c r="D104" s="2" t="s">
        <v>141</v>
      </c>
      <c r="E104" s="10">
        <v>1131</v>
      </c>
      <c r="F104" s="10">
        <v>1050000</v>
      </c>
      <c r="G104" s="11">
        <v>0.28399999999999997</v>
      </c>
      <c r="H104" s="12">
        <f t="shared" si="39"/>
        <v>1348200</v>
      </c>
      <c r="I104" s="13">
        <f t="shared" si="40"/>
        <v>298200</v>
      </c>
      <c r="J104" s="14">
        <f t="shared" si="41"/>
        <v>0.28399999999999997</v>
      </c>
      <c r="K104" s="13">
        <f t="shared" si="42"/>
        <v>928.38196286472146</v>
      </c>
      <c r="L104" s="13">
        <f t="shared" si="43"/>
        <v>1192.0424403183024</v>
      </c>
      <c r="M104" s="13">
        <f t="shared" si="44"/>
        <v>263.66047745358094</v>
      </c>
      <c r="N104" s="15">
        <f t="shared" si="45"/>
        <v>514.09090909090901</v>
      </c>
      <c r="O104" s="13">
        <f t="shared" si="46"/>
        <v>298172.72727272724</v>
      </c>
      <c r="P104" s="16">
        <v>0.47589999999999999</v>
      </c>
      <c r="Q104" s="16"/>
      <c r="R104" s="17">
        <f t="shared" si="47"/>
        <v>1206286.6200000001</v>
      </c>
      <c r="S104" s="17">
        <f t="shared" si="9"/>
        <v>156286.62</v>
      </c>
      <c r="T104" s="18">
        <f t="shared" si="10"/>
        <v>-141913.37999999989</v>
      </c>
    </row>
    <row r="105" spans="1:20" ht="15.75" customHeight="1" x14ac:dyDescent="0.35">
      <c r="A105" s="9">
        <v>93</v>
      </c>
      <c r="B105" s="9" t="s">
        <v>119</v>
      </c>
      <c r="C105" s="5" t="s">
        <v>120</v>
      </c>
      <c r="D105" s="4" t="s">
        <v>142</v>
      </c>
      <c r="E105" s="10">
        <v>1145</v>
      </c>
      <c r="F105" s="10">
        <v>1050000</v>
      </c>
      <c r="G105" s="11">
        <v>0.28799999999999998</v>
      </c>
      <c r="H105" s="12">
        <f t="shared" si="39"/>
        <v>1352400</v>
      </c>
      <c r="I105" s="13">
        <f t="shared" si="40"/>
        <v>302400</v>
      </c>
      <c r="J105" s="14">
        <f t="shared" si="41"/>
        <v>0.28799999999999998</v>
      </c>
      <c r="K105" s="13">
        <f t="shared" si="42"/>
        <v>917.03056768558952</v>
      </c>
      <c r="L105" s="13">
        <f t="shared" si="43"/>
        <v>1181.1353711790393</v>
      </c>
      <c r="M105" s="13">
        <f t="shared" si="44"/>
        <v>264.10480349344982</v>
      </c>
      <c r="N105" s="15">
        <f t="shared" si="45"/>
        <v>520.45454545454538</v>
      </c>
      <c r="O105" s="13">
        <f t="shared" si="46"/>
        <v>301863.63636363629</v>
      </c>
      <c r="P105" s="16">
        <v>0.47589999999999999</v>
      </c>
      <c r="Q105" s="16"/>
      <c r="R105" s="17">
        <f t="shared" si="47"/>
        <v>1208487.8400000001</v>
      </c>
      <c r="S105" s="17">
        <f t="shared" si="9"/>
        <v>158487.84</v>
      </c>
      <c r="T105" s="18">
        <f t="shared" si="10"/>
        <v>-143912.15999999992</v>
      </c>
    </row>
    <row r="106" spans="1:20" ht="18" customHeight="1" x14ac:dyDescent="0.35">
      <c r="A106" s="25" t="s">
        <v>143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7"/>
    </row>
    <row r="107" spans="1:20" ht="14.25" customHeight="1" x14ac:dyDescent="0.35"/>
    <row r="108" spans="1:20" ht="14.25" customHeight="1" x14ac:dyDescent="0.35"/>
    <row r="109" spans="1:20" ht="14.25" customHeight="1" x14ac:dyDescent="0.35"/>
    <row r="110" spans="1:20" ht="14.25" customHeight="1" x14ac:dyDescent="0.35"/>
    <row r="111" spans="1:20" ht="14.25" customHeight="1" x14ac:dyDescent="0.35"/>
    <row r="112" spans="1:20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4">
    <mergeCell ref="A83:R83"/>
    <mergeCell ref="A106:R106"/>
    <mergeCell ref="A1:O2"/>
    <mergeCell ref="A3:O3"/>
    <mergeCell ref="E4:G4"/>
    <mergeCell ref="H4:J4"/>
    <mergeCell ref="K4:M4"/>
    <mergeCell ref="N4:O4"/>
    <mergeCell ref="P4:R4"/>
    <mergeCell ref="A4:D4"/>
    <mergeCell ref="A8:R8"/>
    <mergeCell ref="A18:R18"/>
    <mergeCell ref="A38:R38"/>
    <mergeCell ref="A57:R57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showGridLines="0" tabSelected="1" workbookViewId="0">
      <pane ySplit="7" topLeftCell="A64" activePane="bottomLeft" state="frozen"/>
      <selection pane="bottomLeft" activeCell="A72" sqref="A72"/>
    </sheetView>
  </sheetViews>
  <sheetFormatPr baseColWidth="10" defaultColWidth="14.453125" defaultRowHeight="15" customHeight="1" x14ac:dyDescent="0.35"/>
  <cols>
    <col min="1" max="1" width="5" customWidth="1"/>
    <col min="2" max="2" width="6" customWidth="1"/>
    <col min="3" max="3" width="20" customWidth="1"/>
    <col min="4" max="4" width="26" customWidth="1"/>
    <col min="5" max="5" width="7" customWidth="1"/>
    <col min="6" max="6" width="14" customWidth="1"/>
    <col min="7" max="7" width="8" customWidth="1"/>
    <col min="8" max="8" width="13" customWidth="1"/>
    <col min="9" max="9" width="14" customWidth="1"/>
    <col min="10" max="10" width="12" customWidth="1"/>
    <col min="11" max="11" width="9" customWidth="1"/>
    <col min="12" max="13" width="11" customWidth="1"/>
    <col min="14" max="14" width="10" customWidth="1"/>
    <col min="15" max="15" width="9" customWidth="1"/>
    <col min="16" max="16" width="15" customWidth="1"/>
    <col min="17" max="17" width="10.36328125" customWidth="1"/>
    <col min="18" max="18" width="13.453125" customWidth="1"/>
    <col min="19" max="21" width="8.6328125" hidden="1" customWidth="1"/>
    <col min="22" max="22" width="14.36328125" customWidth="1"/>
    <col min="23" max="26" width="8.6328125" customWidth="1"/>
  </cols>
  <sheetData>
    <row r="1" spans="1:20" ht="27.75" customHeight="1" x14ac:dyDescent="0.35">
      <c r="A1" s="28" t="s">
        <v>144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</row>
    <row r="2" spans="1:20" ht="3.75" customHeight="1" x14ac:dyDescent="0.3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3"/>
    </row>
    <row r="3" spans="1:20" ht="13.5" customHeight="1" x14ac:dyDescent="0.35">
      <c r="A3" s="34" t="s">
        <v>145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</row>
    <row r="4" spans="1:20" ht="18" customHeight="1" x14ac:dyDescent="0.35">
      <c r="A4" s="42" t="s">
        <v>4</v>
      </c>
      <c r="B4" s="26"/>
      <c r="C4" s="26"/>
      <c r="D4" s="36"/>
      <c r="E4" s="35" t="s">
        <v>5</v>
      </c>
      <c r="F4" s="26"/>
      <c r="G4" s="36"/>
      <c r="H4" s="20" t="s">
        <v>146</v>
      </c>
      <c r="I4" s="37" t="s">
        <v>6</v>
      </c>
      <c r="J4" s="26"/>
      <c r="K4" s="36"/>
      <c r="L4" s="38" t="s">
        <v>7</v>
      </c>
      <c r="M4" s="26"/>
      <c r="N4" s="36"/>
      <c r="O4" s="39" t="s">
        <v>8</v>
      </c>
      <c r="P4" s="36"/>
      <c r="Q4" s="40" t="s">
        <v>147</v>
      </c>
      <c r="R4" s="41"/>
    </row>
    <row r="5" spans="1:20" ht="39.75" customHeight="1" x14ac:dyDescent="0.35">
      <c r="A5" s="6"/>
      <c r="B5" s="6"/>
      <c r="C5" s="6"/>
      <c r="D5" s="6"/>
      <c r="E5" s="6" t="s">
        <v>10</v>
      </c>
      <c r="F5" s="6" t="s">
        <v>11</v>
      </c>
      <c r="G5" s="6" t="s">
        <v>12</v>
      </c>
      <c r="H5" s="6" t="s">
        <v>148</v>
      </c>
      <c r="I5" s="6" t="s">
        <v>13</v>
      </c>
      <c r="J5" s="6" t="s">
        <v>149</v>
      </c>
      <c r="K5" s="6" t="s">
        <v>150</v>
      </c>
      <c r="L5" s="6" t="s">
        <v>16</v>
      </c>
      <c r="M5" s="6" t="s">
        <v>151</v>
      </c>
      <c r="N5" s="6" t="s">
        <v>152</v>
      </c>
      <c r="O5" s="6" t="s">
        <v>19</v>
      </c>
      <c r="P5" s="6" t="s">
        <v>153</v>
      </c>
      <c r="Q5" s="7" t="s">
        <v>21</v>
      </c>
      <c r="R5" s="7" t="s">
        <v>154</v>
      </c>
    </row>
    <row r="6" spans="1:20" ht="27.75" customHeight="1" x14ac:dyDescent="0.35">
      <c r="A6" s="1" t="s">
        <v>23</v>
      </c>
      <c r="B6" s="1" t="s">
        <v>24</v>
      </c>
      <c r="C6" s="1" t="s">
        <v>0</v>
      </c>
      <c r="D6" s="1" t="s">
        <v>25</v>
      </c>
      <c r="E6" s="1" t="s">
        <v>10</v>
      </c>
      <c r="F6" s="1" t="s">
        <v>26</v>
      </c>
      <c r="G6" s="1" t="s">
        <v>27</v>
      </c>
      <c r="H6" s="1" t="s">
        <v>146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8" t="s">
        <v>36</v>
      </c>
      <c r="R6" s="8" t="s">
        <v>155</v>
      </c>
    </row>
    <row r="7" spans="1:20" ht="3.75" customHeight="1" x14ac:dyDescent="0.35"/>
    <row r="8" spans="1:20" ht="18" customHeight="1" x14ac:dyDescent="0.35">
      <c r="A8" s="25" t="s">
        <v>156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7"/>
    </row>
    <row r="9" spans="1:20" ht="15.75" customHeight="1" x14ac:dyDescent="0.35">
      <c r="A9" s="9">
        <v>1</v>
      </c>
      <c r="B9" s="9"/>
      <c r="C9" s="5" t="s">
        <v>157</v>
      </c>
      <c r="D9" s="4" t="s">
        <v>158</v>
      </c>
      <c r="E9" s="10">
        <v>780</v>
      </c>
      <c r="F9" s="10">
        <v>1250000</v>
      </c>
      <c r="G9" s="11">
        <v>0.24</v>
      </c>
      <c r="H9" s="21">
        <v>1455636.36363636</v>
      </c>
      <c r="I9" s="12">
        <f t="shared" ref="I9:I10" si="0">F9*(1+G9)</f>
        <v>1550000</v>
      </c>
      <c r="J9" s="13">
        <f t="shared" ref="J9:J10" si="1">I9-F9</f>
        <v>300000</v>
      </c>
      <c r="K9" s="14">
        <f t="shared" ref="K9:K10" si="2">J9/F9</f>
        <v>0.24</v>
      </c>
      <c r="L9" s="13">
        <f t="shared" ref="L9:L10" si="3">F9/E9</f>
        <v>1602.5641025641025</v>
      </c>
      <c r="M9" s="13">
        <f t="shared" ref="M9:M10" si="4">I9/E9</f>
        <v>1987.1794871794871</v>
      </c>
      <c r="N9" s="13">
        <f t="shared" ref="N9:N10" si="5">M9-L9</f>
        <v>384.61538461538453</v>
      </c>
      <c r="O9" s="15">
        <f t="shared" ref="O9:O10" si="6">E9/2.2</f>
        <v>354.5454545454545</v>
      </c>
      <c r="P9" s="13">
        <f t="shared" ref="P9:P10" si="7">O9*580</f>
        <v>205636.36363636362</v>
      </c>
      <c r="Q9" s="16">
        <v>0.47589999999999999</v>
      </c>
      <c r="R9" s="17">
        <f t="shared" ref="R9:R10" si="8">+F9+S9</f>
        <v>1407230</v>
      </c>
      <c r="S9" s="17">
        <f t="shared" ref="S9:S10" si="9">J9*(1-Q9)</f>
        <v>157230</v>
      </c>
      <c r="T9" s="18">
        <f t="shared" ref="T9:T10" si="10">+R9-I9</f>
        <v>-142770</v>
      </c>
    </row>
    <row r="10" spans="1:20" ht="15.75" customHeight="1" x14ac:dyDescent="0.35">
      <c r="A10" s="19">
        <v>2</v>
      </c>
      <c r="B10" s="19"/>
      <c r="C10" s="3" t="s">
        <v>157</v>
      </c>
      <c r="D10" s="2" t="s">
        <v>159</v>
      </c>
      <c r="E10" s="10">
        <v>636</v>
      </c>
      <c r="F10" s="10">
        <v>980000</v>
      </c>
      <c r="G10" s="11">
        <v>0.24</v>
      </c>
      <c r="H10" s="21">
        <v>1147672.7272727301</v>
      </c>
      <c r="I10" s="12">
        <f t="shared" si="0"/>
        <v>1215200</v>
      </c>
      <c r="J10" s="13">
        <f t="shared" si="1"/>
        <v>235200</v>
      </c>
      <c r="K10" s="14">
        <f t="shared" si="2"/>
        <v>0.24</v>
      </c>
      <c r="L10" s="13">
        <f t="shared" si="3"/>
        <v>1540.8805031446541</v>
      </c>
      <c r="M10" s="13">
        <f t="shared" si="4"/>
        <v>1910.691823899371</v>
      </c>
      <c r="N10" s="13">
        <f t="shared" si="5"/>
        <v>369.81132075471692</v>
      </c>
      <c r="O10" s="15">
        <f t="shared" si="6"/>
        <v>289.09090909090907</v>
      </c>
      <c r="P10" s="13">
        <f t="shared" si="7"/>
        <v>167672.72727272726</v>
      </c>
      <c r="Q10" s="16">
        <v>0.47589999999999999</v>
      </c>
      <c r="R10" s="17">
        <f t="shared" si="8"/>
        <v>1103268.32</v>
      </c>
      <c r="S10" s="17">
        <f t="shared" si="9"/>
        <v>123268.32</v>
      </c>
      <c r="T10" s="18">
        <f t="shared" si="10"/>
        <v>-111931.67999999993</v>
      </c>
    </row>
    <row r="11" spans="1:20" ht="18" customHeight="1" x14ac:dyDescent="0.35">
      <c r="A11" s="25" t="s">
        <v>38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/>
    </row>
    <row r="12" spans="1:20" ht="15.75" customHeight="1" x14ac:dyDescent="0.35">
      <c r="A12" s="19">
        <v>3</v>
      </c>
      <c r="B12" s="19" t="s">
        <v>39</v>
      </c>
      <c r="C12" s="3" t="s">
        <v>40</v>
      </c>
      <c r="D12" s="2" t="s">
        <v>40</v>
      </c>
      <c r="E12" s="10">
        <v>434</v>
      </c>
      <c r="F12" s="10">
        <v>650000</v>
      </c>
      <c r="G12" s="11">
        <v>0.24</v>
      </c>
      <c r="H12" s="21">
        <v>764418.181818182</v>
      </c>
      <c r="I12" s="12">
        <f t="shared" ref="I12:I20" si="11">F12*(1+G12)</f>
        <v>806000</v>
      </c>
      <c r="J12" s="13">
        <f t="shared" ref="J12:J20" si="12">I12-F12</f>
        <v>156000</v>
      </c>
      <c r="K12" s="14">
        <f t="shared" ref="K12:K20" si="13">J12/F12</f>
        <v>0.24</v>
      </c>
      <c r="L12" s="13">
        <f t="shared" ref="L12:L20" si="14">F12/E12</f>
        <v>1497.6958525345622</v>
      </c>
      <c r="M12" s="13">
        <f t="shared" ref="M12:M20" si="15">I12/E12</f>
        <v>1857.1428571428571</v>
      </c>
      <c r="N12" s="13">
        <f t="shared" ref="N12:N20" si="16">M12-L12</f>
        <v>359.44700460829495</v>
      </c>
      <c r="O12" s="15">
        <f t="shared" ref="O12:O20" si="17">E12/2.2</f>
        <v>197.27272727272725</v>
      </c>
      <c r="P12" s="13">
        <f t="shared" ref="P12:P20" si="18">O12*580</f>
        <v>114418.18181818181</v>
      </c>
      <c r="Q12" s="16">
        <v>0.47589999999999999</v>
      </c>
      <c r="R12" s="17">
        <f t="shared" ref="R12:R20" si="19">+F12+S12</f>
        <v>731759.6</v>
      </c>
      <c r="S12" s="17">
        <f t="shared" ref="S12:S20" si="20">J12*(1-Q12)</f>
        <v>81759.600000000006</v>
      </c>
      <c r="T12" s="18">
        <f t="shared" ref="T12:T20" si="21">+R12-I12</f>
        <v>-74240.400000000023</v>
      </c>
    </row>
    <row r="13" spans="1:20" ht="15.75" customHeight="1" x14ac:dyDescent="0.35">
      <c r="A13" s="9">
        <v>4</v>
      </c>
      <c r="B13" s="9" t="s">
        <v>39</v>
      </c>
      <c r="C13" s="5" t="s">
        <v>40</v>
      </c>
      <c r="D13" s="4" t="s">
        <v>41</v>
      </c>
      <c r="E13" s="10">
        <v>234</v>
      </c>
      <c r="F13" s="10">
        <v>650000</v>
      </c>
      <c r="G13" s="11">
        <v>0.24</v>
      </c>
      <c r="H13" s="21">
        <v>711690.90909090894</v>
      </c>
      <c r="I13" s="12">
        <f t="shared" si="11"/>
        <v>806000</v>
      </c>
      <c r="J13" s="13">
        <f t="shared" si="12"/>
        <v>156000</v>
      </c>
      <c r="K13" s="14">
        <f t="shared" si="13"/>
        <v>0.24</v>
      </c>
      <c r="L13" s="13">
        <f t="shared" si="14"/>
        <v>2777.7777777777778</v>
      </c>
      <c r="M13" s="13">
        <f t="shared" si="15"/>
        <v>3444.4444444444443</v>
      </c>
      <c r="N13" s="13">
        <f t="shared" si="16"/>
        <v>666.66666666666652</v>
      </c>
      <c r="O13" s="15">
        <f t="shared" si="17"/>
        <v>106.36363636363636</v>
      </c>
      <c r="P13" s="13">
        <f t="shared" si="18"/>
        <v>61690.909090909088</v>
      </c>
      <c r="Q13" s="16">
        <v>0.47589999999999999</v>
      </c>
      <c r="R13" s="17">
        <f t="shared" si="19"/>
        <v>731759.6</v>
      </c>
      <c r="S13" s="17">
        <f t="shared" si="20"/>
        <v>81759.600000000006</v>
      </c>
      <c r="T13" s="18">
        <f t="shared" si="21"/>
        <v>-74240.400000000023</v>
      </c>
    </row>
    <row r="14" spans="1:20" ht="15.75" customHeight="1" x14ac:dyDescent="0.35">
      <c r="A14" s="19">
        <v>5</v>
      </c>
      <c r="B14" s="19" t="s">
        <v>39</v>
      </c>
      <c r="C14" s="3" t="s">
        <v>40</v>
      </c>
      <c r="D14" s="2" t="s">
        <v>42</v>
      </c>
      <c r="E14" s="10">
        <v>255</v>
      </c>
      <c r="F14" s="10">
        <v>650000</v>
      </c>
      <c r="G14" s="11">
        <v>0.24</v>
      </c>
      <c r="H14" s="21">
        <v>717227.27272727306</v>
      </c>
      <c r="I14" s="12">
        <f t="shared" si="11"/>
        <v>806000</v>
      </c>
      <c r="J14" s="13">
        <f t="shared" si="12"/>
        <v>156000</v>
      </c>
      <c r="K14" s="14">
        <f t="shared" si="13"/>
        <v>0.24</v>
      </c>
      <c r="L14" s="13">
        <f t="shared" si="14"/>
        <v>2549.0196078431372</v>
      </c>
      <c r="M14" s="13">
        <f t="shared" si="15"/>
        <v>3160.7843137254904</v>
      </c>
      <c r="N14" s="13">
        <f t="shared" si="16"/>
        <v>611.76470588235316</v>
      </c>
      <c r="O14" s="15">
        <f t="shared" si="17"/>
        <v>115.90909090909091</v>
      </c>
      <c r="P14" s="13">
        <f t="shared" si="18"/>
        <v>67227.272727272721</v>
      </c>
      <c r="Q14" s="16">
        <v>0.47589999999999999</v>
      </c>
      <c r="R14" s="17">
        <f t="shared" si="19"/>
        <v>731759.6</v>
      </c>
      <c r="S14" s="17">
        <f t="shared" si="20"/>
        <v>81759.600000000006</v>
      </c>
      <c r="T14" s="18">
        <f t="shared" si="21"/>
        <v>-74240.400000000023</v>
      </c>
    </row>
    <row r="15" spans="1:20" ht="15.75" customHeight="1" x14ac:dyDescent="0.35">
      <c r="A15" s="9">
        <v>6</v>
      </c>
      <c r="B15" s="9" t="s">
        <v>39</v>
      </c>
      <c r="C15" s="5" t="s">
        <v>40</v>
      </c>
      <c r="D15" s="4" t="s">
        <v>43</v>
      </c>
      <c r="E15" s="10">
        <v>444</v>
      </c>
      <c r="F15" s="10">
        <v>650000</v>
      </c>
      <c r="G15" s="11">
        <v>0.24</v>
      </c>
      <c r="H15" s="21">
        <v>767054.54545454495</v>
      </c>
      <c r="I15" s="12">
        <f t="shared" si="11"/>
        <v>806000</v>
      </c>
      <c r="J15" s="13">
        <f t="shared" si="12"/>
        <v>156000</v>
      </c>
      <c r="K15" s="14">
        <f t="shared" si="13"/>
        <v>0.24</v>
      </c>
      <c r="L15" s="13">
        <f t="shared" si="14"/>
        <v>1463.963963963964</v>
      </c>
      <c r="M15" s="13">
        <f t="shared" si="15"/>
        <v>1815.3153153153153</v>
      </c>
      <c r="N15" s="13">
        <f t="shared" si="16"/>
        <v>351.35135135135124</v>
      </c>
      <c r="O15" s="15">
        <f t="shared" si="17"/>
        <v>201.81818181818181</v>
      </c>
      <c r="P15" s="13">
        <f t="shared" si="18"/>
        <v>117054.54545454546</v>
      </c>
      <c r="Q15" s="16">
        <v>0.47589999999999999</v>
      </c>
      <c r="R15" s="17">
        <f t="shared" si="19"/>
        <v>731759.6</v>
      </c>
      <c r="S15" s="17">
        <f t="shared" si="20"/>
        <v>81759.600000000006</v>
      </c>
      <c r="T15" s="18">
        <f t="shared" si="21"/>
        <v>-74240.400000000023</v>
      </c>
    </row>
    <row r="16" spans="1:20" ht="15.75" customHeight="1" x14ac:dyDescent="0.35">
      <c r="A16" s="19">
        <v>7</v>
      </c>
      <c r="B16" s="19" t="s">
        <v>39</v>
      </c>
      <c r="C16" s="3" t="s">
        <v>40</v>
      </c>
      <c r="D16" s="2" t="s">
        <v>44</v>
      </c>
      <c r="E16" s="10">
        <v>408</v>
      </c>
      <c r="F16" s="10">
        <v>650000</v>
      </c>
      <c r="G16" s="11">
        <v>0.24</v>
      </c>
      <c r="H16" s="21">
        <v>757563.636363636</v>
      </c>
      <c r="I16" s="12">
        <f t="shared" si="11"/>
        <v>806000</v>
      </c>
      <c r="J16" s="13">
        <f t="shared" si="12"/>
        <v>156000</v>
      </c>
      <c r="K16" s="14">
        <f t="shared" si="13"/>
        <v>0.24</v>
      </c>
      <c r="L16" s="13">
        <f t="shared" si="14"/>
        <v>1593.1372549019609</v>
      </c>
      <c r="M16" s="13">
        <f t="shared" si="15"/>
        <v>1975.4901960784314</v>
      </c>
      <c r="N16" s="13">
        <f t="shared" si="16"/>
        <v>382.35294117647049</v>
      </c>
      <c r="O16" s="15">
        <f t="shared" si="17"/>
        <v>185.45454545454544</v>
      </c>
      <c r="P16" s="13">
        <f t="shared" si="18"/>
        <v>107563.63636363635</v>
      </c>
      <c r="Q16" s="16">
        <v>0.47589999999999999</v>
      </c>
      <c r="R16" s="17">
        <f t="shared" si="19"/>
        <v>731759.6</v>
      </c>
      <c r="S16" s="17">
        <f t="shared" si="20"/>
        <v>81759.600000000006</v>
      </c>
      <c r="T16" s="18">
        <f t="shared" si="21"/>
        <v>-74240.400000000023</v>
      </c>
    </row>
    <row r="17" spans="1:25" ht="15.75" customHeight="1" x14ac:dyDescent="0.35">
      <c r="A17" s="9">
        <v>8</v>
      </c>
      <c r="B17" s="9" t="s">
        <v>39</v>
      </c>
      <c r="C17" s="5" t="s">
        <v>40</v>
      </c>
      <c r="D17" s="4" t="s">
        <v>45</v>
      </c>
      <c r="E17" s="10">
        <v>377</v>
      </c>
      <c r="F17" s="10">
        <v>650000</v>
      </c>
      <c r="G17" s="11">
        <v>0.24</v>
      </c>
      <c r="H17" s="21">
        <v>749390.90909090894</v>
      </c>
      <c r="I17" s="12">
        <f t="shared" si="11"/>
        <v>806000</v>
      </c>
      <c r="J17" s="13">
        <f t="shared" si="12"/>
        <v>156000</v>
      </c>
      <c r="K17" s="14">
        <f t="shared" si="13"/>
        <v>0.24</v>
      </c>
      <c r="L17" s="13">
        <f t="shared" si="14"/>
        <v>1724.1379310344828</v>
      </c>
      <c r="M17" s="13">
        <f t="shared" si="15"/>
        <v>2137.9310344827586</v>
      </c>
      <c r="N17" s="13">
        <f t="shared" si="16"/>
        <v>413.79310344827582</v>
      </c>
      <c r="O17" s="15">
        <f t="shared" si="17"/>
        <v>171.36363636363635</v>
      </c>
      <c r="P17" s="13">
        <f t="shared" si="18"/>
        <v>99390.909090909074</v>
      </c>
      <c r="Q17" s="16">
        <v>0.47589999999999999</v>
      </c>
      <c r="R17" s="17">
        <f t="shared" si="19"/>
        <v>731759.6</v>
      </c>
      <c r="S17" s="17">
        <f t="shared" si="20"/>
        <v>81759.600000000006</v>
      </c>
      <c r="T17" s="18">
        <f t="shared" si="21"/>
        <v>-74240.400000000023</v>
      </c>
    </row>
    <row r="18" spans="1:25" ht="15.75" customHeight="1" x14ac:dyDescent="0.35">
      <c r="A18" s="19">
        <v>9</v>
      </c>
      <c r="B18" s="19" t="s">
        <v>39</v>
      </c>
      <c r="C18" s="3" t="s">
        <v>40</v>
      </c>
      <c r="D18" s="2" t="s">
        <v>46</v>
      </c>
      <c r="E18" s="10">
        <v>464</v>
      </c>
      <c r="F18" s="10">
        <v>680000</v>
      </c>
      <c r="G18" s="11">
        <v>0.24</v>
      </c>
      <c r="H18" s="21">
        <v>802327.27272727306</v>
      </c>
      <c r="I18" s="12">
        <f t="shared" si="11"/>
        <v>843200</v>
      </c>
      <c r="J18" s="13">
        <f t="shared" si="12"/>
        <v>163200</v>
      </c>
      <c r="K18" s="14">
        <f t="shared" si="13"/>
        <v>0.24</v>
      </c>
      <c r="L18" s="13">
        <f t="shared" si="14"/>
        <v>1465.5172413793102</v>
      </c>
      <c r="M18" s="13">
        <f t="shared" si="15"/>
        <v>1817.2413793103449</v>
      </c>
      <c r="N18" s="13">
        <f t="shared" si="16"/>
        <v>351.72413793103465</v>
      </c>
      <c r="O18" s="15">
        <f t="shared" si="17"/>
        <v>210.90909090909088</v>
      </c>
      <c r="P18" s="13">
        <f t="shared" si="18"/>
        <v>122327.27272727271</v>
      </c>
      <c r="Q18" s="16">
        <v>0.20860000000000001</v>
      </c>
      <c r="R18" s="17">
        <f t="shared" si="19"/>
        <v>809156.48</v>
      </c>
      <c r="S18" s="17">
        <f t="shared" si="20"/>
        <v>129156.48</v>
      </c>
      <c r="T18" s="18">
        <f t="shared" si="21"/>
        <v>-34043.520000000019</v>
      </c>
    </row>
    <row r="19" spans="1:25" ht="15.75" customHeight="1" x14ac:dyDescent="0.35">
      <c r="A19" s="9">
        <v>10</v>
      </c>
      <c r="B19" s="9" t="s">
        <v>39</v>
      </c>
      <c r="C19" s="5" t="s">
        <v>40</v>
      </c>
      <c r="D19" s="4" t="s">
        <v>47</v>
      </c>
      <c r="E19" s="10">
        <v>271</v>
      </c>
      <c r="F19" s="10">
        <v>650000</v>
      </c>
      <c r="G19" s="11">
        <v>0.24</v>
      </c>
      <c r="H19" s="21">
        <v>721445.45454545505</v>
      </c>
      <c r="I19" s="12">
        <f t="shared" si="11"/>
        <v>806000</v>
      </c>
      <c r="J19" s="13">
        <f t="shared" si="12"/>
        <v>156000</v>
      </c>
      <c r="K19" s="14">
        <f t="shared" si="13"/>
        <v>0.24</v>
      </c>
      <c r="L19" s="13">
        <f t="shared" si="14"/>
        <v>2398.5239852398522</v>
      </c>
      <c r="M19" s="13">
        <f t="shared" si="15"/>
        <v>2974.1697416974171</v>
      </c>
      <c r="N19" s="13">
        <f t="shared" si="16"/>
        <v>575.64575645756486</v>
      </c>
      <c r="O19" s="15">
        <f t="shared" si="17"/>
        <v>123.18181818181817</v>
      </c>
      <c r="P19" s="13">
        <f t="shared" si="18"/>
        <v>71445.454545454544</v>
      </c>
      <c r="Q19" s="16">
        <v>0.47589999999999999</v>
      </c>
      <c r="R19" s="17">
        <f t="shared" si="19"/>
        <v>731759.6</v>
      </c>
      <c r="S19" s="17">
        <f t="shared" si="20"/>
        <v>81759.600000000006</v>
      </c>
      <c r="T19" s="18">
        <f t="shared" si="21"/>
        <v>-74240.400000000023</v>
      </c>
    </row>
    <row r="20" spans="1:25" ht="15.75" customHeight="1" x14ac:dyDescent="0.35">
      <c r="A20" s="19">
        <v>11</v>
      </c>
      <c r="B20" s="19" t="s">
        <v>39</v>
      </c>
      <c r="C20" s="3" t="s">
        <v>40</v>
      </c>
      <c r="D20" s="2" t="s">
        <v>48</v>
      </c>
      <c r="E20" s="10">
        <v>507</v>
      </c>
      <c r="F20" s="10">
        <v>750000</v>
      </c>
      <c r="G20" s="11">
        <v>0.24</v>
      </c>
      <c r="H20" s="21">
        <v>883663.636363636</v>
      </c>
      <c r="I20" s="12">
        <f t="shared" si="11"/>
        <v>930000</v>
      </c>
      <c r="J20" s="13">
        <f t="shared" si="12"/>
        <v>180000</v>
      </c>
      <c r="K20" s="14">
        <f t="shared" si="13"/>
        <v>0.24</v>
      </c>
      <c r="L20" s="13">
        <f t="shared" si="14"/>
        <v>1479.2899408284025</v>
      </c>
      <c r="M20" s="13">
        <f t="shared" si="15"/>
        <v>1834.3195266272189</v>
      </c>
      <c r="N20" s="13">
        <f t="shared" si="16"/>
        <v>355.02958579881647</v>
      </c>
      <c r="O20" s="15">
        <f t="shared" si="17"/>
        <v>230.45454545454544</v>
      </c>
      <c r="P20" s="13">
        <f t="shared" si="18"/>
        <v>133663.63636363635</v>
      </c>
      <c r="Q20" s="16">
        <v>0.47589999999999999</v>
      </c>
      <c r="R20" s="17">
        <f t="shared" si="19"/>
        <v>844338</v>
      </c>
      <c r="S20" s="17">
        <f t="shared" si="20"/>
        <v>94338</v>
      </c>
      <c r="T20" s="18">
        <f t="shared" si="21"/>
        <v>-85662</v>
      </c>
    </row>
    <row r="21" spans="1:25" ht="18" customHeight="1" x14ac:dyDescent="0.35">
      <c r="A21" s="25" t="s">
        <v>49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/>
    </row>
    <row r="22" spans="1:25" ht="15.75" customHeight="1" x14ac:dyDescent="0.35">
      <c r="A22" s="19">
        <v>12</v>
      </c>
      <c r="B22" s="19" t="s">
        <v>50</v>
      </c>
      <c r="C22" s="3" t="s">
        <v>51</v>
      </c>
      <c r="D22" s="2" t="s">
        <v>52</v>
      </c>
      <c r="E22" s="10">
        <v>144</v>
      </c>
      <c r="F22" s="10">
        <v>380000</v>
      </c>
      <c r="G22" s="11">
        <v>0.18</v>
      </c>
      <c r="H22" s="21">
        <v>417963.636363636</v>
      </c>
      <c r="I22" s="12">
        <f t="shared" ref="I22:I40" si="22">F22*(1+G22)</f>
        <v>448400</v>
      </c>
      <c r="J22" s="13">
        <f t="shared" ref="J22:J40" si="23">I22-F22</f>
        <v>68400</v>
      </c>
      <c r="K22" s="14">
        <f t="shared" ref="K22:K40" si="24">J22/F22</f>
        <v>0.18</v>
      </c>
      <c r="L22" s="13">
        <f t="shared" ref="L22:L40" si="25">F22/E22</f>
        <v>2638.8888888888887</v>
      </c>
      <c r="M22" s="13">
        <f t="shared" ref="M22:M40" si="26">I22/E22</f>
        <v>3113.8888888888887</v>
      </c>
      <c r="N22" s="13">
        <f t="shared" ref="N22:N40" si="27">M22-L22</f>
        <v>475</v>
      </c>
      <c r="O22" s="15">
        <f t="shared" ref="O22:O40" si="28">E22/2.2</f>
        <v>65.454545454545453</v>
      </c>
      <c r="P22" s="13">
        <f t="shared" ref="P22:P40" si="29">O22*580</f>
        <v>37963.63636363636</v>
      </c>
      <c r="Q22" s="16">
        <v>0.47589999999999999</v>
      </c>
      <c r="R22" s="17">
        <f t="shared" ref="R22:R40" si="30">+F22+S22</f>
        <v>415848.44</v>
      </c>
      <c r="S22" s="17">
        <f t="shared" ref="S22:S40" si="31">J22*(1-Q22)</f>
        <v>35848.44</v>
      </c>
      <c r="T22" s="18">
        <f t="shared" ref="T22:T40" si="32">+R22-I22</f>
        <v>-32551.559999999998</v>
      </c>
      <c r="Y22" s="18"/>
    </row>
    <row r="23" spans="1:25" ht="15.75" customHeight="1" x14ac:dyDescent="0.35">
      <c r="A23" s="9">
        <v>13</v>
      </c>
      <c r="B23" s="9" t="s">
        <v>50</v>
      </c>
      <c r="C23" s="5" t="s">
        <v>51</v>
      </c>
      <c r="D23" s="4" t="s">
        <v>53</v>
      </c>
      <c r="E23" s="10">
        <v>147</v>
      </c>
      <c r="F23" s="10">
        <v>380000</v>
      </c>
      <c r="G23" s="11">
        <v>0.18</v>
      </c>
      <c r="H23" s="21">
        <v>418754.54545454599</v>
      </c>
      <c r="I23" s="12">
        <f t="shared" si="22"/>
        <v>448400</v>
      </c>
      <c r="J23" s="13">
        <f t="shared" si="23"/>
        <v>68400</v>
      </c>
      <c r="K23" s="14">
        <f t="shared" si="24"/>
        <v>0.18</v>
      </c>
      <c r="L23" s="13">
        <f t="shared" si="25"/>
        <v>2585.0340136054424</v>
      </c>
      <c r="M23" s="13">
        <f t="shared" si="26"/>
        <v>3050.3401360544217</v>
      </c>
      <c r="N23" s="13">
        <f t="shared" si="27"/>
        <v>465.30612244897929</v>
      </c>
      <c r="O23" s="15">
        <f t="shared" si="28"/>
        <v>66.818181818181813</v>
      </c>
      <c r="P23" s="13">
        <f t="shared" si="29"/>
        <v>38754.545454545449</v>
      </c>
      <c r="Q23" s="16">
        <v>0.47589999999999999</v>
      </c>
      <c r="R23" s="17">
        <f t="shared" si="30"/>
        <v>415848.44</v>
      </c>
      <c r="S23" s="17">
        <f t="shared" si="31"/>
        <v>35848.44</v>
      </c>
      <c r="T23" s="18">
        <f t="shared" si="32"/>
        <v>-32551.559999999998</v>
      </c>
    </row>
    <row r="24" spans="1:25" ht="15.75" customHeight="1" x14ac:dyDescent="0.35">
      <c r="A24" s="19">
        <v>14</v>
      </c>
      <c r="B24" s="19" t="s">
        <v>50</v>
      </c>
      <c r="C24" s="3" t="s">
        <v>51</v>
      </c>
      <c r="D24" s="2" t="s">
        <v>1</v>
      </c>
      <c r="E24" s="10">
        <v>40</v>
      </c>
      <c r="F24" s="10">
        <v>280000</v>
      </c>
      <c r="G24" s="11">
        <v>0.18</v>
      </c>
      <c r="H24" s="21">
        <v>290545.454545455</v>
      </c>
      <c r="I24" s="12">
        <f t="shared" si="22"/>
        <v>330400</v>
      </c>
      <c r="J24" s="13">
        <f t="shared" si="23"/>
        <v>50400</v>
      </c>
      <c r="K24" s="14">
        <f t="shared" si="24"/>
        <v>0.18</v>
      </c>
      <c r="L24" s="13">
        <f t="shared" si="25"/>
        <v>7000</v>
      </c>
      <c r="M24" s="13">
        <f t="shared" si="26"/>
        <v>8260</v>
      </c>
      <c r="N24" s="13">
        <f t="shared" si="27"/>
        <v>1260</v>
      </c>
      <c r="O24" s="15">
        <f t="shared" si="28"/>
        <v>18.18181818181818</v>
      </c>
      <c r="P24" s="13">
        <f t="shared" si="29"/>
        <v>10545.454545454544</v>
      </c>
      <c r="Q24" s="16">
        <v>0.47589999999999999</v>
      </c>
      <c r="R24" s="17">
        <f t="shared" si="30"/>
        <v>306414.64</v>
      </c>
      <c r="S24" s="17">
        <f t="shared" si="31"/>
        <v>26414.639999999999</v>
      </c>
      <c r="T24" s="18">
        <f t="shared" si="32"/>
        <v>-23985.359999999986</v>
      </c>
    </row>
    <row r="25" spans="1:25" ht="15.75" customHeight="1" x14ac:dyDescent="0.35">
      <c r="A25" s="9">
        <v>15</v>
      </c>
      <c r="B25" s="9" t="s">
        <v>50</v>
      </c>
      <c r="C25" s="5" t="s">
        <v>51</v>
      </c>
      <c r="D25" s="4" t="s">
        <v>54</v>
      </c>
      <c r="E25" s="10">
        <v>83</v>
      </c>
      <c r="F25" s="10">
        <v>380000</v>
      </c>
      <c r="G25" s="11">
        <v>0.18</v>
      </c>
      <c r="H25" s="21">
        <v>401881.818181818</v>
      </c>
      <c r="I25" s="12">
        <f t="shared" si="22"/>
        <v>448400</v>
      </c>
      <c r="J25" s="13">
        <f t="shared" si="23"/>
        <v>68400</v>
      </c>
      <c r="K25" s="14">
        <f t="shared" si="24"/>
        <v>0.18</v>
      </c>
      <c r="L25" s="13">
        <f t="shared" si="25"/>
        <v>4578.3132530120483</v>
      </c>
      <c r="M25" s="13">
        <f t="shared" si="26"/>
        <v>5402.4096385542171</v>
      </c>
      <c r="N25" s="13">
        <f t="shared" si="27"/>
        <v>824.09638554216872</v>
      </c>
      <c r="O25" s="15">
        <f t="shared" si="28"/>
        <v>37.727272727272727</v>
      </c>
      <c r="P25" s="13">
        <f t="shared" si="29"/>
        <v>21881.81818181818</v>
      </c>
      <c r="Q25" s="16">
        <v>0.47589999999999999</v>
      </c>
      <c r="R25" s="17">
        <f t="shared" si="30"/>
        <v>415848.44</v>
      </c>
      <c r="S25" s="17">
        <f t="shared" si="31"/>
        <v>35848.44</v>
      </c>
      <c r="T25" s="18">
        <f t="shared" si="32"/>
        <v>-32551.559999999998</v>
      </c>
    </row>
    <row r="26" spans="1:25" ht="15.75" customHeight="1" x14ac:dyDescent="0.35">
      <c r="A26" s="19">
        <v>16</v>
      </c>
      <c r="B26" s="19" t="s">
        <v>50</v>
      </c>
      <c r="C26" s="3" t="s">
        <v>51</v>
      </c>
      <c r="D26" s="2" t="s">
        <v>55</v>
      </c>
      <c r="E26" s="10">
        <v>124</v>
      </c>
      <c r="F26" s="10">
        <v>380000</v>
      </c>
      <c r="G26" s="11">
        <v>0.18</v>
      </c>
      <c r="H26" s="21">
        <v>412690.909090909</v>
      </c>
      <c r="I26" s="12">
        <f t="shared" si="22"/>
        <v>448400</v>
      </c>
      <c r="J26" s="13">
        <f t="shared" si="23"/>
        <v>68400</v>
      </c>
      <c r="K26" s="14">
        <f t="shared" si="24"/>
        <v>0.18</v>
      </c>
      <c r="L26" s="13">
        <f t="shared" si="25"/>
        <v>3064.516129032258</v>
      </c>
      <c r="M26" s="13">
        <f t="shared" si="26"/>
        <v>3616.1290322580644</v>
      </c>
      <c r="N26" s="13">
        <f t="shared" si="27"/>
        <v>551.61290322580635</v>
      </c>
      <c r="O26" s="15">
        <f t="shared" si="28"/>
        <v>56.36363636363636</v>
      </c>
      <c r="P26" s="13">
        <f t="shared" si="29"/>
        <v>32690.909090909088</v>
      </c>
      <c r="Q26" s="16">
        <v>0.47589999999999999</v>
      </c>
      <c r="R26" s="17">
        <f t="shared" si="30"/>
        <v>415848.44</v>
      </c>
      <c r="S26" s="17">
        <f t="shared" si="31"/>
        <v>35848.44</v>
      </c>
      <c r="T26" s="18">
        <f t="shared" si="32"/>
        <v>-32551.559999999998</v>
      </c>
    </row>
    <row r="27" spans="1:25" ht="15.75" customHeight="1" x14ac:dyDescent="0.35">
      <c r="A27" s="9">
        <v>17</v>
      </c>
      <c r="B27" s="9" t="s">
        <v>50</v>
      </c>
      <c r="C27" s="5" t="s">
        <v>51</v>
      </c>
      <c r="D27" s="4" t="s">
        <v>56</v>
      </c>
      <c r="E27" s="10">
        <v>104</v>
      </c>
      <c r="F27" s="10">
        <v>380000</v>
      </c>
      <c r="G27" s="11">
        <v>0.18</v>
      </c>
      <c r="H27" s="21">
        <v>407418.181818182</v>
      </c>
      <c r="I27" s="12">
        <f t="shared" si="22"/>
        <v>448400</v>
      </c>
      <c r="J27" s="13">
        <f t="shared" si="23"/>
        <v>68400</v>
      </c>
      <c r="K27" s="14">
        <f t="shared" si="24"/>
        <v>0.18</v>
      </c>
      <c r="L27" s="13">
        <f t="shared" si="25"/>
        <v>3653.8461538461538</v>
      </c>
      <c r="M27" s="13">
        <f t="shared" si="26"/>
        <v>4311.5384615384619</v>
      </c>
      <c r="N27" s="13">
        <f t="shared" si="27"/>
        <v>657.69230769230808</v>
      </c>
      <c r="O27" s="15">
        <f t="shared" si="28"/>
        <v>47.272727272727266</v>
      </c>
      <c r="P27" s="13">
        <f t="shared" si="29"/>
        <v>27418.181818181816</v>
      </c>
      <c r="Q27" s="16">
        <v>0.47589999999999999</v>
      </c>
      <c r="R27" s="17">
        <f t="shared" si="30"/>
        <v>415848.44</v>
      </c>
      <c r="S27" s="17">
        <f t="shared" si="31"/>
        <v>35848.44</v>
      </c>
      <c r="T27" s="18">
        <f t="shared" si="32"/>
        <v>-32551.559999999998</v>
      </c>
    </row>
    <row r="28" spans="1:25" ht="15.75" customHeight="1" x14ac:dyDescent="0.35">
      <c r="A28" s="19">
        <v>18</v>
      </c>
      <c r="B28" s="19" t="s">
        <v>50</v>
      </c>
      <c r="C28" s="3" t="s">
        <v>51</v>
      </c>
      <c r="D28" s="2" t="s">
        <v>57</v>
      </c>
      <c r="E28" s="10">
        <v>151</v>
      </c>
      <c r="F28" s="10">
        <v>380000</v>
      </c>
      <c r="G28" s="11">
        <v>0.18</v>
      </c>
      <c r="H28" s="21">
        <v>419809.090909091</v>
      </c>
      <c r="I28" s="12">
        <f t="shared" si="22"/>
        <v>448400</v>
      </c>
      <c r="J28" s="13">
        <f t="shared" si="23"/>
        <v>68400</v>
      </c>
      <c r="K28" s="14">
        <f t="shared" si="24"/>
        <v>0.18</v>
      </c>
      <c r="L28" s="13">
        <f t="shared" si="25"/>
        <v>2516.5562913907283</v>
      </c>
      <c r="M28" s="13">
        <f t="shared" si="26"/>
        <v>2969.5364238410598</v>
      </c>
      <c r="N28" s="13">
        <f t="shared" si="27"/>
        <v>452.98013245033144</v>
      </c>
      <c r="O28" s="15">
        <f t="shared" si="28"/>
        <v>68.636363636363626</v>
      </c>
      <c r="P28" s="13">
        <f t="shared" si="29"/>
        <v>39809.090909090904</v>
      </c>
      <c r="Q28" s="16">
        <v>0.47589999999999999</v>
      </c>
      <c r="R28" s="17">
        <f t="shared" si="30"/>
        <v>415848.44</v>
      </c>
      <c r="S28" s="17">
        <f t="shared" si="31"/>
        <v>35848.44</v>
      </c>
      <c r="T28" s="18">
        <f t="shared" si="32"/>
        <v>-32551.559999999998</v>
      </c>
    </row>
    <row r="29" spans="1:25" ht="15.75" customHeight="1" x14ac:dyDescent="0.35">
      <c r="A29" s="9">
        <v>19</v>
      </c>
      <c r="B29" s="9" t="s">
        <v>50</v>
      </c>
      <c r="C29" s="5" t="s">
        <v>51</v>
      </c>
      <c r="D29" s="4" t="s">
        <v>58</v>
      </c>
      <c r="E29" s="10">
        <v>119</v>
      </c>
      <c r="F29" s="10">
        <v>380000</v>
      </c>
      <c r="G29" s="11">
        <v>0.18</v>
      </c>
      <c r="H29" s="21">
        <v>411372.727272727</v>
      </c>
      <c r="I29" s="12">
        <f t="shared" si="22"/>
        <v>448400</v>
      </c>
      <c r="J29" s="13">
        <f t="shared" si="23"/>
        <v>68400</v>
      </c>
      <c r="K29" s="14">
        <f t="shared" si="24"/>
        <v>0.18</v>
      </c>
      <c r="L29" s="13">
        <f t="shared" si="25"/>
        <v>3193.2773109243699</v>
      </c>
      <c r="M29" s="13">
        <f t="shared" si="26"/>
        <v>3768.0672268907565</v>
      </c>
      <c r="N29" s="13">
        <f t="shared" si="27"/>
        <v>574.78991596638662</v>
      </c>
      <c r="O29" s="15">
        <f t="shared" si="28"/>
        <v>54.090909090909086</v>
      </c>
      <c r="P29" s="13">
        <f t="shared" si="29"/>
        <v>31372.727272727268</v>
      </c>
      <c r="Q29" s="16">
        <v>0.47589999999999999</v>
      </c>
      <c r="R29" s="17">
        <f t="shared" si="30"/>
        <v>415848.44</v>
      </c>
      <c r="S29" s="17">
        <f t="shared" si="31"/>
        <v>35848.44</v>
      </c>
      <c r="T29" s="18">
        <f t="shared" si="32"/>
        <v>-32551.559999999998</v>
      </c>
    </row>
    <row r="30" spans="1:25" ht="15.75" customHeight="1" x14ac:dyDescent="0.35">
      <c r="A30" s="19">
        <v>20</v>
      </c>
      <c r="B30" s="19" t="s">
        <v>50</v>
      </c>
      <c r="C30" s="3" t="s">
        <v>51</v>
      </c>
      <c r="D30" s="2" t="s">
        <v>59</v>
      </c>
      <c r="E30" s="10">
        <v>177</v>
      </c>
      <c r="F30" s="10">
        <v>400000</v>
      </c>
      <c r="G30" s="11">
        <v>0.18</v>
      </c>
      <c r="H30" s="21">
        <v>446663.636363636</v>
      </c>
      <c r="I30" s="12">
        <f t="shared" si="22"/>
        <v>472000</v>
      </c>
      <c r="J30" s="13">
        <f t="shared" si="23"/>
        <v>72000</v>
      </c>
      <c r="K30" s="14">
        <f t="shared" si="24"/>
        <v>0.18</v>
      </c>
      <c r="L30" s="13">
        <f t="shared" si="25"/>
        <v>2259.8870056497176</v>
      </c>
      <c r="M30" s="13">
        <f t="shared" si="26"/>
        <v>2666.6666666666665</v>
      </c>
      <c r="N30" s="13">
        <f t="shared" si="27"/>
        <v>406.77966101694892</v>
      </c>
      <c r="O30" s="15">
        <f t="shared" si="28"/>
        <v>80.454545454545453</v>
      </c>
      <c r="P30" s="13">
        <f t="shared" si="29"/>
        <v>46663.63636363636</v>
      </c>
      <c r="Q30" s="16">
        <v>0.47589999999999999</v>
      </c>
      <c r="R30" s="17">
        <f t="shared" si="30"/>
        <v>437735.2</v>
      </c>
      <c r="S30" s="17">
        <f t="shared" si="31"/>
        <v>37735.200000000004</v>
      </c>
      <c r="T30" s="18">
        <f t="shared" si="32"/>
        <v>-34264.799999999988</v>
      </c>
    </row>
    <row r="31" spans="1:25" ht="15.75" customHeight="1" x14ac:dyDescent="0.35">
      <c r="A31" s="9">
        <v>21</v>
      </c>
      <c r="B31" s="9" t="s">
        <v>50</v>
      </c>
      <c r="C31" s="5" t="s">
        <v>51</v>
      </c>
      <c r="D31" s="4" t="s">
        <v>60</v>
      </c>
      <c r="E31" s="10">
        <v>74</v>
      </c>
      <c r="F31" s="10">
        <v>380000</v>
      </c>
      <c r="G31" s="11">
        <v>0.18</v>
      </c>
      <c r="H31" s="21">
        <v>399509.090909091</v>
      </c>
      <c r="I31" s="12">
        <f t="shared" si="22"/>
        <v>448400</v>
      </c>
      <c r="J31" s="13">
        <f t="shared" si="23"/>
        <v>68400</v>
      </c>
      <c r="K31" s="14">
        <f t="shared" si="24"/>
        <v>0.18</v>
      </c>
      <c r="L31" s="13">
        <f t="shared" si="25"/>
        <v>5135.135135135135</v>
      </c>
      <c r="M31" s="13">
        <f t="shared" si="26"/>
        <v>6059.4594594594591</v>
      </c>
      <c r="N31" s="13">
        <f t="shared" si="27"/>
        <v>924.32432432432415</v>
      </c>
      <c r="O31" s="15">
        <f t="shared" si="28"/>
        <v>33.636363636363633</v>
      </c>
      <c r="P31" s="13">
        <f t="shared" si="29"/>
        <v>19509.090909090908</v>
      </c>
      <c r="Q31" s="16">
        <v>0.47589999999999999</v>
      </c>
      <c r="R31" s="17">
        <f t="shared" si="30"/>
        <v>415848.44</v>
      </c>
      <c r="S31" s="17">
        <f t="shared" si="31"/>
        <v>35848.44</v>
      </c>
      <c r="T31" s="18">
        <f t="shared" si="32"/>
        <v>-32551.559999999998</v>
      </c>
    </row>
    <row r="32" spans="1:25" ht="15.75" customHeight="1" x14ac:dyDescent="0.35">
      <c r="A32" s="19">
        <v>22</v>
      </c>
      <c r="B32" s="19" t="s">
        <v>50</v>
      </c>
      <c r="C32" s="3" t="s">
        <v>51</v>
      </c>
      <c r="D32" s="2" t="s">
        <v>61</v>
      </c>
      <c r="E32" s="10">
        <v>154</v>
      </c>
      <c r="F32" s="10">
        <v>380000</v>
      </c>
      <c r="G32" s="11">
        <v>0.18</v>
      </c>
      <c r="H32" s="21">
        <v>420600</v>
      </c>
      <c r="I32" s="12">
        <f t="shared" si="22"/>
        <v>448400</v>
      </c>
      <c r="J32" s="13">
        <f t="shared" si="23"/>
        <v>68400</v>
      </c>
      <c r="K32" s="14">
        <f t="shared" si="24"/>
        <v>0.18</v>
      </c>
      <c r="L32" s="13">
        <f t="shared" si="25"/>
        <v>2467.5324675324673</v>
      </c>
      <c r="M32" s="13">
        <f t="shared" si="26"/>
        <v>2911.6883116883118</v>
      </c>
      <c r="N32" s="13">
        <f t="shared" si="27"/>
        <v>444.15584415584453</v>
      </c>
      <c r="O32" s="15">
        <f t="shared" si="28"/>
        <v>70</v>
      </c>
      <c r="P32" s="13">
        <f t="shared" si="29"/>
        <v>40600</v>
      </c>
      <c r="Q32" s="16">
        <v>0.47589999999999999</v>
      </c>
      <c r="R32" s="17">
        <f t="shared" si="30"/>
        <v>415848.44</v>
      </c>
      <c r="S32" s="17">
        <f t="shared" si="31"/>
        <v>35848.44</v>
      </c>
      <c r="T32" s="18">
        <f t="shared" si="32"/>
        <v>-32551.559999999998</v>
      </c>
    </row>
    <row r="33" spans="1:20" ht="15.75" customHeight="1" x14ac:dyDescent="0.35">
      <c r="A33" s="9">
        <v>23</v>
      </c>
      <c r="B33" s="9" t="s">
        <v>50</v>
      </c>
      <c r="C33" s="5" t="s">
        <v>51</v>
      </c>
      <c r="D33" s="4" t="s">
        <v>62</v>
      </c>
      <c r="E33" s="10">
        <v>67</v>
      </c>
      <c r="F33" s="10">
        <v>380000</v>
      </c>
      <c r="G33" s="11">
        <v>0.18</v>
      </c>
      <c r="H33" s="21">
        <v>397663.636363636</v>
      </c>
      <c r="I33" s="12">
        <f t="shared" si="22"/>
        <v>448400</v>
      </c>
      <c r="J33" s="13">
        <f t="shared" si="23"/>
        <v>68400</v>
      </c>
      <c r="K33" s="14">
        <f t="shared" si="24"/>
        <v>0.18</v>
      </c>
      <c r="L33" s="13">
        <f t="shared" si="25"/>
        <v>5671.6417910447763</v>
      </c>
      <c r="M33" s="13">
        <f t="shared" si="26"/>
        <v>6692.5373134328356</v>
      </c>
      <c r="N33" s="13">
        <f t="shared" si="27"/>
        <v>1020.8955223880594</v>
      </c>
      <c r="O33" s="15">
        <f t="shared" si="28"/>
        <v>30.454545454545453</v>
      </c>
      <c r="P33" s="13">
        <f t="shared" si="29"/>
        <v>17663.636363636364</v>
      </c>
      <c r="Q33" s="16">
        <v>0.47589999999999999</v>
      </c>
      <c r="R33" s="17">
        <f t="shared" si="30"/>
        <v>415848.44</v>
      </c>
      <c r="S33" s="17">
        <f t="shared" si="31"/>
        <v>35848.44</v>
      </c>
      <c r="T33" s="18">
        <f t="shared" si="32"/>
        <v>-32551.559999999998</v>
      </c>
    </row>
    <row r="34" spans="1:20" ht="15.75" customHeight="1" x14ac:dyDescent="0.35">
      <c r="A34" s="19">
        <v>24</v>
      </c>
      <c r="B34" s="19" t="s">
        <v>50</v>
      </c>
      <c r="C34" s="3" t="s">
        <v>51</v>
      </c>
      <c r="D34" s="2" t="s">
        <v>63</v>
      </c>
      <c r="E34" s="10">
        <v>148</v>
      </c>
      <c r="F34" s="10">
        <v>380000</v>
      </c>
      <c r="G34" s="11">
        <v>0.18</v>
      </c>
      <c r="H34" s="21">
        <v>419018.181818182</v>
      </c>
      <c r="I34" s="12">
        <f t="shared" si="22"/>
        <v>448400</v>
      </c>
      <c r="J34" s="13">
        <f t="shared" si="23"/>
        <v>68400</v>
      </c>
      <c r="K34" s="14">
        <f t="shared" si="24"/>
        <v>0.18</v>
      </c>
      <c r="L34" s="13">
        <f t="shared" si="25"/>
        <v>2567.5675675675675</v>
      </c>
      <c r="M34" s="13">
        <f t="shared" si="26"/>
        <v>3029.7297297297296</v>
      </c>
      <c r="N34" s="13">
        <f t="shared" si="27"/>
        <v>462.16216216216208</v>
      </c>
      <c r="O34" s="15">
        <f t="shared" si="28"/>
        <v>67.272727272727266</v>
      </c>
      <c r="P34" s="13">
        <f t="shared" si="29"/>
        <v>39018.181818181816</v>
      </c>
      <c r="Q34" s="16">
        <v>0.47589999999999999</v>
      </c>
      <c r="R34" s="17">
        <f t="shared" si="30"/>
        <v>415848.44</v>
      </c>
      <c r="S34" s="17">
        <f t="shared" si="31"/>
        <v>35848.44</v>
      </c>
      <c r="T34" s="18">
        <f t="shared" si="32"/>
        <v>-32551.559999999998</v>
      </c>
    </row>
    <row r="35" spans="1:20" ht="15.75" customHeight="1" x14ac:dyDescent="0.35">
      <c r="A35" s="9">
        <v>25</v>
      </c>
      <c r="B35" s="9" t="s">
        <v>50</v>
      </c>
      <c r="C35" s="5" t="s">
        <v>51</v>
      </c>
      <c r="D35" s="4" t="s">
        <v>64</v>
      </c>
      <c r="E35" s="10">
        <v>53</v>
      </c>
      <c r="F35" s="10">
        <v>280000</v>
      </c>
      <c r="G35" s="11">
        <v>0.18</v>
      </c>
      <c r="H35" s="21">
        <v>293972.727272727</v>
      </c>
      <c r="I35" s="12">
        <f t="shared" si="22"/>
        <v>330400</v>
      </c>
      <c r="J35" s="13">
        <f t="shared" si="23"/>
        <v>50400</v>
      </c>
      <c r="K35" s="14">
        <f t="shared" si="24"/>
        <v>0.18</v>
      </c>
      <c r="L35" s="13">
        <f t="shared" si="25"/>
        <v>5283.0188679245284</v>
      </c>
      <c r="M35" s="13">
        <f t="shared" si="26"/>
        <v>6233.9622641509432</v>
      </c>
      <c r="N35" s="13">
        <f t="shared" si="27"/>
        <v>950.94339622641473</v>
      </c>
      <c r="O35" s="15">
        <f t="shared" si="28"/>
        <v>24.09090909090909</v>
      </c>
      <c r="P35" s="13">
        <f t="shared" si="29"/>
        <v>13972.727272727272</v>
      </c>
      <c r="Q35" s="16">
        <v>0.47589999999999999</v>
      </c>
      <c r="R35" s="17">
        <f t="shared" si="30"/>
        <v>306414.64</v>
      </c>
      <c r="S35" s="17">
        <f t="shared" si="31"/>
        <v>26414.639999999999</v>
      </c>
      <c r="T35" s="18">
        <f t="shared" si="32"/>
        <v>-23985.359999999986</v>
      </c>
    </row>
    <row r="36" spans="1:20" ht="15.75" customHeight="1" x14ac:dyDescent="0.35">
      <c r="A36" s="19">
        <v>26</v>
      </c>
      <c r="B36" s="19" t="s">
        <v>50</v>
      </c>
      <c r="C36" s="3" t="s">
        <v>51</v>
      </c>
      <c r="D36" s="2" t="s">
        <v>65</v>
      </c>
      <c r="E36" s="10">
        <v>149</v>
      </c>
      <c r="F36" s="10">
        <v>380000</v>
      </c>
      <c r="G36" s="11">
        <v>0.18</v>
      </c>
      <c r="H36" s="21">
        <v>419281.818181818</v>
      </c>
      <c r="I36" s="12">
        <f t="shared" si="22"/>
        <v>448400</v>
      </c>
      <c r="J36" s="13">
        <f t="shared" si="23"/>
        <v>68400</v>
      </c>
      <c r="K36" s="14">
        <f t="shared" si="24"/>
        <v>0.18</v>
      </c>
      <c r="L36" s="13">
        <f t="shared" si="25"/>
        <v>2550.3355704697988</v>
      </c>
      <c r="M36" s="13">
        <f t="shared" si="26"/>
        <v>3009.3959731543623</v>
      </c>
      <c r="N36" s="13">
        <f t="shared" si="27"/>
        <v>459.06040268456354</v>
      </c>
      <c r="O36" s="15">
        <f t="shared" si="28"/>
        <v>67.72727272727272</v>
      </c>
      <c r="P36" s="13">
        <f t="shared" si="29"/>
        <v>39281.818181818177</v>
      </c>
      <c r="Q36" s="16">
        <v>0.47589999999999999</v>
      </c>
      <c r="R36" s="17">
        <f t="shared" si="30"/>
        <v>415848.44</v>
      </c>
      <c r="S36" s="17">
        <f t="shared" si="31"/>
        <v>35848.44</v>
      </c>
      <c r="T36" s="18">
        <f t="shared" si="32"/>
        <v>-32551.559999999998</v>
      </c>
    </row>
    <row r="37" spans="1:20" ht="15.75" customHeight="1" x14ac:dyDescent="0.35">
      <c r="A37" s="9">
        <v>27</v>
      </c>
      <c r="B37" s="9" t="s">
        <v>50</v>
      </c>
      <c r="C37" s="5" t="s">
        <v>51</v>
      </c>
      <c r="D37" s="4" t="s">
        <v>66</v>
      </c>
      <c r="E37" s="10">
        <v>137</v>
      </c>
      <c r="F37" s="10">
        <v>380000</v>
      </c>
      <c r="G37" s="11">
        <v>0.18</v>
      </c>
      <c r="H37" s="21">
        <v>416118.181818182</v>
      </c>
      <c r="I37" s="12">
        <f t="shared" si="22"/>
        <v>448400</v>
      </c>
      <c r="J37" s="13">
        <f t="shared" si="23"/>
        <v>68400</v>
      </c>
      <c r="K37" s="14">
        <f t="shared" si="24"/>
        <v>0.18</v>
      </c>
      <c r="L37" s="13">
        <f t="shared" si="25"/>
        <v>2773.7226277372265</v>
      </c>
      <c r="M37" s="13">
        <f t="shared" si="26"/>
        <v>3272.992700729927</v>
      </c>
      <c r="N37" s="13">
        <f t="shared" si="27"/>
        <v>499.27007299270053</v>
      </c>
      <c r="O37" s="15">
        <f t="shared" si="28"/>
        <v>62.272727272727266</v>
      </c>
      <c r="P37" s="13">
        <f t="shared" si="29"/>
        <v>36118.181818181816</v>
      </c>
      <c r="Q37" s="16">
        <v>0.47589999999999999</v>
      </c>
      <c r="R37" s="17">
        <f t="shared" si="30"/>
        <v>415848.44</v>
      </c>
      <c r="S37" s="17">
        <f t="shared" si="31"/>
        <v>35848.44</v>
      </c>
      <c r="T37" s="18">
        <f t="shared" si="32"/>
        <v>-32551.559999999998</v>
      </c>
    </row>
    <row r="38" spans="1:20" ht="15.75" customHeight="1" x14ac:dyDescent="0.35">
      <c r="A38" s="19">
        <v>28</v>
      </c>
      <c r="B38" s="19" t="s">
        <v>50</v>
      </c>
      <c r="C38" s="3" t="s">
        <v>51</v>
      </c>
      <c r="D38" s="2" t="s">
        <v>67</v>
      </c>
      <c r="E38" s="10">
        <v>85</v>
      </c>
      <c r="F38" s="10">
        <v>380000</v>
      </c>
      <c r="G38" s="11">
        <v>0.18</v>
      </c>
      <c r="H38" s="21">
        <v>402409.090909091</v>
      </c>
      <c r="I38" s="12">
        <f t="shared" si="22"/>
        <v>448400</v>
      </c>
      <c r="J38" s="13">
        <f t="shared" si="23"/>
        <v>68400</v>
      </c>
      <c r="K38" s="14">
        <f t="shared" si="24"/>
        <v>0.18</v>
      </c>
      <c r="L38" s="13">
        <f t="shared" si="25"/>
        <v>4470.588235294118</v>
      </c>
      <c r="M38" s="13">
        <f t="shared" si="26"/>
        <v>5275.2941176470586</v>
      </c>
      <c r="N38" s="13">
        <f t="shared" si="27"/>
        <v>804.70588235294053</v>
      </c>
      <c r="O38" s="15">
        <f t="shared" si="28"/>
        <v>38.636363636363633</v>
      </c>
      <c r="P38" s="13">
        <f t="shared" si="29"/>
        <v>22409.090909090908</v>
      </c>
      <c r="Q38" s="16">
        <v>0.20860000000000001</v>
      </c>
      <c r="R38" s="17">
        <f t="shared" si="30"/>
        <v>434131.76</v>
      </c>
      <c r="S38" s="17">
        <f t="shared" si="31"/>
        <v>54131.76</v>
      </c>
      <c r="T38" s="18">
        <f t="shared" si="32"/>
        <v>-14268.239999999991</v>
      </c>
    </row>
    <row r="39" spans="1:20" ht="15.75" customHeight="1" x14ac:dyDescent="0.35">
      <c r="A39" s="9">
        <v>29</v>
      </c>
      <c r="B39" s="9" t="s">
        <v>50</v>
      </c>
      <c r="C39" s="5" t="s">
        <v>51</v>
      </c>
      <c r="D39" s="4" t="s">
        <v>68</v>
      </c>
      <c r="E39" s="10">
        <v>60</v>
      </c>
      <c r="F39" s="10">
        <v>280000</v>
      </c>
      <c r="G39" s="11">
        <v>0.18</v>
      </c>
      <c r="H39" s="21">
        <v>295818.181818182</v>
      </c>
      <c r="I39" s="12">
        <f t="shared" si="22"/>
        <v>330400</v>
      </c>
      <c r="J39" s="13">
        <f t="shared" si="23"/>
        <v>50400</v>
      </c>
      <c r="K39" s="14">
        <f t="shared" si="24"/>
        <v>0.18</v>
      </c>
      <c r="L39" s="13">
        <f t="shared" si="25"/>
        <v>4666.666666666667</v>
      </c>
      <c r="M39" s="13">
        <f t="shared" si="26"/>
        <v>5506.666666666667</v>
      </c>
      <c r="N39" s="13">
        <f t="shared" si="27"/>
        <v>840</v>
      </c>
      <c r="O39" s="15">
        <f t="shared" si="28"/>
        <v>27.27272727272727</v>
      </c>
      <c r="P39" s="13">
        <f t="shared" si="29"/>
        <v>15818.181818181816</v>
      </c>
      <c r="Q39" s="16">
        <v>0.47589999999999999</v>
      </c>
      <c r="R39" s="17">
        <f t="shared" si="30"/>
        <v>306414.64</v>
      </c>
      <c r="S39" s="17">
        <f t="shared" si="31"/>
        <v>26414.639999999999</v>
      </c>
      <c r="T39" s="18">
        <f t="shared" si="32"/>
        <v>-23985.359999999986</v>
      </c>
    </row>
    <row r="40" spans="1:20" ht="15.75" customHeight="1" x14ac:dyDescent="0.35">
      <c r="A40" s="19">
        <v>30</v>
      </c>
      <c r="B40" s="19" t="s">
        <v>50</v>
      </c>
      <c r="C40" s="3" t="s">
        <v>51</v>
      </c>
      <c r="D40" s="2" t="s">
        <v>51</v>
      </c>
      <c r="E40" s="10">
        <v>42</v>
      </c>
      <c r="F40" s="10">
        <v>280000</v>
      </c>
      <c r="G40" s="11">
        <v>0.18</v>
      </c>
      <c r="H40" s="21">
        <v>291072.727272727</v>
      </c>
      <c r="I40" s="12">
        <f t="shared" si="22"/>
        <v>330400</v>
      </c>
      <c r="J40" s="13">
        <f t="shared" si="23"/>
        <v>50400</v>
      </c>
      <c r="K40" s="14">
        <f t="shared" si="24"/>
        <v>0.18</v>
      </c>
      <c r="L40" s="13">
        <f t="shared" si="25"/>
        <v>6666.666666666667</v>
      </c>
      <c r="M40" s="13">
        <f t="shared" si="26"/>
        <v>7866.666666666667</v>
      </c>
      <c r="N40" s="13">
        <f t="shared" si="27"/>
        <v>1200</v>
      </c>
      <c r="O40" s="15">
        <f t="shared" si="28"/>
        <v>19.09090909090909</v>
      </c>
      <c r="P40" s="13">
        <f t="shared" si="29"/>
        <v>11072.727272727272</v>
      </c>
      <c r="Q40" s="16">
        <v>0.47589999999999999</v>
      </c>
      <c r="R40" s="17">
        <f t="shared" si="30"/>
        <v>306414.64</v>
      </c>
      <c r="S40" s="17">
        <f t="shared" si="31"/>
        <v>26414.639999999999</v>
      </c>
      <c r="T40" s="18">
        <f t="shared" si="32"/>
        <v>-23985.359999999986</v>
      </c>
    </row>
    <row r="41" spans="1:20" ht="18" customHeight="1" x14ac:dyDescent="0.35">
      <c r="A41" s="25" t="s">
        <v>69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7"/>
    </row>
    <row r="42" spans="1:20" ht="15.75" customHeight="1" x14ac:dyDescent="0.35">
      <c r="A42" s="19">
        <v>31</v>
      </c>
      <c r="B42" s="19" t="s">
        <v>70</v>
      </c>
      <c r="C42" s="3" t="s">
        <v>71</v>
      </c>
      <c r="D42" s="2" t="s">
        <v>72</v>
      </c>
      <c r="E42" s="10">
        <v>147</v>
      </c>
      <c r="F42" s="10">
        <v>300000</v>
      </c>
      <c r="G42" s="11">
        <v>0.18</v>
      </c>
      <c r="H42" s="21">
        <v>338754.54545454599</v>
      </c>
      <c r="I42" s="12">
        <f t="shared" ref="I42:I59" si="33">F42*(1+G42)</f>
        <v>354000</v>
      </c>
      <c r="J42" s="13">
        <f t="shared" ref="J42:J59" si="34">I42-F42</f>
        <v>54000</v>
      </c>
      <c r="K42" s="14">
        <f t="shared" ref="K42:K59" si="35">J42/F42</f>
        <v>0.18</v>
      </c>
      <c r="L42" s="13">
        <f t="shared" ref="L42:L59" si="36">F42/E42</f>
        <v>2040.8163265306123</v>
      </c>
      <c r="M42" s="13">
        <f t="shared" ref="M42:M59" si="37">I42/E42</f>
        <v>2408.1632653061224</v>
      </c>
      <c r="N42" s="13">
        <f t="shared" ref="N42:N59" si="38">M42-L42</f>
        <v>367.34693877551013</v>
      </c>
      <c r="O42" s="15">
        <f t="shared" ref="O42:O59" si="39">E42/2.2</f>
        <v>66.818181818181813</v>
      </c>
      <c r="P42" s="13">
        <f t="shared" ref="P42:P59" si="40">O42*580</f>
        <v>38754.545454545449</v>
      </c>
      <c r="Q42" s="16">
        <v>0.47589999999999999</v>
      </c>
      <c r="R42" s="17">
        <f t="shared" ref="R42:R59" si="41">+F42+S42</f>
        <v>328301.40000000002</v>
      </c>
      <c r="S42" s="17">
        <f t="shared" ref="S42:S59" si="42">J42*(1-Q42)</f>
        <v>28301.4</v>
      </c>
      <c r="T42" s="18">
        <f t="shared" ref="T42:T59" si="43">+R42-I42</f>
        <v>-25698.599999999977</v>
      </c>
    </row>
    <row r="43" spans="1:20" ht="15.75" customHeight="1" x14ac:dyDescent="0.35">
      <c r="A43" s="9">
        <v>32</v>
      </c>
      <c r="B43" s="9" t="s">
        <v>70</v>
      </c>
      <c r="C43" s="5" t="s">
        <v>71</v>
      </c>
      <c r="D43" s="4" t="s">
        <v>73</v>
      </c>
      <c r="E43" s="10">
        <v>103</v>
      </c>
      <c r="F43" s="10">
        <v>300000</v>
      </c>
      <c r="G43" s="11">
        <v>0.18</v>
      </c>
      <c r="H43" s="21">
        <v>327154.54545454599</v>
      </c>
      <c r="I43" s="12">
        <f t="shared" si="33"/>
        <v>354000</v>
      </c>
      <c r="J43" s="13">
        <f t="shared" si="34"/>
        <v>54000</v>
      </c>
      <c r="K43" s="14">
        <f t="shared" si="35"/>
        <v>0.18</v>
      </c>
      <c r="L43" s="13">
        <f t="shared" si="36"/>
        <v>2912.6213592233012</v>
      </c>
      <c r="M43" s="13">
        <f t="shared" si="37"/>
        <v>3436.8932038834951</v>
      </c>
      <c r="N43" s="13">
        <f t="shared" si="38"/>
        <v>524.27184466019389</v>
      </c>
      <c r="O43" s="15">
        <f t="shared" si="39"/>
        <v>46.818181818181813</v>
      </c>
      <c r="P43" s="13">
        <f t="shared" si="40"/>
        <v>27154.545454545452</v>
      </c>
      <c r="Q43" s="16">
        <v>0.47589999999999999</v>
      </c>
      <c r="R43" s="17">
        <f t="shared" si="41"/>
        <v>328301.40000000002</v>
      </c>
      <c r="S43" s="17">
        <f t="shared" si="42"/>
        <v>28301.4</v>
      </c>
      <c r="T43" s="18">
        <f t="shared" si="43"/>
        <v>-25698.599999999977</v>
      </c>
    </row>
    <row r="44" spans="1:20" ht="15.75" customHeight="1" x14ac:dyDescent="0.35">
      <c r="A44" s="19">
        <v>33</v>
      </c>
      <c r="B44" s="19" t="s">
        <v>70</v>
      </c>
      <c r="C44" s="3" t="s">
        <v>71</v>
      </c>
      <c r="D44" s="2" t="s">
        <v>74</v>
      </c>
      <c r="E44" s="10">
        <v>97</v>
      </c>
      <c r="F44" s="10">
        <v>300000</v>
      </c>
      <c r="G44" s="11">
        <v>0.18</v>
      </c>
      <c r="H44" s="21">
        <v>325572.727272727</v>
      </c>
      <c r="I44" s="12">
        <f t="shared" si="33"/>
        <v>354000</v>
      </c>
      <c r="J44" s="13">
        <f t="shared" si="34"/>
        <v>54000</v>
      </c>
      <c r="K44" s="14">
        <f t="shared" si="35"/>
        <v>0.18</v>
      </c>
      <c r="L44" s="13">
        <f t="shared" si="36"/>
        <v>3092.783505154639</v>
      </c>
      <c r="M44" s="13">
        <f t="shared" si="37"/>
        <v>3649.4845360824743</v>
      </c>
      <c r="N44" s="13">
        <f t="shared" si="38"/>
        <v>556.70103092783529</v>
      </c>
      <c r="O44" s="15">
        <f t="shared" si="39"/>
        <v>44.090909090909086</v>
      </c>
      <c r="P44" s="13">
        <f t="shared" si="40"/>
        <v>25572.727272727268</v>
      </c>
      <c r="Q44" s="16">
        <v>0.47589999999999999</v>
      </c>
      <c r="R44" s="17">
        <f t="shared" si="41"/>
        <v>328301.40000000002</v>
      </c>
      <c r="S44" s="17">
        <f t="shared" si="42"/>
        <v>28301.4</v>
      </c>
      <c r="T44" s="18">
        <f t="shared" si="43"/>
        <v>-25698.599999999977</v>
      </c>
    </row>
    <row r="45" spans="1:20" ht="15.75" customHeight="1" x14ac:dyDescent="0.35">
      <c r="A45" s="9">
        <v>34</v>
      </c>
      <c r="B45" s="9" t="s">
        <v>70</v>
      </c>
      <c r="C45" s="5" t="s">
        <v>71</v>
      </c>
      <c r="D45" s="4" t="s">
        <v>75</v>
      </c>
      <c r="E45" s="10">
        <v>104</v>
      </c>
      <c r="F45" s="10">
        <v>300000</v>
      </c>
      <c r="G45" s="11">
        <v>0.18</v>
      </c>
      <c r="H45" s="21">
        <v>327418.181818182</v>
      </c>
      <c r="I45" s="12">
        <f t="shared" si="33"/>
        <v>354000</v>
      </c>
      <c r="J45" s="13">
        <f t="shared" si="34"/>
        <v>54000</v>
      </c>
      <c r="K45" s="14">
        <f t="shared" si="35"/>
        <v>0.18</v>
      </c>
      <c r="L45" s="13">
        <f t="shared" si="36"/>
        <v>2884.6153846153848</v>
      </c>
      <c r="M45" s="13">
        <f t="shared" si="37"/>
        <v>3403.8461538461538</v>
      </c>
      <c r="N45" s="13">
        <f t="shared" si="38"/>
        <v>519.23076923076906</v>
      </c>
      <c r="O45" s="15">
        <f t="shared" si="39"/>
        <v>47.272727272727266</v>
      </c>
      <c r="P45" s="13">
        <f t="shared" si="40"/>
        <v>27418.181818181816</v>
      </c>
      <c r="Q45" s="16">
        <v>0.47589999999999999</v>
      </c>
      <c r="R45" s="17">
        <f t="shared" si="41"/>
        <v>328301.40000000002</v>
      </c>
      <c r="S45" s="17">
        <f t="shared" si="42"/>
        <v>28301.4</v>
      </c>
      <c r="T45" s="18">
        <f t="shared" si="43"/>
        <v>-25698.599999999977</v>
      </c>
    </row>
    <row r="46" spans="1:20" ht="15.75" customHeight="1" x14ac:dyDescent="0.35">
      <c r="A46" s="19">
        <v>35</v>
      </c>
      <c r="B46" s="19" t="s">
        <v>70</v>
      </c>
      <c r="C46" s="3" t="s">
        <v>71</v>
      </c>
      <c r="D46" s="2" t="s">
        <v>76</v>
      </c>
      <c r="E46" s="10">
        <v>35</v>
      </c>
      <c r="F46" s="10">
        <v>280000</v>
      </c>
      <c r="G46" s="11">
        <v>0.18</v>
      </c>
      <c r="H46" s="21">
        <v>289227.272727273</v>
      </c>
      <c r="I46" s="12">
        <f t="shared" si="33"/>
        <v>330400</v>
      </c>
      <c r="J46" s="13">
        <f t="shared" si="34"/>
        <v>50400</v>
      </c>
      <c r="K46" s="14">
        <f t="shared" si="35"/>
        <v>0.18</v>
      </c>
      <c r="L46" s="13">
        <f t="shared" si="36"/>
        <v>8000</v>
      </c>
      <c r="M46" s="13">
        <f t="shared" si="37"/>
        <v>9440</v>
      </c>
      <c r="N46" s="13">
        <f t="shared" si="38"/>
        <v>1440</v>
      </c>
      <c r="O46" s="15">
        <f t="shared" si="39"/>
        <v>15.909090909090908</v>
      </c>
      <c r="P46" s="13">
        <f t="shared" si="40"/>
        <v>9227.2727272727261</v>
      </c>
      <c r="Q46" s="16">
        <v>0.47589999999999999</v>
      </c>
      <c r="R46" s="17">
        <f t="shared" si="41"/>
        <v>306414.64</v>
      </c>
      <c r="S46" s="17">
        <f t="shared" si="42"/>
        <v>26414.639999999999</v>
      </c>
      <c r="T46" s="18">
        <f t="shared" si="43"/>
        <v>-23985.359999999986</v>
      </c>
    </row>
    <row r="47" spans="1:20" ht="15.75" customHeight="1" x14ac:dyDescent="0.35">
      <c r="A47" s="9">
        <v>36</v>
      </c>
      <c r="B47" s="9" t="s">
        <v>70</v>
      </c>
      <c r="C47" s="5" t="s">
        <v>71</v>
      </c>
      <c r="D47" s="4" t="s">
        <v>77</v>
      </c>
      <c r="E47" s="10">
        <v>111</v>
      </c>
      <c r="F47" s="10">
        <v>300000</v>
      </c>
      <c r="G47" s="11">
        <v>0.18</v>
      </c>
      <c r="H47" s="21">
        <v>329263.636363636</v>
      </c>
      <c r="I47" s="12">
        <f t="shared" si="33"/>
        <v>354000</v>
      </c>
      <c r="J47" s="13">
        <f t="shared" si="34"/>
        <v>54000</v>
      </c>
      <c r="K47" s="14">
        <f t="shared" si="35"/>
        <v>0.18</v>
      </c>
      <c r="L47" s="13">
        <f t="shared" si="36"/>
        <v>2702.7027027027025</v>
      </c>
      <c r="M47" s="13">
        <f t="shared" si="37"/>
        <v>3189.1891891891892</v>
      </c>
      <c r="N47" s="13">
        <f t="shared" si="38"/>
        <v>486.48648648648668</v>
      </c>
      <c r="O47" s="15">
        <f t="shared" si="39"/>
        <v>50.454545454545453</v>
      </c>
      <c r="P47" s="13">
        <f t="shared" si="40"/>
        <v>29263.636363636364</v>
      </c>
      <c r="Q47" s="16">
        <v>0.47589999999999999</v>
      </c>
      <c r="R47" s="17">
        <f t="shared" si="41"/>
        <v>328301.40000000002</v>
      </c>
      <c r="S47" s="17">
        <f t="shared" si="42"/>
        <v>28301.4</v>
      </c>
      <c r="T47" s="18">
        <f t="shared" si="43"/>
        <v>-25698.599999999977</v>
      </c>
    </row>
    <row r="48" spans="1:20" ht="15.75" customHeight="1" x14ac:dyDescent="0.35">
      <c r="A48" s="19">
        <v>37</v>
      </c>
      <c r="B48" s="19" t="s">
        <v>70</v>
      </c>
      <c r="C48" s="3" t="s">
        <v>71</v>
      </c>
      <c r="D48" s="2" t="s">
        <v>78</v>
      </c>
      <c r="E48" s="10">
        <v>76</v>
      </c>
      <c r="F48" s="10">
        <v>280000</v>
      </c>
      <c r="G48" s="11">
        <v>0.18</v>
      </c>
      <c r="H48" s="21">
        <v>300036.363636364</v>
      </c>
      <c r="I48" s="12">
        <f t="shared" si="33"/>
        <v>330400</v>
      </c>
      <c r="J48" s="13">
        <f t="shared" si="34"/>
        <v>50400</v>
      </c>
      <c r="K48" s="14">
        <f t="shared" si="35"/>
        <v>0.18</v>
      </c>
      <c r="L48" s="13">
        <f t="shared" si="36"/>
        <v>3684.2105263157896</v>
      </c>
      <c r="M48" s="13">
        <f t="shared" si="37"/>
        <v>4347.3684210526317</v>
      </c>
      <c r="N48" s="13">
        <f t="shared" si="38"/>
        <v>663.15789473684208</v>
      </c>
      <c r="O48" s="15">
        <f t="shared" si="39"/>
        <v>34.54545454545454</v>
      </c>
      <c r="P48" s="13">
        <f t="shared" si="40"/>
        <v>20036.363636363632</v>
      </c>
      <c r="Q48" s="16">
        <v>0.47589999999999999</v>
      </c>
      <c r="R48" s="17">
        <f t="shared" si="41"/>
        <v>306414.64</v>
      </c>
      <c r="S48" s="17">
        <f t="shared" si="42"/>
        <v>26414.639999999999</v>
      </c>
      <c r="T48" s="18">
        <f t="shared" si="43"/>
        <v>-23985.359999999986</v>
      </c>
    </row>
    <row r="49" spans="1:25" ht="15.75" customHeight="1" x14ac:dyDescent="0.35">
      <c r="A49" s="9">
        <v>38</v>
      </c>
      <c r="B49" s="9" t="s">
        <v>70</v>
      </c>
      <c r="C49" s="5" t="s">
        <v>71</v>
      </c>
      <c r="D49" s="4" t="s">
        <v>79</v>
      </c>
      <c r="E49" s="10">
        <v>113</v>
      </c>
      <c r="F49" s="10">
        <v>300000</v>
      </c>
      <c r="G49" s="11">
        <v>0.18</v>
      </c>
      <c r="H49" s="21">
        <v>329790.909090909</v>
      </c>
      <c r="I49" s="12">
        <f t="shared" si="33"/>
        <v>354000</v>
      </c>
      <c r="J49" s="13">
        <f t="shared" si="34"/>
        <v>54000</v>
      </c>
      <c r="K49" s="14">
        <f t="shared" si="35"/>
        <v>0.18</v>
      </c>
      <c r="L49" s="13">
        <f t="shared" si="36"/>
        <v>2654.8672566371683</v>
      </c>
      <c r="M49" s="13">
        <f t="shared" si="37"/>
        <v>3132.7433628318586</v>
      </c>
      <c r="N49" s="13">
        <f t="shared" si="38"/>
        <v>477.87610619469024</v>
      </c>
      <c r="O49" s="15">
        <f t="shared" si="39"/>
        <v>51.36363636363636</v>
      </c>
      <c r="P49" s="13">
        <f t="shared" si="40"/>
        <v>29790.909090909088</v>
      </c>
      <c r="Q49" s="16">
        <v>0.47589999999999999</v>
      </c>
      <c r="R49" s="17">
        <f t="shared" si="41"/>
        <v>328301.40000000002</v>
      </c>
      <c r="S49" s="17">
        <f t="shared" si="42"/>
        <v>28301.4</v>
      </c>
      <c r="T49" s="18">
        <f t="shared" si="43"/>
        <v>-25698.599999999977</v>
      </c>
    </row>
    <row r="50" spans="1:25" ht="15.75" customHeight="1" x14ac:dyDescent="0.35">
      <c r="A50" s="19">
        <v>39</v>
      </c>
      <c r="B50" s="19" t="s">
        <v>70</v>
      </c>
      <c r="C50" s="3" t="s">
        <v>71</v>
      </c>
      <c r="D50" s="2" t="s">
        <v>80</v>
      </c>
      <c r="E50" s="10">
        <v>89</v>
      </c>
      <c r="F50" s="10">
        <v>280000</v>
      </c>
      <c r="G50" s="11">
        <v>0.18</v>
      </c>
      <c r="H50" s="21">
        <v>303463.636363636</v>
      </c>
      <c r="I50" s="12">
        <f t="shared" si="33"/>
        <v>330400</v>
      </c>
      <c r="J50" s="13">
        <f t="shared" si="34"/>
        <v>50400</v>
      </c>
      <c r="K50" s="14">
        <f t="shared" si="35"/>
        <v>0.18</v>
      </c>
      <c r="L50" s="13">
        <f t="shared" si="36"/>
        <v>3146.067415730337</v>
      </c>
      <c r="M50" s="13">
        <f t="shared" si="37"/>
        <v>3712.3595505617977</v>
      </c>
      <c r="N50" s="13">
        <f t="shared" si="38"/>
        <v>566.29213483146077</v>
      </c>
      <c r="O50" s="15">
        <f t="shared" si="39"/>
        <v>40.454545454545453</v>
      </c>
      <c r="P50" s="13">
        <f t="shared" si="40"/>
        <v>23463.636363636364</v>
      </c>
      <c r="Q50" s="16">
        <v>0.47589999999999999</v>
      </c>
      <c r="R50" s="17">
        <f t="shared" si="41"/>
        <v>306414.64</v>
      </c>
      <c r="S50" s="17">
        <f t="shared" si="42"/>
        <v>26414.639999999999</v>
      </c>
      <c r="T50" s="18">
        <f t="shared" si="43"/>
        <v>-23985.359999999986</v>
      </c>
    </row>
    <row r="51" spans="1:25" ht="15.75" customHeight="1" x14ac:dyDescent="0.35">
      <c r="A51" s="9">
        <v>40</v>
      </c>
      <c r="B51" s="9" t="s">
        <v>70</v>
      </c>
      <c r="C51" s="5" t="s">
        <v>71</v>
      </c>
      <c r="D51" s="4" t="s">
        <v>81</v>
      </c>
      <c r="E51" s="10">
        <v>56</v>
      </c>
      <c r="F51" s="10">
        <v>280000</v>
      </c>
      <c r="G51" s="11">
        <v>0.18</v>
      </c>
      <c r="H51" s="21">
        <v>294763.636363636</v>
      </c>
      <c r="I51" s="12">
        <f t="shared" si="33"/>
        <v>330400</v>
      </c>
      <c r="J51" s="13">
        <f t="shared" si="34"/>
        <v>50400</v>
      </c>
      <c r="K51" s="14">
        <f t="shared" si="35"/>
        <v>0.18</v>
      </c>
      <c r="L51" s="13">
        <f t="shared" si="36"/>
        <v>5000</v>
      </c>
      <c r="M51" s="13">
        <f t="shared" si="37"/>
        <v>5900</v>
      </c>
      <c r="N51" s="13">
        <f t="shared" si="38"/>
        <v>900</v>
      </c>
      <c r="O51" s="15">
        <f t="shared" si="39"/>
        <v>25.454545454545453</v>
      </c>
      <c r="P51" s="13">
        <f t="shared" si="40"/>
        <v>14763.636363636362</v>
      </c>
      <c r="Q51" s="16">
        <v>0.47589999999999999</v>
      </c>
      <c r="R51" s="17">
        <f t="shared" si="41"/>
        <v>306414.64</v>
      </c>
      <c r="S51" s="17">
        <f t="shared" si="42"/>
        <v>26414.639999999999</v>
      </c>
      <c r="T51" s="18">
        <f t="shared" si="43"/>
        <v>-23985.359999999986</v>
      </c>
    </row>
    <row r="52" spans="1:25" ht="15.75" customHeight="1" x14ac:dyDescent="0.35">
      <c r="A52" s="19">
        <v>41</v>
      </c>
      <c r="B52" s="19" t="s">
        <v>70</v>
      </c>
      <c r="C52" s="3" t="s">
        <v>71</v>
      </c>
      <c r="D52" s="2" t="s">
        <v>82</v>
      </c>
      <c r="E52" s="10">
        <v>59</v>
      </c>
      <c r="F52" s="10">
        <v>280000</v>
      </c>
      <c r="G52" s="11">
        <v>0.18</v>
      </c>
      <c r="H52" s="21">
        <v>295554.54545454599</v>
      </c>
      <c r="I52" s="12">
        <f t="shared" si="33"/>
        <v>330400</v>
      </c>
      <c r="J52" s="13">
        <f t="shared" si="34"/>
        <v>50400</v>
      </c>
      <c r="K52" s="14">
        <f t="shared" si="35"/>
        <v>0.18</v>
      </c>
      <c r="L52" s="13">
        <f t="shared" si="36"/>
        <v>4745.7627118644068</v>
      </c>
      <c r="M52" s="13">
        <f t="shared" si="37"/>
        <v>5600</v>
      </c>
      <c r="N52" s="13">
        <f t="shared" si="38"/>
        <v>854.23728813559319</v>
      </c>
      <c r="O52" s="15">
        <f t="shared" si="39"/>
        <v>26.818181818181817</v>
      </c>
      <c r="P52" s="13">
        <f t="shared" si="40"/>
        <v>15554.545454545454</v>
      </c>
      <c r="Q52" s="16">
        <v>0.47589999999999999</v>
      </c>
      <c r="R52" s="17">
        <f t="shared" si="41"/>
        <v>306414.64</v>
      </c>
      <c r="S52" s="17">
        <f t="shared" si="42"/>
        <v>26414.639999999999</v>
      </c>
      <c r="T52" s="18">
        <f t="shared" si="43"/>
        <v>-23985.359999999986</v>
      </c>
    </row>
    <row r="53" spans="1:25" ht="15.75" customHeight="1" x14ac:dyDescent="0.35">
      <c r="A53" s="9">
        <v>42</v>
      </c>
      <c r="B53" s="9" t="s">
        <v>70</v>
      </c>
      <c r="C53" s="5" t="s">
        <v>71</v>
      </c>
      <c r="D53" s="4" t="s">
        <v>83</v>
      </c>
      <c r="E53" s="10">
        <v>90</v>
      </c>
      <c r="F53" s="10">
        <v>300000</v>
      </c>
      <c r="G53" s="11">
        <v>0.18</v>
      </c>
      <c r="H53" s="21">
        <v>323727.272727273</v>
      </c>
      <c r="I53" s="12">
        <f t="shared" si="33"/>
        <v>354000</v>
      </c>
      <c r="J53" s="13">
        <f t="shared" si="34"/>
        <v>54000</v>
      </c>
      <c r="K53" s="14">
        <f t="shared" si="35"/>
        <v>0.18</v>
      </c>
      <c r="L53" s="13">
        <f t="shared" si="36"/>
        <v>3333.3333333333335</v>
      </c>
      <c r="M53" s="13">
        <f t="shared" si="37"/>
        <v>3933.3333333333335</v>
      </c>
      <c r="N53" s="13">
        <f t="shared" si="38"/>
        <v>600</v>
      </c>
      <c r="O53" s="15">
        <f t="shared" si="39"/>
        <v>40.909090909090907</v>
      </c>
      <c r="P53" s="13">
        <f t="shared" si="40"/>
        <v>23727.272727272724</v>
      </c>
      <c r="Q53" s="16">
        <v>0.47589999999999999</v>
      </c>
      <c r="R53" s="17">
        <f t="shared" si="41"/>
        <v>328301.40000000002</v>
      </c>
      <c r="S53" s="17">
        <f t="shared" si="42"/>
        <v>28301.4</v>
      </c>
      <c r="T53" s="18">
        <f t="shared" si="43"/>
        <v>-25698.599999999977</v>
      </c>
    </row>
    <row r="54" spans="1:25" ht="15.75" customHeight="1" x14ac:dyDescent="0.35">
      <c r="A54" s="19">
        <v>43</v>
      </c>
      <c r="B54" s="19" t="s">
        <v>70</v>
      </c>
      <c r="C54" s="3" t="s">
        <v>71</v>
      </c>
      <c r="D54" s="2" t="s">
        <v>84</v>
      </c>
      <c r="E54" s="10">
        <v>113</v>
      </c>
      <c r="F54" s="10">
        <v>300000</v>
      </c>
      <c r="G54" s="11">
        <v>0.18</v>
      </c>
      <c r="H54" s="21">
        <v>329790.909090909</v>
      </c>
      <c r="I54" s="12">
        <f t="shared" si="33"/>
        <v>354000</v>
      </c>
      <c r="J54" s="13">
        <f t="shared" si="34"/>
        <v>54000</v>
      </c>
      <c r="K54" s="14">
        <f t="shared" si="35"/>
        <v>0.18</v>
      </c>
      <c r="L54" s="13">
        <f t="shared" si="36"/>
        <v>2654.8672566371683</v>
      </c>
      <c r="M54" s="13">
        <f t="shared" si="37"/>
        <v>3132.7433628318586</v>
      </c>
      <c r="N54" s="13">
        <f t="shared" si="38"/>
        <v>477.87610619469024</v>
      </c>
      <c r="O54" s="15">
        <f t="shared" si="39"/>
        <v>51.36363636363636</v>
      </c>
      <c r="P54" s="13">
        <f t="shared" si="40"/>
        <v>29790.909090909088</v>
      </c>
      <c r="Q54" s="16">
        <v>0.47589999999999999</v>
      </c>
      <c r="R54" s="17">
        <f t="shared" si="41"/>
        <v>328301.40000000002</v>
      </c>
      <c r="S54" s="17">
        <f t="shared" si="42"/>
        <v>28301.4</v>
      </c>
      <c r="T54" s="18">
        <f t="shared" si="43"/>
        <v>-25698.599999999977</v>
      </c>
    </row>
    <row r="55" spans="1:25" ht="15.75" customHeight="1" x14ac:dyDescent="0.35">
      <c r="A55" s="9">
        <v>44</v>
      </c>
      <c r="B55" s="9" t="s">
        <v>70</v>
      </c>
      <c r="C55" s="5" t="s">
        <v>71</v>
      </c>
      <c r="D55" s="4" t="s">
        <v>85</v>
      </c>
      <c r="E55" s="10">
        <v>95</v>
      </c>
      <c r="F55" s="10">
        <v>300000</v>
      </c>
      <c r="G55" s="11">
        <v>0.18</v>
      </c>
      <c r="H55" s="21">
        <v>325045.454545455</v>
      </c>
      <c r="I55" s="12">
        <f t="shared" si="33"/>
        <v>354000</v>
      </c>
      <c r="J55" s="13">
        <f t="shared" si="34"/>
        <v>54000</v>
      </c>
      <c r="K55" s="14">
        <f t="shared" si="35"/>
        <v>0.18</v>
      </c>
      <c r="L55" s="13">
        <f t="shared" si="36"/>
        <v>3157.8947368421054</v>
      </c>
      <c r="M55" s="13">
        <f t="shared" si="37"/>
        <v>3726.3157894736842</v>
      </c>
      <c r="N55" s="13">
        <f t="shared" si="38"/>
        <v>568.42105263157873</v>
      </c>
      <c r="O55" s="15">
        <f t="shared" si="39"/>
        <v>43.18181818181818</v>
      </c>
      <c r="P55" s="13">
        <f t="shared" si="40"/>
        <v>25045.454545454544</v>
      </c>
      <c r="Q55" s="16">
        <v>0.47589999999999999</v>
      </c>
      <c r="R55" s="17">
        <f t="shared" si="41"/>
        <v>328301.40000000002</v>
      </c>
      <c r="S55" s="17">
        <f t="shared" si="42"/>
        <v>28301.4</v>
      </c>
      <c r="T55" s="18">
        <f t="shared" si="43"/>
        <v>-25698.599999999977</v>
      </c>
    </row>
    <row r="56" spans="1:25" ht="15.75" customHeight="1" x14ac:dyDescent="0.35">
      <c r="A56" s="19">
        <v>45</v>
      </c>
      <c r="B56" s="19" t="s">
        <v>70</v>
      </c>
      <c r="C56" s="3" t="s">
        <v>71</v>
      </c>
      <c r="D56" s="2" t="s">
        <v>86</v>
      </c>
      <c r="E56" s="10">
        <v>87</v>
      </c>
      <c r="F56" s="10">
        <v>280000</v>
      </c>
      <c r="G56" s="11">
        <v>0.18</v>
      </c>
      <c r="H56" s="21">
        <v>302936.363636364</v>
      </c>
      <c r="I56" s="12">
        <f t="shared" si="33"/>
        <v>330400</v>
      </c>
      <c r="J56" s="13">
        <f t="shared" si="34"/>
        <v>50400</v>
      </c>
      <c r="K56" s="14">
        <f t="shared" si="35"/>
        <v>0.18</v>
      </c>
      <c r="L56" s="13">
        <f t="shared" si="36"/>
        <v>3218.3908045977009</v>
      </c>
      <c r="M56" s="13">
        <f t="shared" si="37"/>
        <v>3797.7011494252874</v>
      </c>
      <c r="N56" s="13">
        <f t="shared" si="38"/>
        <v>579.3103448275865</v>
      </c>
      <c r="O56" s="15">
        <f t="shared" si="39"/>
        <v>39.54545454545454</v>
      </c>
      <c r="P56" s="13">
        <f t="shared" si="40"/>
        <v>22936.363636363632</v>
      </c>
      <c r="Q56" s="16">
        <v>0.47589999999999999</v>
      </c>
      <c r="R56" s="17">
        <f t="shared" si="41"/>
        <v>306414.64</v>
      </c>
      <c r="S56" s="17">
        <f t="shared" si="42"/>
        <v>26414.639999999999</v>
      </c>
      <c r="T56" s="18">
        <f t="shared" si="43"/>
        <v>-23985.359999999986</v>
      </c>
    </row>
    <row r="57" spans="1:25" ht="15.75" customHeight="1" x14ac:dyDescent="0.35">
      <c r="A57" s="9">
        <v>46</v>
      </c>
      <c r="B57" s="9" t="s">
        <v>70</v>
      </c>
      <c r="C57" s="5" t="s">
        <v>71</v>
      </c>
      <c r="D57" s="4" t="s">
        <v>87</v>
      </c>
      <c r="E57" s="10">
        <v>81</v>
      </c>
      <c r="F57" s="10">
        <v>280000</v>
      </c>
      <c r="G57" s="11">
        <v>0.18</v>
      </c>
      <c r="H57" s="21">
        <v>301354.54545454599</v>
      </c>
      <c r="I57" s="12">
        <f t="shared" si="33"/>
        <v>330400</v>
      </c>
      <c r="J57" s="13">
        <f t="shared" si="34"/>
        <v>50400</v>
      </c>
      <c r="K57" s="14">
        <f t="shared" si="35"/>
        <v>0.18</v>
      </c>
      <c r="L57" s="13">
        <f t="shared" si="36"/>
        <v>3456.7901234567903</v>
      </c>
      <c r="M57" s="13">
        <f t="shared" si="37"/>
        <v>4079.0123456790125</v>
      </c>
      <c r="N57" s="13">
        <f t="shared" si="38"/>
        <v>622.22222222222217</v>
      </c>
      <c r="O57" s="15">
        <f t="shared" si="39"/>
        <v>36.818181818181813</v>
      </c>
      <c r="P57" s="13">
        <f t="shared" si="40"/>
        <v>21354.545454545452</v>
      </c>
      <c r="Q57" s="16">
        <v>0.20860000000000001</v>
      </c>
      <c r="R57" s="17">
        <f t="shared" si="41"/>
        <v>319886.56</v>
      </c>
      <c r="S57" s="17">
        <f t="shared" si="42"/>
        <v>39886.559999999998</v>
      </c>
      <c r="T57" s="18">
        <f t="shared" si="43"/>
        <v>-10513.440000000002</v>
      </c>
    </row>
    <row r="58" spans="1:25" ht="15.75" customHeight="1" x14ac:dyDescent="0.35">
      <c r="A58" s="19">
        <v>47</v>
      </c>
      <c r="B58" s="19" t="s">
        <v>70</v>
      </c>
      <c r="C58" s="3" t="s">
        <v>71</v>
      </c>
      <c r="D58" s="2" t="s">
        <v>88</v>
      </c>
      <c r="E58" s="10">
        <v>105</v>
      </c>
      <c r="F58" s="10">
        <v>300000</v>
      </c>
      <c r="G58" s="11">
        <v>0.18</v>
      </c>
      <c r="H58" s="21">
        <v>327681.818181818</v>
      </c>
      <c r="I58" s="12">
        <f t="shared" si="33"/>
        <v>354000</v>
      </c>
      <c r="J58" s="13">
        <f t="shared" si="34"/>
        <v>54000</v>
      </c>
      <c r="K58" s="14">
        <f t="shared" si="35"/>
        <v>0.18</v>
      </c>
      <c r="L58" s="13">
        <f t="shared" si="36"/>
        <v>2857.1428571428573</v>
      </c>
      <c r="M58" s="13">
        <f t="shared" si="37"/>
        <v>3371.4285714285716</v>
      </c>
      <c r="N58" s="13">
        <f t="shared" si="38"/>
        <v>514.28571428571422</v>
      </c>
      <c r="O58" s="15">
        <f t="shared" si="39"/>
        <v>47.727272727272727</v>
      </c>
      <c r="P58" s="13">
        <f t="shared" si="40"/>
        <v>27681.81818181818</v>
      </c>
      <c r="Q58" s="16">
        <v>0.47589999999999999</v>
      </c>
      <c r="R58" s="17">
        <f t="shared" si="41"/>
        <v>328301.40000000002</v>
      </c>
      <c r="S58" s="17">
        <f t="shared" si="42"/>
        <v>28301.4</v>
      </c>
      <c r="T58" s="18">
        <f t="shared" si="43"/>
        <v>-25698.599999999977</v>
      </c>
    </row>
    <row r="59" spans="1:25" ht="15.75" customHeight="1" x14ac:dyDescent="0.35">
      <c r="A59" s="9">
        <v>48</v>
      </c>
      <c r="B59" s="9" t="s">
        <v>70</v>
      </c>
      <c r="C59" s="5" t="s">
        <v>71</v>
      </c>
      <c r="D59" s="4" t="s">
        <v>89</v>
      </c>
      <c r="E59" s="10">
        <v>94</v>
      </c>
      <c r="F59" s="10">
        <v>300000</v>
      </c>
      <c r="G59" s="11">
        <v>0.18</v>
      </c>
      <c r="H59" s="21">
        <v>324781.818181818</v>
      </c>
      <c r="I59" s="12">
        <f t="shared" si="33"/>
        <v>354000</v>
      </c>
      <c r="J59" s="13">
        <f t="shared" si="34"/>
        <v>54000</v>
      </c>
      <c r="K59" s="14">
        <f t="shared" si="35"/>
        <v>0.18</v>
      </c>
      <c r="L59" s="13">
        <f t="shared" si="36"/>
        <v>3191.4893617021276</v>
      </c>
      <c r="M59" s="13">
        <f t="shared" si="37"/>
        <v>3765.9574468085107</v>
      </c>
      <c r="N59" s="13">
        <f t="shared" si="38"/>
        <v>574.46808510638311</v>
      </c>
      <c r="O59" s="15">
        <f t="shared" si="39"/>
        <v>42.727272727272727</v>
      </c>
      <c r="P59" s="13">
        <f t="shared" si="40"/>
        <v>24781.81818181818</v>
      </c>
      <c r="Q59" s="16">
        <v>0.47589999999999999</v>
      </c>
      <c r="R59" s="17">
        <f t="shared" si="41"/>
        <v>328301.40000000002</v>
      </c>
      <c r="S59" s="17">
        <f t="shared" si="42"/>
        <v>28301.4</v>
      </c>
      <c r="T59" s="18">
        <f t="shared" si="43"/>
        <v>-25698.599999999977</v>
      </c>
    </row>
    <row r="60" spans="1:25" ht="18" customHeight="1" x14ac:dyDescent="0.35">
      <c r="A60" s="25" t="s">
        <v>90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7"/>
    </row>
    <row r="61" spans="1:25" ht="15.75" customHeight="1" x14ac:dyDescent="0.35">
      <c r="A61" s="9">
        <v>49</v>
      </c>
      <c r="B61" s="9" t="s">
        <v>91</v>
      </c>
      <c r="C61" s="5" t="s">
        <v>92</v>
      </c>
      <c r="D61" s="4" t="s">
        <v>93</v>
      </c>
      <c r="E61" s="10">
        <v>224</v>
      </c>
      <c r="F61" s="10">
        <v>370000</v>
      </c>
      <c r="G61" s="11">
        <v>0.28000000000000003</v>
      </c>
      <c r="H61" s="21">
        <v>429054.54545454599</v>
      </c>
      <c r="I61" s="12">
        <f t="shared" ref="I61:I85" si="44">F61*(1+G61)</f>
        <v>473600</v>
      </c>
      <c r="J61" s="13">
        <f t="shared" ref="J61:J85" si="45">I61-F61</f>
        <v>103600</v>
      </c>
      <c r="K61" s="14">
        <f t="shared" ref="K61:K85" si="46">J61/F61</f>
        <v>0.28000000000000003</v>
      </c>
      <c r="L61" s="13">
        <f t="shared" ref="L61:L85" si="47">F61/E61</f>
        <v>1651.7857142857142</v>
      </c>
      <c r="M61" s="46">
        <f>R61/E61</f>
        <v>2508.51125</v>
      </c>
      <c r="N61" s="13">
        <f t="shared" ref="N61:N85" si="48">M61-L61</f>
        <v>856.7255357142858</v>
      </c>
      <c r="O61" s="15">
        <f t="shared" ref="O61:O85" si="49">E61/2.2</f>
        <v>101.81818181818181</v>
      </c>
      <c r="P61" s="13">
        <f t="shared" ref="P61:P85" si="50">O61*580</f>
        <v>59054.545454545449</v>
      </c>
      <c r="Q61" s="16">
        <v>0.47589999999999999</v>
      </c>
      <c r="R61" s="17">
        <f>R77</f>
        <v>561906.52</v>
      </c>
      <c r="S61" s="17">
        <f t="shared" ref="S61:S85" si="51">J61*(1-Q61)</f>
        <v>54296.76</v>
      </c>
      <c r="T61" s="18">
        <f t="shared" ref="T61:T85" si="52">+R61-I61</f>
        <v>88306.520000000019</v>
      </c>
    </row>
    <row r="62" spans="1:25" ht="15.75" customHeight="1" x14ac:dyDescent="0.35">
      <c r="A62" s="19">
        <v>50</v>
      </c>
      <c r="B62" s="19" t="s">
        <v>91</v>
      </c>
      <c r="C62" s="3" t="s">
        <v>92</v>
      </c>
      <c r="D62" s="2" t="s">
        <v>94</v>
      </c>
      <c r="E62" s="10">
        <v>142</v>
      </c>
      <c r="F62" s="10">
        <v>370000</v>
      </c>
      <c r="G62" s="11">
        <v>0.28000000000000003</v>
      </c>
      <c r="H62" s="21">
        <v>407436.363636364</v>
      </c>
      <c r="I62" s="12">
        <f t="shared" si="44"/>
        <v>473600</v>
      </c>
      <c r="J62" s="13">
        <f t="shared" si="45"/>
        <v>103600</v>
      </c>
      <c r="K62" s="14">
        <f t="shared" si="46"/>
        <v>0.28000000000000003</v>
      </c>
      <c r="L62" s="13">
        <f t="shared" si="47"/>
        <v>2605.6338028169016</v>
      </c>
      <c r="M62" s="46">
        <f t="shared" ref="M62:M85" si="53">R62/E62</f>
        <v>2988.0053521126761</v>
      </c>
      <c r="N62" s="13">
        <f t="shared" si="48"/>
        <v>382.37154929577446</v>
      </c>
      <c r="O62" s="15">
        <f t="shared" si="49"/>
        <v>64.545454545454547</v>
      </c>
      <c r="P62" s="13">
        <f t="shared" si="50"/>
        <v>37436.36363636364</v>
      </c>
      <c r="Q62" s="16">
        <v>0.47589999999999999</v>
      </c>
      <c r="R62" s="17">
        <f t="shared" ref="R61:R85" si="54">+F62+S62</f>
        <v>424296.76</v>
      </c>
      <c r="S62" s="17">
        <f t="shared" si="51"/>
        <v>54296.76</v>
      </c>
      <c r="T62" s="18">
        <f t="shared" si="52"/>
        <v>-49303.239999999991</v>
      </c>
    </row>
    <row r="63" spans="1:25" ht="15.75" customHeight="1" x14ac:dyDescent="0.35">
      <c r="A63" s="9">
        <v>51</v>
      </c>
      <c r="B63" s="9" t="s">
        <v>91</v>
      </c>
      <c r="C63" s="5" t="s">
        <v>92</v>
      </c>
      <c r="D63" s="4" t="s">
        <v>95</v>
      </c>
      <c r="E63" s="10">
        <v>144</v>
      </c>
      <c r="F63" s="10">
        <v>370000</v>
      </c>
      <c r="G63" s="11">
        <v>0.28000000000000003</v>
      </c>
      <c r="H63" s="21">
        <v>407963.636363636</v>
      </c>
      <c r="I63" s="12">
        <f t="shared" si="44"/>
        <v>473600</v>
      </c>
      <c r="J63" s="13">
        <f t="shared" si="45"/>
        <v>103600</v>
      </c>
      <c r="K63" s="14">
        <f t="shared" si="46"/>
        <v>0.28000000000000003</v>
      </c>
      <c r="L63" s="13">
        <f t="shared" si="47"/>
        <v>2569.4444444444443</v>
      </c>
      <c r="M63" s="46">
        <f t="shared" si="53"/>
        <v>2946.5052777777778</v>
      </c>
      <c r="N63" s="13">
        <f t="shared" si="48"/>
        <v>377.06083333333345</v>
      </c>
      <c r="O63" s="15">
        <f t="shared" si="49"/>
        <v>65.454545454545453</v>
      </c>
      <c r="P63" s="13">
        <f t="shared" si="50"/>
        <v>37963.63636363636</v>
      </c>
      <c r="Q63" s="16">
        <v>0.47589999999999999</v>
      </c>
      <c r="R63" s="17">
        <f t="shared" si="54"/>
        <v>424296.76</v>
      </c>
      <c r="S63" s="17">
        <f t="shared" si="51"/>
        <v>54296.76</v>
      </c>
      <c r="T63" s="18">
        <f t="shared" si="52"/>
        <v>-49303.239999999991</v>
      </c>
    </row>
    <row r="64" spans="1:25" ht="15.75" customHeight="1" x14ac:dyDescent="0.35">
      <c r="A64" s="19">
        <v>52</v>
      </c>
      <c r="B64" s="19" t="s">
        <v>91</v>
      </c>
      <c r="C64" s="3" t="s">
        <v>92</v>
      </c>
      <c r="D64" s="2" t="s">
        <v>96</v>
      </c>
      <c r="E64" s="10">
        <v>142</v>
      </c>
      <c r="F64" s="10">
        <v>370000</v>
      </c>
      <c r="G64" s="11">
        <v>0.28000000000000003</v>
      </c>
      <c r="H64" s="21">
        <v>407436.363636364</v>
      </c>
      <c r="I64" s="12">
        <f t="shared" si="44"/>
        <v>473600</v>
      </c>
      <c r="J64" s="13">
        <f t="shared" si="45"/>
        <v>103600</v>
      </c>
      <c r="K64" s="14">
        <f t="shared" si="46"/>
        <v>0.28000000000000003</v>
      </c>
      <c r="L64" s="13">
        <f t="shared" si="47"/>
        <v>2605.6338028169016</v>
      </c>
      <c r="M64" s="46">
        <f t="shared" si="53"/>
        <v>2988.0053521126761</v>
      </c>
      <c r="N64" s="13">
        <f t="shared" si="48"/>
        <v>382.37154929577446</v>
      </c>
      <c r="O64" s="15">
        <f t="shared" si="49"/>
        <v>64.545454545454547</v>
      </c>
      <c r="P64" s="13">
        <f t="shared" si="50"/>
        <v>37436.36363636364</v>
      </c>
      <c r="Q64" s="16">
        <v>0.47589999999999999</v>
      </c>
      <c r="R64" s="17">
        <f t="shared" si="54"/>
        <v>424296.76</v>
      </c>
      <c r="S64" s="17">
        <f t="shared" si="51"/>
        <v>54296.76</v>
      </c>
      <c r="T64" s="18">
        <f t="shared" si="52"/>
        <v>-49303.239999999991</v>
      </c>
      <c r="Y64" s="18"/>
    </row>
    <row r="65" spans="1:20" ht="15.75" customHeight="1" x14ac:dyDescent="0.35">
      <c r="A65" s="9">
        <v>53</v>
      </c>
      <c r="B65" s="9" t="s">
        <v>91</v>
      </c>
      <c r="C65" s="5" t="s">
        <v>92</v>
      </c>
      <c r="D65" s="4" t="s">
        <v>97</v>
      </c>
      <c r="E65" s="10">
        <v>145</v>
      </c>
      <c r="F65" s="10">
        <v>370000</v>
      </c>
      <c r="G65" s="11">
        <v>0.28000000000000003</v>
      </c>
      <c r="H65" s="21">
        <v>408227.272727273</v>
      </c>
      <c r="I65" s="12">
        <f t="shared" si="44"/>
        <v>473600</v>
      </c>
      <c r="J65" s="13">
        <f t="shared" si="45"/>
        <v>103600</v>
      </c>
      <c r="K65" s="14">
        <f t="shared" si="46"/>
        <v>0.28000000000000003</v>
      </c>
      <c r="L65" s="13">
        <f t="shared" si="47"/>
        <v>2551.7241379310344</v>
      </c>
      <c r="M65" s="46">
        <f t="shared" si="53"/>
        <v>2926.1845517241381</v>
      </c>
      <c r="N65" s="13">
        <f t="shared" si="48"/>
        <v>374.46041379310373</v>
      </c>
      <c r="O65" s="15">
        <f t="shared" si="49"/>
        <v>65.909090909090907</v>
      </c>
      <c r="P65" s="13">
        <f t="shared" si="50"/>
        <v>38227.272727272728</v>
      </c>
      <c r="Q65" s="16">
        <v>0.47589999999999999</v>
      </c>
      <c r="R65" s="17">
        <f t="shared" si="54"/>
        <v>424296.76</v>
      </c>
      <c r="S65" s="17">
        <f t="shared" si="51"/>
        <v>54296.76</v>
      </c>
      <c r="T65" s="18">
        <f t="shared" si="52"/>
        <v>-49303.239999999991</v>
      </c>
    </row>
    <row r="66" spans="1:20" ht="15.75" customHeight="1" x14ac:dyDescent="0.35">
      <c r="A66" s="19">
        <v>54</v>
      </c>
      <c r="B66" s="19" t="s">
        <v>91</v>
      </c>
      <c r="C66" s="3" t="s">
        <v>92</v>
      </c>
      <c r="D66" s="2" t="s">
        <v>98</v>
      </c>
      <c r="E66" s="10">
        <v>127</v>
      </c>
      <c r="F66" s="10">
        <v>370000</v>
      </c>
      <c r="G66" s="11">
        <v>0.28000000000000003</v>
      </c>
      <c r="H66" s="21">
        <v>403481.818181818</v>
      </c>
      <c r="I66" s="12">
        <f t="shared" si="44"/>
        <v>473600</v>
      </c>
      <c r="J66" s="13">
        <f t="shared" si="45"/>
        <v>103600</v>
      </c>
      <c r="K66" s="14">
        <f t="shared" si="46"/>
        <v>0.28000000000000003</v>
      </c>
      <c r="L66" s="13">
        <f t="shared" si="47"/>
        <v>2913.3858267716537</v>
      </c>
      <c r="M66" s="46">
        <f t="shared" si="53"/>
        <v>3340.91937007874</v>
      </c>
      <c r="N66" s="13">
        <f t="shared" si="48"/>
        <v>427.53354330708635</v>
      </c>
      <c r="O66" s="15">
        <f t="shared" si="49"/>
        <v>57.72727272727272</v>
      </c>
      <c r="P66" s="13">
        <f t="shared" si="50"/>
        <v>33481.818181818177</v>
      </c>
      <c r="Q66" s="16">
        <v>0.47589999999999999</v>
      </c>
      <c r="R66" s="17">
        <f t="shared" si="54"/>
        <v>424296.76</v>
      </c>
      <c r="S66" s="17">
        <f t="shared" si="51"/>
        <v>54296.76</v>
      </c>
      <c r="T66" s="18">
        <f t="shared" si="52"/>
        <v>-49303.239999999991</v>
      </c>
    </row>
    <row r="67" spans="1:20" ht="15.75" customHeight="1" x14ac:dyDescent="0.35">
      <c r="A67" s="9">
        <v>55</v>
      </c>
      <c r="B67" s="9" t="s">
        <v>91</v>
      </c>
      <c r="C67" s="5" t="s">
        <v>92</v>
      </c>
      <c r="D67" s="4" t="s">
        <v>99</v>
      </c>
      <c r="E67" s="10">
        <v>218</v>
      </c>
      <c r="F67" s="10">
        <v>490000</v>
      </c>
      <c r="G67" s="11">
        <v>0.28000000000000003</v>
      </c>
      <c r="H67" s="21">
        <v>547472.72727272694</v>
      </c>
      <c r="I67" s="12">
        <f t="shared" si="44"/>
        <v>627200</v>
      </c>
      <c r="J67" s="13">
        <f t="shared" si="45"/>
        <v>137200</v>
      </c>
      <c r="K67" s="14">
        <f t="shared" si="46"/>
        <v>0.28000000000000003</v>
      </c>
      <c r="L67" s="13">
        <f t="shared" si="47"/>
        <v>2247.7064220183488</v>
      </c>
      <c r="M67" s="46">
        <f t="shared" si="53"/>
        <v>2577.5528440366975</v>
      </c>
      <c r="N67" s="13">
        <f t="shared" si="48"/>
        <v>329.84642201834868</v>
      </c>
      <c r="O67" s="15">
        <f t="shared" si="49"/>
        <v>99.090909090909079</v>
      </c>
      <c r="P67" s="13">
        <f t="shared" si="50"/>
        <v>57472.727272727265</v>
      </c>
      <c r="Q67" s="16">
        <v>0.47589999999999999</v>
      </c>
      <c r="R67" s="17">
        <f t="shared" si="54"/>
        <v>561906.52</v>
      </c>
      <c r="S67" s="17">
        <f t="shared" si="51"/>
        <v>71906.52</v>
      </c>
      <c r="T67" s="18">
        <f t="shared" si="52"/>
        <v>-65293.479999999981</v>
      </c>
    </row>
    <row r="68" spans="1:20" ht="15.75" customHeight="1" x14ac:dyDescent="0.35">
      <c r="A68" s="19">
        <v>56</v>
      </c>
      <c r="B68" s="19" t="s">
        <v>91</v>
      </c>
      <c r="C68" s="3" t="s">
        <v>92</v>
      </c>
      <c r="D68" s="2" t="s">
        <v>100</v>
      </c>
      <c r="E68" s="10">
        <v>162</v>
      </c>
      <c r="F68" s="10">
        <v>400000</v>
      </c>
      <c r="G68" s="11">
        <v>0.28000000000000003</v>
      </c>
      <c r="H68" s="21">
        <v>442709.090909091</v>
      </c>
      <c r="I68" s="12">
        <f t="shared" si="44"/>
        <v>512000</v>
      </c>
      <c r="J68" s="13">
        <f t="shared" si="45"/>
        <v>112000</v>
      </c>
      <c r="K68" s="14">
        <f t="shared" si="46"/>
        <v>0.28000000000000003</v>
      </c>
      <c r="L68" s="13">
        <f t="shared" si="47"/>
        <v>2469.1358024691358</v>
      </c>
      <c r="M68" s="46">
        <f t="shared" si="53"/>
        <v>2831.4765432098766</v>
      </c>
      <c r="N68" s="13">
        <f t="shared" si="48"/>
        <v>362.34074074074078</v>
      </c>
      <c r="O68" s="15">
        <f t="shared" si="49"/>
        <v>73.636363636363626</v>
      </c>
      <c r="P68" s="13">
        <f t="shared" si="50"/>
        <v>42709.090909090904</v>
      </c>
      <c r="Q68" s="16">
        <v>0.47589999999999999</v>
      </c>
      <c r="R68" s="17">
        <f t="shared" si="54"/>
        <v>458699.2</v>
      </c>
      <c r="S68" s="17">
        <f t="shared" si="51"/>
        <v>58699.200000000004</v>
      </c>
      <c r="T68" s="18">
        <f t="shared" si="52"/>
        <v>-53300.799999999988</v>
      </c>
    </row>
    <row r="69" spans="1:20" ht="15.75" customHeight="1" x14ac:dyDescent="0.35">
      <c r="A69" s="9">
        <v>57</v>
      </c>
      <c r="B69" s="9" t="s">
        <v>91</v>
      </c>
      <c r="C69" s="5" t="s">
        <v>92</v>
      </c>
      <c r="D69" s="4" t="s">
        <v>101</v>
      </c>
      <c r="E69" s="10">
        <v>193</v>
      </c>
      <c r="F69" s="10">
        <v>420000</v>
      </c>
      <c r="G69" s="11">
        <v>0.28000000000000003</v>
      </c>
      <c r="H69" s="21">
        <v>470881.818181818</v>
      </c>
      <c r="I69" s="12">
        <f t="shared" si="44"/>
        <v>537600</v>
      </c>
      <c r="J69" s="13">
        <f t="shared" si="45"/>
        <v>117600</v>
      </c>
      <c r="K69" s="14">
        <f t="shared" si="46"/>
        <v>0.28000000000000003</v>
      </c>
      <c r="L69" s="13">
        <f t="shared" si="47"/>
        <v>2176.1658031088082</v>
      </c>
      <c r="M69" s="46">
        <f t="shared" si="53"/>
        <v>2495.5137823834198</v>
      </c>
      <c r="N69" s="13">
        <f t="shared" si="48"/>
        <v>319.34797927461159</v>
      </c>
      <c r="O69" s="15">
        <f t="shared" si="49"/>
        <v>87.72727272727272</v>
      </c>
      <c r="P69" s="13">
        <f t="shared" si="50"/>
        <v>50881.818181818177</v>
      </c>
      <c r="Q69" s="16">
        <v>0.47589999999999999</v>
      </c>
      <c r="R69" s="17">
        <f t="shared" si="54"/>
        <v>481634.16000000003</v>
      </c>
      <c r="S69" s="17">
        <f t="shared" si="51"/>
        <v>61634.16</v>
      </c>
      <c r="T69" s="18">
        <f t="shared" si="52"/>
        <v>-55965.839999999967</v>
      </c>
    </row>
    <row r="70" spans="1:20" ht="15.75" customHeight="1" x14ac:dyDescent="0.35">
      <c r="A70" s="19">
        <v>58</v>
      </c>
      <c r="B70" s="19" t="s">
        <v>91</v>
      </c>
      <c r="C70" s="3" t="s">
        <v>92</v>
      </c>
      <c r="D70" s="2" t="s">
        <v>102</v>
      </c>
      <c r="E70" s="10">
        <v>173</v>
      </c>
      <c r="F70" s="10">
        <v>400000</v>
      </c>
      <c r="G70" s="11">
        <v>0.28000000000000003</v>
      </c>
      <c r="H70" s="21">
        <v>445609.090909091</v>
      </c>
      <c r="I70" s="12">
        <f t="shared" si="44"/>
        <v>512000</v>
      </c>
      <c r="J70" s="13">
        <f t="shared" si="45"/>
        <v>112000</v>
      </c>
      <c r="K70" s="14">
        <f t="shared" si="46"/>
        <v>0.28000000000000003</v>
      </c>
      <c r="L70" s="13">
        <f t="shared" si="47"/>
        <v>2312.1387283236995</v>
      </c>
      <c r="M70" s="46">
        <f t="shared" si="53"/>
        <v>2651.4404624277458</v>
      </c>
      <c r="N70" s="13">
        <f t="shared" si="48"/>
        <v>339.30173410404632</v>
      </c>
      <c r="O70" s="15">
        <f t="shared" si="49"/>
        <v>78.636363636363626</v>
      </c>
      <c r="P70" s="13">
        <f t="shared" si="50"/>
        <v>45609.090909090904</v>
      </c>
      <c r="Q70" s="16">
        <v>0.47589999999999999</v>
      </c>
      <c r="R70" s="17">
        <f t="shared" si="54"/>
        <v>458699.2</v>
      </c>
      <c r="S70" s="17">
        <f t="shared" si="51"/>
        <v>58699.200000000004</v>
      </c>
      <c r="T70" s="18">
        <f t="shared" si="52"/>
        <v>-53300.799999999988</v>
      </c>
    </row>
    <row r="71" spans="1:20" ht="15.75" customHeight="1" x14ac:dyDescent="0.35">
      <c r="A71" s="9">
        <v>59</v>
      </c>
      <c r="B71" s="9" t="s">
        <v>91</v>
      </c>
      <c r="C71" s="5" t="s">
        <v>92</v>
      </c>
      <c r="D71" s="4" t="s">
        <v>103</v>
      </c>
      <c r="E71" s="10">
        <v>133</v>
      </c>
      <c r="F71" s="10">
        <v>370000</v>
      </c>
      <c r="G71" s="11">
        <v>0.28000000000000003</v>
      </c>
      <c r="H71" s="21">
        <v>405063.636363636</v>
      </c>
      <c r="I71" s="12">
        <f t="shared" si="44"/>
        <v>473600</v>
      </c>
      <c r="J71" s="13">
        <f t="shared" si="45"/>
        <v>103600</v>
      </c>
      <c r="K71" s="14">
        <f t="shared" si="46"/>
        <v>0.28000000000000003</v>
      </c>
      <c r="L71" s="13">
        <f t="shared" si="47"/>
        <v>2781.9548872180453</v>
      </c>
      <c r="M71" s="46">
        <f t="shared" si="53"/>
        <v>3190.2012030075189</v>
      </c>
      <c r="N71" s="13">
        <f t="shared" si="48"/>
        <v>408.24631578947356</v>
      </c>
      <c r="O71" s="15">
        <f t="shared" si="49"/>
        <v>60.454545454545446</v>
      </c>
      <c r="P71" s="13">
        <f t="shared" si="50"/>
        <v>35063.63636363636</v>
      </c>
      <c r="Q71" s="16">
        <v>0.47589999999999999</v>
      </c>
      <c r="R71" s="17">
        <f t="shared" si="54"/>
        <v>424296.76</v>
      </c>
      <c r="S71" s="17">
        <f t="shared" si="51"/>
        <v>54296.76</v>
      </c>
      <c r="T71" s="18">
        <f t="shared" si="52"/>
        <v>-49303.239999999991</v>
      </c>
    </row>
    <row r="72" spans="1:20" ht="15.75" customHeight="1" x14ac:dyDescent="0.35">
      <c r="A72" s="19">
        <v>60</v>
      </c>
      <c r="B72" s="19" t="s">
        <v>91</v>
      </c>
      <c r="C72" s="3" t="s">
        <v>92</v>
      </c>
      <c r="D72" s="2" t="s">
        <v>104</v>
      </c>
      <c r="E72" s="10">
        <v>232</v>
      </c>
      <c r="F72" s="10">
        <v>490000</v>
      </c>
      <c r="G72" s="11">
        <v>0.28000000000000003</v>
      </c>
      <c r="H72" s="21">
        <v>551163.636363636</v>
      </c>
      <c r="I72" s="12">
        <f t="shared" si="44"/>
        <v>627200</v>
      </c>
      <c r="J72" s="13">
        <f t="shared" si="45"/>
        <v>137200</v>
      </c>
      <c r="K72" s="14">
        <f t="shared" si="46"/>
        <v>0.28000000000000003</v>
      </c>
      <c r="L72" s="13">
        <f t="shared" si="47"/>
        <v>2112.0689655172414</v>
      </c>
      <c r="M72" s="46">
        <f t="shared" si="53"/>
        <v>2422.0108620689657</v>
      </c>
      <c r="N72" s="13">
        <f t="shared" si="48"/>
        <v>309.94189655172431</v>
      </c>
      <c r="O72" s="15">
        <f t="shared" si="49"/>
        <v>105.45454545454544</v>
      </c>
      <c r="P72" s="13">
        <f t="shared" si="50"/>
        <v>61163.636363636353</v>
      </c>
      <c r="Q72" s="16">
        <v>0.47589999999999999</v>
      </c>
      <c r="R72" s="17">
        <f t="shared" si="54"/>
        <v>561906.52</v>
      </c>
      <c r="S72" s="17">
        <f t="shared" si="51"/>
        <v>71906.52</v>
      </c>
      <c r="T72" s="18">
        <f t="shared" si="52"/>
        <v>-65293.479999999981</v>
      </c>
    </row>
    <row r="73" spans="1:20" ht="15.75" customHeight="1" x14ac:dyDescent="0.35">
      <c r="A73" s="9">
        <v>61</v>
      </c>
      <c r="B73" s="9" t="s">
        <v>91</v>
      </c>
      <c r="C73" s="5" t="s">
        <v>92</v>
      </c>
      <c r="D73" s="4" t="s">
        <v>105</v>
      </c>
      <c r="E73" s="10">
        <v>254</v>
      </c>
      <c r="F73" s="10">
        <v>540000</v>
      </c>
      <c r="G73" s="11">
        <v>0.28000000000000003</v>
      </c>
      <c r="H73" s="21">
        <v>606963.636363636</v>
      </c>
      <c r="I73" s="12">
        <f t="shared" si="44"/>
        <v>691200</v>
      </c>
      <c r="J73" s="13">
        <f t="shared" si="45"/>
        <v>151200</v>
      </c>
      <c r="K73" s="14">
        <f t="shared" si="46"/>
        <v>0.28000000000000003</v>
      </c>
      <c r="L73" s="13">
        <f t="shared" si="47"/>
        <v>2125.9842519685039</v>
      </c>
      <c r="M73" s="46">
        <f t="shared" si="53"/>
        <v>2437.9681889763783</v>
      </c>
      <c r="N73" s="13">
        <f t="shared" si="48"/>
        <v>311.98393700787437</v>
      </c>
      <c r="O73" s="15">
        <f t="shared" si="49"/>
        <v>115.45454545454544</v>
      </c>
      <c r="P73" s="13">
        <f t="shared" si="50"/>
        <v>66963.636363636353</v>
      </c>
      <c r="Q73" s="16">
        <v>0.47589999999999999</v>
      </c>
      <c r="R73" s="17">
        <f t="shared" si="54"/>
        <v>619243.92000000004</v>
      </c>
      <c r="S73" s="17">
        <f t="shared" si="51"/>
        <v>79243.92</v>
      </c>
      <c r="T73" s="18">
        <f t="shared" si="52"/>
        <v>-71956.079999999958</v>
      </c>
    </row>
    <row r="74" spans="1:20" ht="15.75" customHeight="1" x14ac:dyDescent="0.35">
      <c r="A74" s="19">
        <v>62</v>
      </c>
      <c r="B74" s="19" t="s">
        <v>91</v>
      </c>
      <c r="C74" s="3" t="s">
        <v>92</v>
      </c>
      <c r="D74" s="2" t="s">
        <v>106</v>
      </c>
      <c r="E74" s="10">
        <v>173</v>
      </c>
      <c r="F74" s="10">
        <v>400000</v>
      </c>
      <c r="G74" s="11">
        <v>0.28000000000000003</v>
      </c>
      <c r="H74" s="21">
        <v>445609.090909091</v>
      </c>
      <c r="I74" s="12">
        <f t="shared" si="44"/>
        <v>512000</v>
      </c>
      <c r="J74" s="13">
        <f t="shared" si="45"/>
        <v>112000</v>
      </c>
      <c r="K74" s="14">
        <f t="shared" si="46"/>
        <v>0.28000000000000003</v>
      </c>
      <c r="L74" s="13">
        <f t="shared" si="47"/>
        <v>2312.1387283236995</v>
      </c>
      <c r="M74" s="46">
        <f t="shared" si="53"/>
        <v>2651.4404624277458</v>
      </c>
      <c r="N74" s="13">
        <f t="shared" si="48"/>
        <v>339.30173410404632</v>
      </c>
      <c r="O74" s="15">
        <f t="shared" si="49"/>
        <v>78.636363636363626</v>
      </c>
      <c r="P74" s="13">
        <f t="shared" si="50"/>
        <v>45609.090909090904</v>
      </c>
      <c r="Q74" s="16">
        <v>0.47589999999999999</v>
      </c>
      <c r="R74" s="17">
        <f t="shared" si="54"/>
        <v>458699.2</v>
      </c>
      <c r="S74" s="17">
        <f t="shared" si="51"/>
        <v>58699.200000000004</v>
      </c>
      <c r="T74" s="18">
        <f t="shared" si="52"/>
        <v>-53300.799999999988</v>
      </c>
    </row>
    <row r="75" spans="1:20" ht="15.75" customHeight="1" x14ac:dyDescent="0.35">
      <c r="A75" s="9">
        <v>63</v>
      </c>
      <c r="B75" s="9" t="s">
        <v>91</v>
      </c>
      <c r="C75" s="5" t="s">
        <v>92</v>
      </c>
      <c r="D75" s="4" t="s">
        <v>107</v>
      </c>
      <c r="E75" s="10">
        <v>163</v>
      </c>
      <c r="F75" s="10">
        <v>400000</v>
      </c>
      <c r="G75" s="11">
        <v>0.28000000000000003</v>
      </c>
      <c r="H75" s="21">
        <v>442972.727272727</v>
      </c>
      <c r="I75" s="12">
        <f t="shared" si="44"/>
        <v>512000</v>
      </c>
      <c r="J75" s="13">
        <f t="shared" si="45"/>
        <v>112000</v>
      </c>
      <c r="K75" s="14">
        <f t="shared" si="46"/>
        <v>0.28000000000000003</v>
      </c>
      <c r="L75" s="13">
        <f t="shared" si="47"/>
        <v>2453.9877300613498</v>
      </c>
      <c r="M75" s="46">
        <f t="shared" si="53"/>
        <v>2814.1055214723929</v>
      </c>
      <c r="N75" s="13">
        <f t="shared" si="48"/>
        <v>360.11779141104307</v>
      </c>
      <c r="O75" s="15">
        <f t="shared" si="49"/>
        <v>74.090909090909079</v>
      </c>
      <c r="P75" s="13">
        <f t="shared" si="50"/>
        <v>42972.727272727265</v>
      </c>
      <c r="Q75" s="16">
        <v>0.47589999999999999</v>
      </c>
      <c r="R75" s="17">
        <f t="shared" si="54"/>
        <v>458699.2</v>
      </c>
      <c r="S75" s="17">
        <f t="shared" si="51"/>
        <v>58699.200000000004</v>
      </c>
      <c r="T75" s="18">
        <f t="shared" si="52"/>
        <v>-53300.799999999988</v>
      </c>
    </row>
    <row r="76" spans="1:20" ht="15.75" customHeight="1" x14ac:dyDescent="0.35">
      <c r="A76" s="19">
        <v>64</v>
      </c>
      <c r="B76" s="19" t="s">
        <v>91</v>
      </c>
      <c r="C76" s="3" t="s">
        <v>92</v>
      </c>
      <c r="D76" s="2" t="s">
        <v>108</v>
      </c>
      <c r="E76" s="10">
        <v>155</v>
      </c>
      <c r="F76" s="10">
        <v>400000</v>
      </c>
      <c r="G76" s="11">
        <v>0.28000000000000003</v>
      </c>
      <c r="H76" s="21">
        <v>440863.636363636</v>
      </c>
      <c r="I76" s="12">
        <f t="shared" si="44"/>
        <v>512000</v>
      </c>
      <c r="J76" s="13">
        <f t="shared" si="45"/>
        <v>112000</v>
      </c>
      <c r="K76" s="14">
        <f t="shared" si="46"/>
        <v>0.28000000000000003</v>
      </c>
      <c r="L76" s="13">
        <f t="shared" si="47"/>
        <v>2580.6451612903224</v>
      </c>
      <c r="M76" s="46">
        <f t="shared" si="53"/>
        <v>2959.349677419355</v>
      </c>
      <c r="N76" s="13">
        <f t="shared" si="48"/>
        <v>378.70451612903253</v>
      </c>
      <c r="O76" s="15">
        <f t="shared" si="49"/>
        <v>70.454545454545453</v>
      </c>
      <c r="P76" s="13">
        <f t="shared" si="50"/>
        <v>40863.63636363636</v>
      </c>
      <c r="Q76" s="16">
        <v>0.47589999999999999</v>
      </c>
      <c r="R76" s="17">
        <f t="shared" si="54"/>
        <v>458699.2</v>
      </c>
      <c r="S76" s="17">
        <f t="shared" si="51"/>
        <v>58699.200000000004</v>
      </c>
      <c r="T76" s="18">
        <f t="shared" si="52"/>
        <v>-53300.799999999988</v>
      </c>
    </row>
    <row r="77" spans="1:20" ht="15.75" customHeight="1" x14ac:dyDescent="0.35">
      <c r="A77" s="9">
        <v>65</v>
      </c>
      <c r="B77" s="9" t="s">
        <v>91</v>
      </c>
      <c r="C77" s="5" t="s">
        <v>92</v>
      </c>
      <c r="D77" s="4" t="s">
        <v>109</v>
      </c>
      <c r="E77" s="10">
        <v>224</v>
      </c>
      <c r="F77" s="10">
        <v>490000</v>
      </c>
      <c r="G77" s="11">
        <v>0.28000000000000003</v>
      </c>
      <c r="H77" s="21">
        <v>549054.54545454495</v>
      </c>
      <c r="I77" s="12">
        <f t="shared" si="44"/>
        <v>627200</v>
      </c>
      <c r="J77" s="13">
        <f t="shared" si="45"/>
        <v>137200</v>
      </c>
      <c r="K77" s="14">
        <f t="shared" si="46"/>
        <v>0.28000000000000003</v>
      </c>
      <c r="L77" s="13">
        <f t="shared" si="47"/>
        <v>2187.5</v>
      </c>
      <c r="M77" s="46">
        <f t="shared" si="53"/>
        <v>2508.51125</v>
      </c>
      <c r="N77" s="13">
        <f t="shared" si="48"/>
        <v>321.01125000000002</v>
      </c>
      <c r="O77" s="15">
        <f t="shared" si="49"/>
        <v>101.81818181818181</v>
      </c>
      <c r="P77" s="13">
        <f t="shared" si="50"/>
        <v>59054.545454545449</v>
      </c>
      <c r="Q77" s="16">
        <v>0.47589999999999999</v>
      </c>
      <c r="R77" s="17">
        <f t="shared" si="54"/>
        <v>561906.52</v>
      </c>
      <c r="S77" s="17">
        <f t="shared" si="51"/>
        <v>71906.52</v>
      </c>
      <c r="T77" s="18">
        <f t="shared" si="52"/>
        <v>-65293.479999999981</v>
      </c>
    </row>
    <row r="78" spans="1:20" ht="15.75" customHeight="1" x14ac:dyDescent="0.35">
      <c r="A78" s="19">
        <v>66</v>
      </c>
      <c r="B78" s="19" t="s">
        <v>91</v>
      </c>
      <c r="C78" s="3" t="s">
        <v>92</v>
      </c>
      <c r="D78" s="2" t="s">
        <v>110</v>
      </c>
      <c r="E78" s="10">
        <v>191</v>
      </c>
      <c r="F78" s="10">
        <v>420000</v>
      </c>
      <c r="G78" s="11">
        <v>0.28000000000000003</v>
      </c>
      <c r="H78" s="21">
        <v>470354.54545454599</v>
      </c>
      <c r="I78" s="12">
        <f t="shared" si="44"/>
        <v>537600</v>
      </c>
      <c r="J78" s="13">
        <f t="shared" si="45"/>
        <v>117600</v>
      </c>
      <c r="K78" s="14">
        <f t="shared" si="46"/>
        <v>0.28000000000000003</v>
      </c>
      <c r="L78" s="13">
        <f t="shared" si="47"/>
        <v>2198.952879581152</v>
      </c>
      <c r="M78" s="46">
        <f t="shared" si="53"/>
        <v>2521.644816753927</v>
      </c>
      <c r="N78" s="13">
        <f t="shared" si="48"/>
        <v>322.69193717277494</v>
      </c>
      <c r="O78" s="15">
        <f t="shared" si="49"/>
        <v>86.818181818181813</v>
      </c>
      <c r="P78" s="13">
        <f t="shared" si="50"/>
        <v>50354.545454545449</v>
      </c>
      <c r="Q78" s="16">
        <v>0.47589999999999999</v>
      </c>
      <c r="R78" s="17">
        <f t="shared" si="54"/>
        <v>481634.16000000003</v>
      </c>
      <c r="S78" s="17">
        <f t="shared" si="51"/>
        <v>61634.16</v>
      </c>
      <c r="T78" s="18">
        <f t="shared" si="52"/>
        <v>-55965.839999999967</v>
      </c>
    </row>
    <row r="79" spans="1:20" ht="15.75" customHeight="1" x14ac:dyDescent="0.35">
      <c r="A79" s="9">
        <v>67</v>
      </c>
      <c r="B79" s="9" t="s">
        <v>91</v>
      </c>
      <c r="C79" s="5" t="s">
        <v>92</v>
      </c>
      <c r="D79" s="4" t="s">
        <v>111</v>
      </c>
      <c r="E79" s="10">
        <v>154</v>
      </c>
      <c r="F79" s="10">
        <v>400000</v>
      </c>
      <c r="G79" s="11">
        <v>0.28000000000000003</v>
      </c>
      <c r="H79" s="21">
        <v>440600</v>
      </c>
      <c r="I79" s="12">
        <f t="shared" si="44"/>
        <v>512000</v>
      </c>
      <c r="J79" s="13">
        <f t="shared" si="45"/>
        <v>112000</v>
      </c>
      <c r="K79" s="14">
        <f t="shared" si="46"/>
        <v>0.28000000000000003</v>
      </c>
      <c r="L79" s="13">
        <f t="shared" si="47"/>
        <v>2597.4025974025976</v>
      </c>
      <c r="M79" s="46">
        <f t="shared" si="53"/>
        <v>2978.5662337662338</v>
      </c>
      <c r="N79" s="13">
        <f t="shared" si="48"/>
        <v>381.16363636363621</v>
      </c>
      <c r="O79" s="15">
        <f t="shared" si="49"/>
        <v>70</v>
      </c>
      <c r="P79" s="13">
        <f t="shared" si="50"/>
        <v>40600</v>
      </c>
      <c r="Q79" s="16">
        <v>0.47589999999999999</v>
      </c>
      <c r="R79" s="17">
        <f t="shared" si="54"/>
        <v>458699.2</v>
      </c>
      <c r="S79" s="17">
        <f t="shared" si="51"/>
        <v>58699.200000000004</v>
      </c>
      <c r="T79" s="18">
        <f t="shared" si="52"/>
        <v>-53300.799999999988</v>
      </c>
    </row>
    <row r="80" spans="1:20" ht="15.75" customHeight="1" x14ac:dyDescent="0.35">
      <c r="A80" s="19">
        <v>68</v>
      </c>
      <c r="B80" s="19" t="s">
        <v>91</v>
      </c>
      <c r="C80" s="3" t="s">
        <v>92</v>
      </c>
      <c r="D80" s="2" t="s">
        <v>112</v>
      </c>
      <c r="E80" s="10">
        <v>186</v>
      </c>
      <c r="F80" s="10">
        <v>410000</v>
      </c>
      <c r="G80" s="11">
        <v>0.28000000000000003</v>
      </c>
      <c r="H80" s="21">
        <v>459036.363636364</v>
      </c>
      <c r="I80" s="12">
        <f t="shared" si="44"/>
        <v>524800</v>
      </c>
      <c r="J80" s="13">
        <f t="shared" si="45"/>
        <v>114800</v>
      </c>
      <c r="K80" s="14">
        <f t="shared" si="46"/>
        <v>0.28000000000000003</v>
      </c>
      <c r="L80" s="13">
        <f t="shared" si="47"/>
        <v>2204.3010752688174</v>
      </c>
      <c r="M80" s="46">
        <f t="shared" si="53"/>
        <v>2527.7778494623653</v>
      </c>
      <c r="N80" s="13">
        <f t="shared" si="48"/>
        <v>323.47677419354795</v>
      </c>
      <c r="O80" s="15">
        <f t="shared" si="49"/>
        <v>84.545454545454533</v>
      </c>
      <c r="P80" s="13">
        <f t="shared" si="50"/>
        <v>49036.363636363632</v>
      </c>
      <c r="Q80" s="16">
        <v>0.47589999999999999</v>
      </c>
      <c r="R80" s="17">
        <f t="shared" si="54"/>
        <v>470166.68</v>
      </c>
      <c r="S80" s="17">
        <f t="shared" si="51"/>
        <v>60166.68</v>
      </c>
      <c r="T80" s="18">
        <f t="shared" si="52"/>
        <v>-54633.320000000007</v>
      </c>
    </row>
    <row r="81" spans="1:22" ht="15.75" customHeight="1" x14ac:dyDescent="0.35">
      <c r="A81" s="9">
        <v>69</v>
      </c>
      <c r="B81" s="9" t="s">
        <v>91</v>
      </c>
      <c r="C81" s="5" t="s">
        <v>92</v>
      </c>
      <c r="D81" s="4" t="s">
        <v>113</v>
      </c>
      <c r="E81" s="10">
        <v>172</v>
      </c>
      <c r="F81" s="10">
        <v>400000</v>
      </c>
      <c r="G81" s="11">
        <v>0.28000000000000003</v>
      </c>
      <c r="H81" s="21">
        <v>445345.454545455</v>
      </c>
      <c r="I81" s="12">
        <f t="shared" si="44"/>
        <v>512000</v>
      </c>
      <c r="J81" s="13">
        <f t="shared" si="45"/>
        <v>112000</v>
      </c>
      <c r="K81" s="14">
        <f t="shared" si="46"/>
        <v>0.28000000000000003</v>
      </c>
      <c r="L81" s="13">
        <f t="shared" si="47"/>
        <v>2325.5813953488373</v>
      </c>
      <c r="M81" s="46">
        <f t="shared" si="53"/>
        <v>2666.8558139534885</v>
      </c>
      <c r="N81" s="13">
        <f t="shared" si="48"/>
        <v>341.27441860465115</v>
      </c>
      <c r="O81" s="15">
        <f t="shared" si="49"/>
        <v>78.181818181818173</v>
      </c>
      <c r="P81" s="13">
        <f t="shared" si="50"/>
        <v>45345.454545454537</v>
      </c>
      <c r="Q81" s="16">
        <v>0.47589999999999999</v>
      </c>
      <c r="R81" s="17">
        <f t="shared" si="54"/>
        <v>458699.2</v>
      </c>
      <c r="S81" s="17">
        <f t="shared" si="51"/>
        <v>58699.200000000004</v>
      </c>
      <c r="T81" s="18">
        <f t="shared" si="52"/>
        <v>-53300.799999999988</v>
      </c>
      <c r="V81" s="22">
        <v>500000000</v>
      </c>
    </row>
    <row r="82" spans="1:22" ht="15.75" customHeight="1" x14ac:dyDescent="0.35">
      <c r="A82" s="19">
        <v>70</v>
      </c>
      <c r="B82" s="19" t="s">
        <v>91</v>
      </c>
      <c r="C82" s="3" t="s">
        <v>92</v>
      </c>
      <c r="D82" s="2" t="s">
        <v>114</v>
      </c>
      <c r="E82" s="10">
        <v>127</v>
      </c>
      <c r="F82" s="10">
        <v>370000</v>
      </c>
      <c r="G82" s="11">
        <v>0.28000000000000003</v>
      </c>
      <c r="H82" s="21">
        <v>403481.818181818</v>
      </c>
      <c r="I82" s="12">
        <f t="shared" si="44"/>
        <v>473600</v>
      </c>
      <c r="J82" s="13">
        <f t="shared" si="45"/>
        <v>103600</v>
      </c>
      <c r="K82" s="14">
        <f t="shared" si="46"/>
        <v>0.28000000000000003</v>
      </c>
      <c r="L82" s="13">
        <f t="shared" si="47"/>
        <v>2913.3858267716537</v>
      </c>
      <c r="M82" s="46">
        <f>R82/E82</f>
        <v>3340.91937007874</v>
      </c>
      <c r="N82" s="13">
        <f t="shared" si="48"/>
        <v>427.53354330708635</v>
      </c>
      <c r="O82" s="15">
        <f t="shared" si="49"/>
        <v>57.72727272727272</v>
      </c>
      <c r="P82" s="13">
        <f t="shared" si="50"/>
        <v>33481.818181818177</v>
      </c>
      <c r="Q82" s="16">
        <v>0.47589999999999999</v>
      </c>
      <c r="R82" s="17">
        <f t="shared" si="54"/>
        <v>424296.76</v>
      </c>
      <c r="S82" s="17">
        <f t="shared" si="51"/>
        <v>54296.76</v>
      </c>
      <c r="T82" s="18">
        <f t="shared" si="52"/>
        <v>-49303.239999999991</v>
      </c>
      <c r="V82" s="22">
        <f>+V81*Q80</f>
        <v>237950000</v>
      </c>
    </row>
    <row r="83" spans="1:22" ht="15.75" customHeight="1" x14ac:dyDescent="0.35">
      <c r="A83" s="9">
        <v>71</v>
      </c>
      <c r="B83" s="9" t="s">
        <v>91</v>
      </c>
      <c r="C83" s="5" t="s">
        <v>92</v>
      </c>
      <c r="D83" s="4" t="s">
        <v>115</v>
      </c>
      <c r="E83" s="10">
        <v>208</v>
      </c>
      <c r="F83" s="10">
        <v>450000</v>
      </c>
      <c r="G83" s="11">
        <v>0.28000000000000003</v>
      </c>
      <c r="H83" s="21">
        <v>504836.363636364</v>
      </c>
      <c r="I83" s="12">
        <f t="shared" si="44"/>
        <v>576000</v>
      </c>
      <c r="J83" s="13">
        <f t="shared" si="45"/>
        <v>126000</v>
      </c>
      <c r="K83" s="14">
        <f t="shared" si="46"/>
        <v>0.28000000000000003</v>
      </c>
      <c r="L83" s="13">
        <f t="shared" si="47"/>
        <v>2163.4615384615386</v>
      </c>
      <c r="M83" s="46">
        <f t="shared" si="53"/>
        <v>2642.8673076923078</v>
      </c>
      <c r="N83" s="13">
        <f t="shared" si="48"/>
        <v>479.40576923076924</v>
      </c>
      <c r="O83" s="15">
        <f t="shared" si="49"/>
        <v>94.545454545454533</v>
      </c>
      <c r="P83" s="13">
        <f t="shared" si="50"/>
        <v>54836.363636363632</v>
      </c>
      <c r="Q83" s="16">
        <v>0.20860000000000001</v>
      </c>
      <c r="R83" s="17">
        <f t="shared" si="54"/>
        <v>549716.4</v>
      </c>
      <c r="S83" s="17">
        <f t="shared" si="51"/>
        <v>99716.4</v>
      </c>
      <c r="T83" s="18">
        <f t="shared" si="52"/>
        <v>-26283.599999999977</v>
      </c>
    </row>
    <row r="84" spans="1:22" ht="15.75" customHeight="1" x14ac:dyDescent="0.35">
      <c r="A84" s="19">
        <v>72</v>
      </c>
      <c r="B84" s="19" t="s">
        <v>91</v>
      </c>
      <c r="C84" s="3" t="s">
        <v>92</v>
      </c>
      <c r="D84" s="2" t="s">
        <v>116</v>
      </c>
      <c r="E84" s="10">
        <v>210</v>
      </c>
      <c r="F84" s="10">
        <v>450000</v>
      </c>
      <c r="G84" s="11">
        <v>0.28000000000000003</v>
      </c>
      <c r="H84" s="21">
        <v>505363.636363636</v>
      </c>
      <c r="I84" s="12">
        <f t="shared" si="44"/>
        <v>576000</v>
      </c>
      <c r="J84" s="13">
        <f t="shared" si="45"/>
        <v>126000</v>
      </c>
      <c r="K84" s="14">
        <f t="shared" si="46"/>
        <v>0.28000000000000003</v>
      </c>
      <c r="L84" s="13">
        <f t="shared" si="47"/>
        <v>2142.8571428571427</v>
      </c>
      <c r="M84" s="46">
        <f t="shared" si="53"/>
        <v>2457.3171428571427</v>
      </c>
      <c r="N84" s="13">
        <f t="shared" si="48"/>
        <v>314.46000000000004</v>
      </c>
      <c r="O84" s="15">
        <f t="shared" si="49"/>
        <v>95.454545454545453</v>
      </c>
      <c r="P84" s="13">
        <f t="shared" si="50"/>
        <v>55363.63636363636</v>
      </c>
      <c r="Q84" s="16">
        <v>0.47589999999999999</v>
      </c>
      <c r="R84" s="17">
        <f t="shared" si="54"/>
        <v>516036.6</v>
      </c>
      <c r="S84" s="17">
        <f t="shared" si="51"/>
        <v>66036.600000000006</v>
      </c>
      <c r="T84" s="18">
        <f t="shared" si="52"/>
        <v>-59963.400000000023</v>
      </c>
    </row>
    <row r="85" spans="1:22" ht="15.75" customHeight="1" x14ac:dyDescent="0.35">
      <c r="A85" s="9">
        <v>73</v>
      </c>
      <c r="B85" s="9" t="s">
        <v>91</v>
      </c>
      <c r="C85" s="5" t="s">
        <v>92</v>
      </c>
      <c r="D85" s="4" t="s">
        <v>117</v>
      </c>
      <c r="E85" s="10">
        <v>187</v>
      </c>
      <c r="F85" s="10">
        <v>410000</v>
      </c>
      <c r="G85" s="11">
        <v>0.28000000000000003</v>
      </c>
      <c r="H85" s="21">
        <v>459300</v>
      </c>
      <c r="I85" s="12">
        <f t="shared" si="44"/>
        <v>524800</v>
      </c>
      <c r="J85" s="13">
        <f t="shared" si="45"/>
        <v>114800</v>
      </c>
      <c r="K85" s="14">
        <f t="shared" si="46"/>
        <v>0.28000000000000003</v>
      </c>
      <c r="L85" s="13">
        <f t="shared" si="47"/>
        <v>2192.5133689839572</v>
      </c>
      <c r="M85" s="46">
        <f t="shared" si="53"/>
        <v>2514.2603208556147</v>
      </c>
      <c r="N85" s="13">
        <f t="shared" si="48"/>
        <v>321.74695187165753</v>
      </c>
      <c r="O85" s="15">
        <f t="shared" si="49"/>
        <v>85</v>
      </c>
      <c r="P85" s="13">
        <f t="shared" si="50"/>
        <v>49300</v>
      </c>
      <c r="Q85" s="16">
        <v>0.47589999999999999</v>
      </c>
      <c r="R85" s="17">
        <f t="shared" si="54"/>
        <v>470166.68</v>
      </c>
      <c r="S85" s="17">
        <f t="shared" si="51"/>
        <v>60166.68</v>
      </c>
      <c r="T85" s="18">
        <f t="shared" si="52"/>
        <v>-54633.320000000007</v>
      </c>
    </row>
    <row r="86" spans="1:22" ht="18" customHeight="1" x14ac:dyDescent="0.35">
      <c r="A86" s="25" t="s">
        <v>118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7"/>
    </row>
    <row r="87" spans="1:22" ht="15.75" customHeight="1" x14ac:dyDescent="0.35">
      <c r="A87" s="9">
        <v>74</v>
      </c>
      <c r="B87" s="9" t="s">
        <v>119</v>
      </c>
      <c r="C87" s="5" t="s">
        <v>120</v>
      </c>
      <c r="D87" s="4" t="s">
        <v>121</v>
      </c>
      <c r="E87" s="10">
        <v>425</v>
      </c>
      <c r="F87" s="10">
        <v>550000</v>
      </c>
      <c r="G87" s="11">
        <v>0.28000000000000003</v>
      </c>
      <c r="H87" s="21">
        <v>662045.45454545505</v>
      </c>
      <c r="I87" s="12">
        <f t="shared" ref="I87:I108" si="55">F87*(1+G87)</f>
        <v>704000</v>
      </c>
      <c r="J87" s="13">
        <f t="shared" ref="J87:J108" si="56">I87-F87</f>
        <v>154000</v>
      </c>
      <c r="K87" s="14">
        <f t="shared" ref="K87:K108" si="57">J87/F87</f>
        <v>0.28000000000000003</v>
      </c>
      <c r="L87" s="13">
        <f t="shared" ref="L87:L108" si="58">F87/E87</f>
        <v>1294.1176470588234</v>
      </c>
      <c r="M87" s="13">
        <f t="shared" ref="M87:M108" si="59">I87/E87</f>
        <v>1656.4705882352941</v>
      </c>
      <c r="N87" s="13">
        <f t="shared" ref="N87:N108" si="60">M87-L87</f>
        <v>362.35294117647072</v>
      </c>
      <c r="O87" s="15">
        <f t="shared" ref="O87:O108" si="61">E87/2.2</f>
        <v>193.18181818181816</v>
      </c>
      <c r="P87" s="13">
        <f t="shared" ref="P87:P108" si="62">O87*580</f>
        <v>112045.45454545453</v>
      </c>
      <c r="Q87" s="16">
        <v>0.47589999999999999</v>
      </c>
      <c r="R87" s="17">
        <f t="shared" ref="R87:R108" si="63">+F87+S87</f>
        <v>630711.4</v>
      </c>
      <c r="S87" s="17">
        <f t="shared" ref="S87:S108" si="64">J87*(1-Q87)</f>
        <v>80711.400000000009</v>
      </c>
      <c r="T87" s="18">
        <f t="shared" ref="T87:T108" si="65">+R87-I87</f>
        <v>-73288.599999999977</v>
      </c>
    </row>
    <row r="88" spans="1:22" ht="15.75" customHeight="1" x14ac:dyDescent="0.35">
      <c r="A88" s="19">
        <v>75</v>
      </c>
      <c r="B88" s="19" t="s">
        <v>119</v>
      </c>
      <c r="C88" s="3" t="s">
        <v>120</v>
      </c>
      <c r="D88" s="2" t="s">
        <v>122</v>
      </c>
      <c r="E88" s="10">
        <v>376</v>
      </c>
      <c r="F88" s="10">
        <v>530000</v>
      </c>
      <c r="G88" s="11">
        <v>0.28000000000000003</v>
      </c>
      <c r="H88" s="21">
        <v>629127.27272727306</v>
      </c>
      <c r="I88" s="12">
        <f t="shared" si="55"/>
        <v>678400</v>
      </c>
      <c r="J88" s="13">
        <f t="shared" si="56"/>
        <v>148400</v>
      </c>
      <c r="K88" s="14">
        <f t="shared" si="57"/>
        <v>0.28000000000000003</v>
      </c>
      <c r="L88" s="13">
        <f t="shared" si="58"/>
        <v>1409.5744680851064</v>
      </c>
      <c r="M88" s="13">
        <f t="shared" si="59"/>
        <v>1804.2553191489362</v>
      </c>
      <c r="N88" s="13">
        <f t="shared" si="60"/>
        <v>394.68085106382978</v>
      </c>
      <c r="O88" s="15">
        <f t="shared" si="61"/>
        <v>170.90909090909091</v>
      </c>
      <c r="P88" s="13">
        <f t="shared" si="62"/>
        <v>99127.272727272721</v>
      </c>
      <c r="Q88" s="16">
        <v>0.47589999999999999</v>
      </c>
      <c r="R88" s="17">
        <f t="shared" si="63"/>
        <v>607776.43999999994</v>
      </c>
      <c r="S88" s="17">
        <f t="shared" si="64"/>
        <v>77776.44</v>
      </c>
      <c r="T88" s="18">
        <f t="shared" si="65"/>
        <v>-70623.560000000056</v>
      </c>
      <c r="V88" s="22"/>
    </row>
    <row r="89" spans="1:22" ht="15.75" customHeight="1" x14ac:dyDescent="0.35">
      <c r="A89" s="9">
        <v>76</v>
      </c>
      <c r="B89" s="9" t="s">
        <v>119</v>
      </c>
      <c r="C89" s="5" t="s">
        <v>120</v>
      </c>
      <c r="D89" s="4" t="s">
        <v>123</v>
      </c>
      <c r="E89" s="10">
        <v>310</v>
      </c>
      <c r="F89" s="10">
        <v>480000</v>
      </c>
      <c r="G89" s="11">
        <v>0.28000000000000003</v>
      </c>
      <c r="H89" s="21">
        <v>561727.27272727306</v>
      </c>
      <c r="I89" s="12">
        <f t="shared" si="55"/>
        <v>614400</v>
      </c>
      <c r="J89" s="13">
        <f t="shared" si="56"/>
        <v>134400</v>
      </c>
      <c r="K89" s="14">
        <f t="shared" si="57"/>
        <v>0.28000000000000003</v>
      </c>
      <c r="L89" s="13">
        <f t="shared" si="58"/>
        <v>1548.3870967741937</v>
      </c>
      <c r="M89" s="13">
        <f t="shared" si="59"/>
        <v>1981.9354838709678</v>
      </c>
      <c r="N89" s="13">
        <f t="shared" si="60"/>
        <v>433.54838709677415</v>
      </c>
      <c r="O89" s="15">
        <f t="shared" si="61"/>
        <v>140.90909090909091</v>
      </c>
      <c r="P89" s="13">
        <f t="shared" si="62"/>
        <v>81727.272727272721</v>
      </c>
      <c r="Q89" s="16">
        <v>0.47589999999999999</v>
      </c>
      <c r="R89" s="17">
        <f t="shared" si="63"/>
        <v>550439.04</v>
      </c>
      <c r="S89" s="17">
        <f t="shared" si="64"/>
        <v>70439.040000000008</v>
      </c>
      <c r="T89" s="18">
        <f t="shared" si="65"/>
        <v>-63960.959999999963</v>
      </c>
    </row>
    <row r="90" spans="1:22" ht="15.75" customHeight="1" x14ac:dyDescent="0.35">
      <c r="A90" s="19">
        <v>77</v>
      </c>
      <c r="B90" s="19" t="s">
        <v>119</v>
      </c>
      <c r="C90" s="3" t="s">
        <v>120</v>
      </c>
      <c r="D90" s="2" t="s">
        <v>124</v>
      </c>
      <c r="E90" s="10">
        <v>262</v>
      </c>
      <c r="F90" s="10">
        <v>480000</v>
      </c>
      <c r="G90" s="11">
        <v>0.28000000000000003</v>
      </c>
      <c r="H90" s="21">
        <v>549072.72727272694</v>
      </c>
      <c r="I90" s="12">
        <f t="shared" si="55"/>
        <v>614400</v>
      </c>
      <c r="J90" s="13">
        <f t="shared" si="56"/>
        <v>134400</v>
      </c>
      <c r="K90" s="14">
        <f t="shared" si="57"/>
        <v>0.28000000000000003</v>
      </c>
      <c r="L90" s="13">
        <f t="shared" si="58"/>
        <v>1832.0610687022902</v>
      </c>
      <c r="M90" s="13">
        <f t="shared" si="59"/>
        <v>2345.0381679389311</v>
      </c>
      <c r="N90" s="13">
        <f t="shared" si="60"/>
        <v>512.97709923664092</v>
      </c>
      <c r="O90" s="15">
        <f t="shared" si="61"/>
        <v>119.09090909090908</v>
      </c>
      <c r="P90" s="13">
        <f t="shared" si="62"/>
        <v>69072.727272727265</v>
      </c>
      <c r="Q90" s="16">
        <v>0.47589999999999999</v>
      </c>
      <c r="R90" s="17">
        <f t="shared" si="63"/>
        <v>550439.04</v>
      </c>
      <c r="S90" s="17">
        <f t="shared" si="64"/>
        <v>70439.040000000008</v>
      </c>
      <c r="T90" s="18">
        <f t="shared" si="65"/>
        <v>-63960.959999999963</v>
      </c>
    </row>
    <row r="91" spans="1:22" ht="15.75" customHeight="1" x14ac:dyDescent="0.35">
      <c r="A91" s="9">
        <v>78</v>
      </c>
      <c r="B91" s="9" t="s">
        <v>119</v>
      </c>
      <c r="C91" s="5" t="s">
        <v>120</v>
      </c>
      <c r="D91" s="4" t="s">
        <v>125</v>
      </c>
      <c r="E91" s="10">
        <v>326</v>
      </c>
      <c r="F91" s="10">
        <v>500000</v>
      </c>
      <c r="G91" s="11">
        <v>0.28000000000000003</v>
      </c>
      <c r="H91" s="21">
        <v>585945.45454545505</v>
      </c>
      <c r="I91" s="12">
        <f t="shared" si="55"/>
        <v>640000</v>
      </c>
      <c r="J91" s="13">
        <f t="shared" si="56"/>
        <v>140000</v>
      </c>
      <c r="K91" s="14">
        <f t="shared" si="57"/>
        <v>0.28000000000000003</v>
      </c>
      <c r="L91" s="13">
        <f t="shared" si="58"/>
        <v>1533.7423312883436</v>
      </c>
      <c r="M91" s="13">
        <f t="shared" si="59"/>
        <v>1963.1901840490798</v>
      </c>
      <c r="N91" s="13">
        <f t="shared" si="60"/>
        <v>429.44785276073617</v>
      </c>
      <c r="O91" s="15">
        <f t="shared" si="61"/>
        <v>148.18181818181816</v>
      </c>
      <c r="P91" s="13">
        <f t="shared" si="62"/>
        <v>85945.45454545453</v>
      </c>
      <c r="Q91" s="16">
        <v>0.47589999999999999</v>
      </c>
      <c r="R91" s="17">
        <f t="shared" si="63"/>
        <v>573374</v>
      </c>
      <c r="S91" s="17">
        <f t="shared" si="64"/>
        <v>73374</v>
      </c>
      <c r="T91" s="18">
        <f t="shared" si="65"/>
        <v>-66626</v>
      </c>
    </row>
    <row r="92" spans="1:22" ht="15.75" customHeight="1" x14ac:dyDescent="0.35">
      <c r="A92" s="19">
        <v>79</v>
      </c>
      <c r="B92" s="19" t="s">
        <v>119</v>
      </c>
      <c r="C92" s="3" t="s">
        <v>120</v>
      </c>
      <c r="D92" s="2" t="s">
        <v>126</v>
      </c>
      <c r="E92" s="10">
        <v>374</v>
      </c>
      <c r="F92" s="10">
        <v>530000</v>
      </c>
      <c r="G92" s="11">
        <v>0.28000000000000003</v>
      </c>
      <c r="H92" s="21">
        <v>628600</v>
      </c>
      <c r="I92" s="12">
        <f t="shared" si="55"/>
        <v>678400</v>
      </c>
      <c r="J92" s="13">
        <f t="shared" si="56"/>
        <v>148400</v>
      </c>
      <c r="K92" s="14">
        <f t="shared" si="57"/>
        <v>0.28000000000000003</v>
      </c>
      <c r="L92" s="13">
        <f t="shared" si="58"/>
        <v>1417.1122994652405</v>
      </c>
      <c r="M92" s="13">
        <f t="shared" si="59"/>
        <v>1813.9037433155081</v>
      </c>
      <c r="N92" s="13">
        <f t="shared" si="60"/>
        <v>396.79144385026757</v>
      </c>
      <c r="O92" s="15">
        <f t="shared" si="61"/>
        <v>170</v>
      </c>
      <c r="P92" s="13">
        <f t="shared" si="62"/>
        <v>98600</v>
      </c>
      <c r="Q92" s="16">
        <v>0.47589999999999999</v>
      </c>
      <c r="R92" s="17">
        <f t="shared" si="63"/>
        <v>607776.43999999994</v>
      </c>
      <c r="S92" s="17">
        <f t="shared" si="64"/>
        <v>77776.44</v>
      </c>
      <c r="T92" s="18">
        <f t="shared" si="65"/>
        <v>-70623.560000000056</v>
      </c>
      <c r="V92" s="23">
        <v>500</v>
      </c>
    </row>
    <row r="93" spans="1:22" ht="15.75" customHeight="1" x14ac:dyDescent="0.35">
      <c r="A93" s="9">
        <v>80</v>
      </c>
      <c r="B93" s="9" t="s">
        <v>119</v>
      </c>
      <c r="C93" s="5" t="s">
        <v>120</v>
      </c>
      <c r="D93" s="4" t="s">
        <v>160</v>
      </c>
      <c r="E93" s="10">
        <v>387</v>
      </c>
      <c r="F93" s="10">
        <v>550000</v>
      </c>
      <c r="G93" s="11">
        <v>0.28000000000000003</v>
      </c>
      <c r="H93" s="21">
        <v>652027.27272727306</v>
      </c>
      <c r="I93" s="12">
        <f t="shared" si="55"/>
        <v>704000</v>
      </c>
      <c r="J93" s="13">
        <f t="shared" si="56"/>
        <v>154000</v>
      </c>
      <c r="K93" s="14">
        <f t="shared" si="57"/>
        <v>0.28000000000000003</v>
      </c>
      <c r="L93" s="13">
        <f t="shared" si="58"/>
        <v>1421.188630490956</v>
      </c>
      <c r="M93" s="13">
        <f t="shared" si="59"/>
        <v>1819.1214470284237</v>
      </c>
      <c r="N93" s="13">
        <f t="shared" si="60"/>
        <v>397.93281653746772</v>
      </c>
      <c r="O93" s="15">
        <f t="shared" si="61"/>
        <v>175.90909090909091</v>
      </c>
      <c r="P93" s="13">
        <f t="shared" si="62"/>
        <v>102027.27272727272</v>
      </c>
      <c r="Q93" s="16">
        <v>0.47589999999999999</v>
      </c>
      <c r="R93" s="17">
        <f t="shared" si="63"/>
        <v>630711.4</v>
      </c>
      <c r="S93" s="17">
        <f t="shared" si="64"/>
        <v>80711.400000000009</v>
      </c>
      <c r="T93" s="18">
        <f t="shared" si="65"/>
        <v>-73288.599999999977</v>
      </c>
    </row>
    <row r="94" spans="1:22" ht="15.75" customHeight="1" x14ac:dyDescent="0.35">
      <c r="A94" s="19">
        <v>81</v>
      </c>
      <c r="B94" s="19" t="s">
        <v>119</v>
      </c>
      <c r="C94" s="3" t="s">
        <v>120</v>
      </c>
      <c r="D94" s="2" t="s">
        <v>128</v>
      </c>
      <c r="E94" s="10">
        <v>279</v>
      </c>
      <c r="F94" s="10">
        <v>480000</v>
      </c>
      <c r="G94" s="11">
        <v>0.28000000000000003</v>
      </c>
      <c r="H94" s="21">
        <v>553554.54545454495</v>
      </c>
      <c r="I94" s="12">
        <f t="shared" si="55"/>
        <v>614400</v>
      </c>
      <c r="J94" s="13">
        <f t="shared" si="56"/>
        <v>134400</v>
      </c>
      <c r="K94" s="14">
        <f t="shared" si="57"/>
        <v>0.28000000000000003</v>
      </c>
      <c r="L94" s="13">
        <f t="shared" si="58"/>
        <v>1720.4301075268818</v>
      </c>
      <c r="M94" s="13">
        <f t="shared" si="59"/>
        <v>2202.1505376344085</v>
      </c>
      <c r="N94" s="13">
        <f t="shared" si="60"/>
        <v>481.72043010752668</v>
      </c>
      <c r="O94" s="15">
        <f t="shared" si="61"/>
        <v>126.81818181818181</v>
      </c>
      <c r="P94" s="13">
        <f t="shared" si="62"/>
        <v>73554.545454545456</v>
      </c>
      <c r="Q94" s="16">
        <v>0.47589999999999999</v>
      </c>
      <c r="R94" s="17">
        <f t="shared" si="63"/>
        <v>550439.04</v>
      </c>
      <c r="S94" s="17">
        <f t="shared" si="64"/>
        <v>70439.040000000008</v>
      </c>
      <c r="T94" s="18">
        <f t="shared" si="65"/>
        <v>-63960.959999999963</v>
      </c>
    </row>
    <row r="95" spans="1:22" ht="15.75" customHeight="1" x14ac:dyDescent="0.35">
      <c r="A95" s="9">
        <v>82</v>
      </c>
      <c r="B95" s="9" t="s">
        <v>119</v>
      </c>
      <c r="C95" s="5" t="s">
        <v>120</v>
      </c>
      <c r="D95" s="4" t="s">
        <v>129</v>
      </c>
      <c r="E95" s="10">
        <v>411</v>
      </c>
      <c r="F95" s="10">
        <v>550000</v>
      </c>
      <c r="G95" s="11">
        <v>0.28000000000000003</v>
      </c>
      <c r="H95" s="21">
        <v>658354.54545454495</v>
      </c>
      <c r="I95" s="12">
        <f t="shared" si="55"/>
        <v>704000</v>
      </c>
      <c r="J95" s="13">
        <f t="shared" si="56"/>
        <v>154000</v>
      </c>
      <c r="K95" s="14">
        <f t="shared" si="57"/>
        <v>0.28000000000000003</v>
      </c>
      <c r="L95" s="13">
        <f t="shared" si="58"/>
        <v>1338.1995133819951</v>
      </c>
      <c r="M95" s="13">
        <f t="shared" si="59"/>
        <v>1712.8953771289537</v>
      </c>
      <c r="N95" s="13">
        <f t="shared" si="60"/>
        <v>374.69586374695859</v>
      </c>
      <c r="O95" s="15">
        <f t="shared" si="61"/>
        <v>186.81818181818181</v>
      </c>
      <c r="P95" s="13">
        <f t="shared" si="62"/>
        <v>108354.54545454546</v>
      </c>
      <c r="Q95" s="16">
        <v>0.47589999999999999</v>
      </c>
      <c r="R95" s="17">
        <f t="shared" si="63"/>
        <v>630711.4</v>
      </c>
      <c r="S95" s="17">
        <f t="shared" si="64"/>
        <v>80711.400000000009</v>
      </c>
      <c r="T95" s="18">
        <f t="shared" si="65"/>
        <v>-73288.599999999977</v>
      </c>
    </row>
    <row r="96" spans="1:22" ht="15.75" customHeight="1" x14ac:dyDescent="0.35">
      <c r="A96" s="19">
        <v>83</v>
      </c>
      <c r="B96" s="19" t="s">
        <v>119</v>
      </c>
      <c r="C96" s="3" t="s">
        <v>120</v>
      </c>
      <c r="D96" s="2" t="s">
        <v>130</v>
      </c>
      <c r="E96" s="10">
        <v>322</v>
      </c>
      <c r="F96" s="10">
        <v>500000</v>
      </c>
      <c r="G96" s="11">
        <v>0.28000000000000003</v>
      </c>
      <c r="H96" s="21">
        <v>584890.90909090894</v>
      </c>
      <c r="I96" s="12">
        <f t="shared" si="55"/>
        <v>640000</v>
      </c>
      <c r="J96" s="13">
        <f t="shared" si="56"/>
        <v>140000</v>
      </c>
      <c r="K96" s="14">
        <f t="shared" si="57"/>
        <v>0.28000000000000003</v>
      </c>
      <c r="L96" s="13">
        <f t="shared" si="58"/>
        <v>1552.7950310559006</v>
      </c>
      <c r="M96" s="13">
        <f t="shared" si="59"/>
        <v>1987.5776397515529</v>
      </c>
      <c r="N96" s="13">
        <f t="shared" si="60"/>
        <v>434.78260869565224</v>
      </c>
      <c r="O96" s="15">
        <f t="shared" si="61"/>
        <v>146.36363636363635</v>
      </c>
      <c r="P96" s="13">
        <f t="shared" si="62"/>
        <v>84890.909090909074</v>
      </c>
      <c r="Q96" s="16">
        <v>0.47589999999999999</v>
      </c>
      <c r="R96" s="17">
        <f t="shared" si="63"/>
        <v>573374</v>
      </c>
      <c r="S96" s="17">
        <f t="shared" si="64"/>
        <v>73374</v>
      </c>
      <c r="T96" s="18">
        <f t="shared" si="65"/>
        <v>-66626</v>
      </c>
    </row>
    <row r="97" spans="1:22" ht="15.75" customHeight="1" x14ac:dyDescent="0.35">
      <c r="A97" s="9">
        <v>84</v>
      </c>
      <c r="B97" s="9" t="s">
        <v>119</v>
      </c>
      <c r="C97" s="5" t="s">
        <v>120</v>
      </c>
      <c r="D97" s="4" t="s">
        <v>131</v>
      </c>
      <c r="E97" s="10">
        <v>339</v>
      </c>
      <c r="F97" s="10">
        <v>500000</v>
      </c>
      <c r="G97" s="11">
        <v>0.28000000000000003</v>
      </c>
      <c r="H97" s="21">
        <v>589372.72727272694</v>
      </c>
      <c r="I97" s="12">
        <f t="shared" si="55"/>
        <v>640000</v>
      </c>
      <c r="J97" s="13">
        <f t="shared" si="56"/>
        <v>140000</v>
      </c>
      <c r="K97" s="14">
        <f t="shared" si="57"/>
        <v>0.28000000000000003</v>
      </c>
      <c r="L97" s="13">
        <f t="shared" si="58"/>
        <v>1474.9262536873157</v>
      </c>
      <c r="M97" s="13">
        <f t="shared" si="59"/>
        <v>1887.9056047197639</v>
      </c>
      <c r="N97" s="13">
        <f t="shared" si="60"/>
        <v>412.97935103244822</v>
      </c>
      <c r="O97" s="15">
        <f t="shared" si="61"/>
        <v>154.09090909090907</v>
      </c>
      <c r="P97" s="13">
        <f t="shared" si="62"/>
        <v>89372.727272727265</v>
      </c>
      <c r="Q97" s="16">
        <v>0.47589999999999999</v>
      </c>
      <c r="R97" s="17">
        <f t="shared" si="63"/>
        <v>573374</v>
      </c>
      <c r="S97" s="17">
        <f t="shared" si="64"/>
        <v>73374</v>
      </c>
      <c r="T97" s="18">
        <f t="shared" si="65"/>
        <v>-66626</v>
      </c>
    </row>
    <row r="98" spans="1:22" ht="15.75" customHeight="1" x14ac:dyDescent="0.35">
      <c r="A98" s="19">
        <v>85</v>
      </c>
      <c r="B98" s="19" t="s">
        <v>119</v>
      </c>
      <c r="C98" s="3" t="s">
        <v>120</v>
      </c>
      <c r="D98" s="2" t="s">
        <v>132</v>
      </c>
      <c r="E98" s="10">
        <v>267</v>
      </c>
      <c r="F98" s="10">
        <v>480000</v>
      </c>
      <c r="G98" s="11">
        <v>0.28000000000000003</v>
      </c>
      <c r="H98" s="21">
        <v>550390.90909090894</v>
      </c>
      <c r="I98" s="12">
        <f t="shared" si="55"/>
        <v>614400</v>
      </c>
      <c r="J98" s="13">
        <f t="shared" si="56"/>
        <v>134400</v>
      </c>
      <c r="K98" s="14">
        <f t="shared" si="57"/>
        <v>0.28000000000000003</v>
      </c>
      <c r="L98" s="13">
        <f t="shared" si="58"/>
        <v>1797.7528089887639</v>
      </c>
      <c r="M98" s="13">
        <f t="shared" si="59"/>
        <v>2301.1235955056181</v>
      </c>
      <c r="N98" s="13">
        <f t="shared" si="60"/>
        <v>503.3707865168542</v>
      </c>
      <c r="O98" s="15">
        <f t="shared" si="61"/>
        <v>121.36363636363636</v>
      </c>
      <c r="P98" s="13">
        <f t="shared" si="62"/>
        <v>70390.909090909088</v>
      </c>
      <c r="Q98" s="16">
        <v>0.47589999999999999</v>
      </c>
      <c r="R98" s="17">
        <f t="shared" si="63"/>
        <v>550439.04</v>
      </c>
      <c r="S98" s="17">
        <f t="shared" si="64"/>
        <v>70439.040000000008</v>
      </c>
      <c r="T98" s="18">
        <f t="shared" si="65"/>
        <v>-63960.959999999963</v>
      </c>
      <c r="V98" s="24">
        <f>22*30000</f>
        <v>660000</v>
      </c>
    </row>
    <row r="99" spans="1:22" ht="15.75" customHeight="1" x14ac:dyDescent="0.35">
      <c r="A99" s="9">
        <v>86</v>
      </c>
      <c r="B99" s="9" t="s">
        <v>119</v>
      </c>
      <c r="C99" s="5" t="s">
        <v>120</v>
      </c>
      <c r="D99" s="4" t="s">
        <v>133</v>
      </c>
      <c r="E99" s="10">
        <v>399</v>
      </c>
      <c r="F99" s="10">
        <v>550000</v>
      </c>
      <c r="G99" s="11">
        <v>0.28000000000000003</v>
      </c>
      <c r="H99" s="21">
        <v>655190.90909090894</v>
      </c>
      <c r="I99" s="12">
        <f t="shared" si="55"/>
        <v>704000</v>
      </c>
      <c r="J99" s="13">
        <f t="shared" si="56"/>
        <v>154000</v>
      </c>
      <c r="K99" s="14">
        <f t="shared" si="57"/>
        <v>0.28000000000000003</v>
      </c>
      <c r="L99" s="13">
        <f t="shared" si="58"/>
        <v>1378.4461152882207</v>
      </c>
      <c r="M99" s="13">
        <f t="shared" si="59"/>
        <v>1764.4110275689222</v>
      </c>
      <c r="N99" s="13">
        <f t="shared" si="60"/>
        <v>385.96491228070158</v>
      </c>
      <c r="O99" s="15">
        <f t="shared" si="61"/>
        <v>181.36363636363635</v>
      </c>
      <c r="P99" s="13">
        <f t="shared" si="62"/>
        <v>105190.90909090907</v>
      </c>
      <c r="Q99" s="16">
        <v>0.47589999999999999</v>
      </c>
      <c r="R99" s="17">
        <f t="shared" si="63"/>
        <v>630711.4</v>
      </c>
      <c r="S99" s="17">
        <f t="shared" si="64"/>
        <v>80711.400000000009</v>
      </c>
      <c r="T99" s="18">
        <f t="shared" si="65"/>
        <v>-73288.599999999977</v>
      </c>
    </row>
    <row r="100" spans="1:22" ht="15.75" customHeight="1" x14ac:dyDescent="0.35">
      <c r="A100" s="19">
        <v>87</v>
      </c>
      <c r="B100" s="19" t="s">
        <v>119</v>
      </c>
      <c r="C100" s="3" t="s">
        <v>120</v>
      </c>
      <c r="D100" s="2" t="s">
        <v>134</v>
      </c>
      <c r="E100" s="10">
        <v>310</v>
      </c>
      <c r="F100" s="10">
        <v>480000</v>
      </c>
      <c r="G100" s="11">
        <v>0.28000000000000003</v>
      </c>
      <c r="H100" s="21">
        <v>561727.27272727306</v>
      </c>
      <c r="I100" s="12">
        <f t="shared" si="55"/>
        <v>614400</v>
      </c>
      <c r="J100" s="13">
        <f t="shared" si="56"/>
        <v>134400</v>
      </c>
      <c r="K100" s="14">
        <f t="shared" si="57"/>
        <v>0.28000000000000003</v>
      </c>
      <c r="L100" s="13">
        <f t="shared" si="58"/>
        <v>1548.3870967741937</v>
      </c>
      <c r="M100" s="13">
        <f t="shared" si="59"/>
        <v>1981.9354838709678</v>
      </c>
      <c r="N100" s="13">
        <f t="shared" si="60"/>
        <v>433.54838709677415</v>
      </c>
      <c r="O100" s="15">
        <f t="shared" si="61"/>
        <v>140.90909090909091</v>
      </c>
      <c r="P100" s="13">
        <f t="shared" si="62"/>
        <v>81727.272727272721</v>
      </c>
      <c r="Q100" s="16">
        <v>0.47589999999999999</v>
      </c>
      <c r="R100" s="17">
        <f t="shared" si="63"/>
        <v>550439.04</v>
      </c>
      <c r="S100" s="17">
        <f t="shared" si="64"/>
        <v>70439.040000000008</v>
      </c>
      <c r="T100" s="18">
        <f t="shared" si="65"/>
        <v>-63960.959999999963</v>
      </c>
    </row>
    <row r="101" spans="1:22" ht="15.75" customHeight="1" x14ac:dyDescent="0.35">
      <c r="A101" s="9">
        <v>88</v>
      </c>
      <c r="B101" s="9" t="s">
        <v>119</v>
      </c>
      <c r="C101" s="5" t="s">
        <v>120</v>
      </c>
      <c r="D101" s="4" t="s">
        <v>135</v>
      </c>
      <c r="E101" s="10">
        <v>263</v>
      </c>
      <c r="F101" s="10">
        <v>480000</v>
      </c>
      <c r="G101" s="11">
        <v>0.28000000000000003</v>
      </c>
      <c r="H101" s="21">
        <v>549336.363636364</v>
      </c>
      <c r="I101" s="12">
        <f t="shared" si="55"/>
        <v>614400</v>
      </c>
      <c r="J101" s="13">
        <f t="shared" si="56"/>
        <v>134400</v>
      </c>
      <c r="K101" s="14">
        <f t="shared" si="57"/>
        <v>0.28000000000000003</v>
      </c>
      <c r="L101" s="13">
        <f t="shared" si="58"/>
        <v>1825.0950570342206</v>
      </c>
      <c r="M101" s="13">
        <f t="shared" si="59"/>
        <v>2336.1216730038022</v>
      </c>
      <c r="N101" s="13">
        <f t="shared" si="60"/>
        <v>511.0266159695816</v>
      </c>
      <c r="O101" s="15">
        <f t="shared" si="61"/>
        <v>119.54545454545453</v>
      </c>
      <c r="P101" s="13">
        <f t="shared" si="62"/>
        <v>69336.363636363632</v>
      </c>
      <c r="Q101" s="16">
        <v>0.47589999999999999</v>
      </c>
      <c r="R101" s="17">
        <f t="shared" si="63"/>
        <v>550439.04</v>
      </c>
      <c r="S101" s="17">
        <f t="shared" si="64"/>
        <v>70439.040000000008</v>
      </c>
      <c r="T101" s="18">
        <f t="shared" si="65"/>
        <v>-63960.959999999963</v>
      </c>
    </row>
    <row r="102" spans="1:22" ht="15.75" customHeight="1" x14ac:dyDescent="0.35">
      <c r="A102" s="19">
        <v>89</v>
      </c>
      <c r="B102" s="19" t="s">
        <v>119</v>
      </c>
      <c r="C102" s="3" t="s">
        <v>120</v>
      </c>
      <c r="D102" s="2" t="s">
        <v>136</v>
      </c>
      <c r="E102" s="10">
        <v>281</v>
      </c>
      <c r="F102" s="10">
        <v>480000</v>
      </c>
      <c r="G102" s="11">
        <v>0.28000000000000003</v>
      </c>
      <c r="H102" s="21">
        <v>554081.818181818</v>
      </c>
      <c r="I102" s="12">
        <f t="shared" si="55"/>
        <v>614400</v>
      </c>
      <c r="J102" s="13">
        <f t="shared" si="56"/>
        <v>134400</v>
      </c>
      <c r="K102" s="14">
        <f t="shared" si="57"/>
        <v>0.28000000000000003</v>
      </c>
      <c r="L102" s="13">
        <f t="shared" si="58"/>
        <v>1708.1850533807828</v>
      </c>
      <c r="M102" s="13">
        <f t="shared" si="59"/>
        <v>2186.4768683274019</v>
      </c>
      <c r="N102" s="13">
        <f t="shared" si="60"/>
        <v>478.29181494661907</v>
      </c>
      <c r="O102" s="15">
        <f t="shared" si="61"/>
        <v>127.72727272727272</v>
      </c>
      <c r="P102" s="13">
        <f t="shared" si="62"/>
        <v>74081.818181818177</v>
      </c>
      <c r="Q102" s="16">
        <v>0.47589999999999999</v>
      </c>
      <c r="R102" s="17">
        <f t="shared" si="63"/>
        <v>550439.04</v>
      </c>
      <c r="S102" s="17">
        <f t="shared" si="64"/>
        <v>70439.040000000008</v>
      </c>
      <c r="T102" s="18">
        <f t="shared" si="65"/>
        <v>-63960.959999999963</v>
      </c>
    </row>
    <row r="103" spans="1:22" ht="15.75" customHeight="1" x14ac:dyDescent="0.35">
      <c r="A103" s="9">
        <v>90</v>
      </c>
      <c r="B103" s="9" t="s">
        <v>119</v>
      </c>
      <c r="C103" s="5" t="s">
        <v>120</v>
      </c>
      <c r="D103" s="4" t="s">
        <v>137</v>
      </c>
      <c r="E103" s="10">
        <v>342</v>
      </c>
      <c r="F103" s="10">
        <v>530000</v>
      </c>
      <c r="G103" s="11">
        <v>0.28000000000000003</v>
      </c>
      <c r="H103" s="21">
        <v>620163.636363636</v>
      </c>
      <c r="I103" s="12">
        <f t="shared" si="55"/>
        <v>678400</v>
      </c>
      <c r="J103" s="13">
        <f t="shared" si="56"/>
        <v>148400</v>
      </c>
      <c r="K103" s="14">
        <f t="shared" si="57"/>
        <v>0.28000000000000003</v>
      </c>
      <c r="L103" s="13">
        <f t="shared" si="58"/>
        <v>1549.7076023391812</v>
      </c>
      <c r="M103" s="13">
        <f t="shared" si="59"/>
        <v>1983.625730994152</v>
      </c>
      <c r="N103" s="13">
        <f t="shared" si="60"/>
        <v>433.91812865497081</v>
      </c>
      <c r="O103" s="15">
        <f t="shared" si="61"/>
        <v>155.45454545454544</v>
      </c>
      <c r="P103" s="13">
        <f t="shared" si="62"/>
        <v>90163.636363636353</v>
      </c>
      <c r="Q103" s="16">
        <v>0.47589999999999999</v>
      </c>
      <c r="R103" s="17">
        <f t="shared" si="63"/>
        <v>607776.43999999994</v>
      </c>
      <c r="S103" s="17">
        <f t="shared" si="64"/>
        <v>77776.44</v>
      </c>
      <c r="T103" s="18">
        <f t="shared" si="65"/>
        <v>-70623.560000000056</v>
      </c>
    </row>
    <row r="104" spans="1:22" ht="15.75" customHeight="1" x14ac:dyDescent="0.35">
      <c r="A104" s="19">
        <v>91</v>
      </c>
      <c r="B104" s="19" t="s">
        <v>119</v>
      </c>
      <c r="C104" s="3" t="s">
        <v>120</v>
      </c>
      <c r="D104" s="2" t="s">
        <v>138</v>
      </c>
      <c r="E104" s="10">
        <v>305</v>
      </c>
      <c r="F104" s="10">
        <v>480000</v>
      </c>
      <c r="G104" s="11">
        <v>0.28000000000000003</v>
      </c>
      <c r="H104" s="21">
        <v>560409.09090909106</v>
      </c>
      <c r="I104" s="12">
        <f t="shared" si="55"/>
        <v>614400</v>
      </c>
      <c r="J104" s="13">
        <f t="shared" si="56"/>
        <v>134400</v>
      </c>
      <c r="K104" s="14">
        <f t="shared" si="57"/>
        <v>0.28000000000000003</v>
      </c>
      <c r="L104" s="13">
        <f t="shared" si="58"/>
        <v>1573.7704918032787</v>
      </c>
      <c r="M104" s="13">
        <f t="shared" si="59"/>
        <v>2014.4262295081967</v>
      </c>
      <c r="N104" s="13">
        <f t="shared" si="60"/>
        <v>440.65573770491801</v>
      </c>
      <c r="O104" s="15">
        <f t="shared" si="61"/>
        <v>138.63636363636363</v>
      </c>
      <c r="P104" s="13">
        <f t="shared" si="62"/>
        <v>80409.090909090897</v>
      </c>
      <c r="Q104" s="16">
        <v>0.47589999999999999</v>
      </c>
      <c r="R104" s="17">
        <f t="shared" si="63"/>
        <v>550439.04</v>
      </c>
      <c r="S104" s="17">
        <f t="shared" si="64"/>
        <v>70439.040000000008</v>
      </c>
      <c r="T104" s="18">
        <f t="shared" si="65"/>
        <v>-63960.959999999963</v>
      </c>
    </row>
    <row r="105" spans="1:22" ht="15.75" customHeight="1" x14ac:dyDescent="0.35">
      <c r="A105" s="9">
        <v>92</v>
      </c>
      <c r="B105" s="9" t="s">
        <v>119</v>
      </c>
      <c r="C105" s="5" t="s">
        <v>120</v>
      </c>
      <c r="D105" s="4" t="s">
        <v>139</v>
      </c>
      <c r="E105" s="10">
        <v>324</v>
      </c>
      <c r="F105" s="10">
        <v>500000</v>
      </c>
      <c r="G105" s="11">
        <v>0.28000000000000003</v>
      </c>
      <c r="H105" s="21">
        <v>585418.181818182</v>
      </c>
      <c r="I105" s="12">
        <f t="shared" si="55"/>
        <v>640000</v>
      </c>
      <c r="J105" s="13">
        <f t="shared" si="56"/>
        <v>140000</v>
      </c>
      <c r="K105" s="14">
        <f t="shared" si="57"/>
        <v>0.28000000000000003</v>
      </c>
      <c r="L105" s="13">
        <f t="shared" si="58"/>
        <v>1543.2098765432099</v>
      </c>
      <c r="M105" s="13">
        <f t="shared" si="59"/>
        <v>1975.3086419753085</v>
      </c>
      <c r="N105" s="13">
        <f t="shared" si="60"/>
        <v>432.09876543209862</v>
      </c>
      <c r="O105" s="15">
        <f t="shared" si="61"/>
        <v>147.27272727272725</v>
      </c>
      <c r="P105" s="13">
        <f t="shared" si="62"/>
        <v>85418.181818181809</v>
      </c>
      <c r="Q105" s="16">
        <v>0.47589999999999999</v>
      </c>
      <c r="R105" s="17">
        <f t="shared" si="63"/>
        <v>573374</v>
      </c>
      <c r="S105" s="17">
        <f t="shared" si="64"/>
        <v>73374</v>
      </c>
      <c r="T105" s="18">
        <f t="shared" si="65"/>
        <v>-66626</v>
      </c>
    </row>
    <row r="106" spans="1:22" ht="15.75" customHeight="1" x14ac:dyDescent="0.35">
      <c r="A106" s="19">
        <v>93</v>
      </c>
      <c r="B106" s="19" t="s">
        <v>119</v>
      </c>
      <c r="C106" s="3" t="s">
        <v>120</v>
      </c>
      <c r="D106" s="2" t="s">
        <v>140</v>
      </c>
      <c r="E106" s="10">
        <v>248</v>
      </c>
      <c r="F106" s="10">
        <v>480000</v>
      </c>
      <c r="G106" s="11">
        <v>0.28000000000000003</v>
      </c>
      <c r="H106" s="21">
        <v>545381.818181818</v>
      </c>
      <c r="I106" s="12">
        <f t="shared" si="55"/>
        <v>614400</v>
      </c>
      <c r="J106" s="13">
        <f t="shared" si="56"/>
        <v>134400</v>
      </c>
      <c r="K106" s="14">
        <f t="shared" si="57"/>
        <v>0.28000000000000003</v>
      </c>
      <c r="L106" s="13">
        <f t="shared" si="58"/>
        <v>1935.483870967742</v>
      </c>
      <c r="M106" s="13">
        <f t="shared" si="59"/>
        <v>2477.4193548387098</v>
      </c>
      <c r="N106" s="13">
        <f t="shared" si="60"/>
        <v>541.9354838709678</v>
      </c>
      <c r="O106" s="15">
        <f t="shared" si="61"/>
        <v>112.72727272727272</v>
      </c>
      <c r="P106" s="13">
        <f t="shared" si="62"/>
        <v>65381.818181818177</v>
      </c>
      <c r="Q106" s="16">
        <v>0.47589999999999999</v>
      </c>
      <c r="R106" s="17">
        <f t="shared" si="63"/>
        <v>550439.04</v>
      </c>
      <c r="S106" s="17">
        <f t="shared" si="64"/>
        <v>70439.040000000008</v>
      </c>
      <c r="T106" s="18">
        <f t="shared" si="65"/>
        <v>-63960.959999999963</v>
      </c>
    </row>
    <row r="107" spans="1:22" ht="15.75" customHeight="1" x14ac:dyDescent="0.35">
      <c r="A107" s="9">
        <v>94</v>
      </c>
      <c r="B107" s="9" t="s">
        <v>119</v>
      </c>
      <c r="C107" s="5" t="s">
        <v>120</v>
      </c>
      <c r="D107" s="4" t="s">
        <v>141</v>
      </c>
      <c r="E107" s="10">
        <v>357</v>
      </c>
      <c r="F107" s="10">
        <v>530000</v>
      </c>
      <c r="G107" s="11">
        <v>0.28000000000000003</v>
      </c>
      <c r="H107" s="21">
        <v>624118.181818182</v>
      </c>
      <c r="I107" s="12">
        <f t="shared" si="55"/>
        <v>678400</v>
      </c>
      <c r="J107" s="13">
        <f t="shared" si="56"/>
        <v>148400</v>
      </c>
      <c r="K107" s="14">
        <f t="shared" si="57"/>
        <v>0.28000000000000003</v>
      </c>
      <c r="L107" s="13">
        <f t="shared" si="58"/>
        <v>1484.593837535014</v>
      </c>
      <c r="M107" s="13">
        <f t="shared" si="59"/>
        <v>1900.280112044818</v>
      </c>
      <c r="N107" s="13">
        <f t="shared" si="60"/>
        <v>415.68627450980398</v>
      </c>
      <c r="O107" s="15">
        <f t="shared" si="61"/>
        <v>162.27272727272725</v>
      </c>
      <c r="P107" s="13">
        <f t="shared" si="62"/>
        <v>94118.181818181809</v>
      </c>
      <c r="Q107" s="16">
        <v>0.47589999999999999</v>
      </c>
      <c r="R107" s="17">
        <f t="shared" si="63"/>
        <v>607776.43999999994</v>
      </c>
      <c r="S107" s="17">
        <f t="shared" si="64"/>
        <v>77776.44</v>
      </c>
      <c r="T107" s="18">
        <f t="shared" si="65"/>
        <v>-70623.560000000056</v>
      </c>
    </row>
    <row r="108" spans="1:22" ht="15.75" customHeight="1" x14ac:dyDescent="0.35">
      <c r="A108" s="19">
        <v>95</v>
      </c>
      <c r="B108" s="19" t="s">
        <v>119</v>
      </c>
      <c r="C108" s="3" t="s">
        <v>120</v>
      </c>
      <c r="D108" s="2" t="s">
        <v>142</v>
      </c>
      <c r="E108" s="10">
        <v>371</v>
      </c>
      <c r="F108" s="10">
        <v>530000</v>
      </c>
      <c r="G108" s="11">
        <v>0.28000000000000003</v>
      </c>
      <c r="H108" s="21">
        <v>627809.09090909106</v>
      </c>
      <c r="I108" s="12">
        <f t="shared" si="55"/>
        <v>678400</v>
      </c>
      <c r="J108" s="13">
        <f t="shared" si="56"/>
        <v>148400</v>
      </c>
      <c r="K108" s="14">
        <f t="shared" si="57"/>
        <v>0.28000000000000003</v>
      </c>
      <c r="L108" s="13">
        <f t="shared" si="58"/>
        <v>1428.5714285714287</v>
      </c>
      <c r="M108" s="13">
        <f t="shared" si="59"/>
        <v>1828.5714285714287</v>
      </c>
      <c r="N108" s="13">
        <f t="shared" si="60"/>
        <v>400</v>
      </c>
      <c r="O108" s="15">
        <f t="shared" si="61"/>
        <v>168.63636363636363</v>
      </c>
      <c r="P108" s="13">
        <f t="shared" si="62"/>
        <v>97809.090909090897</v>
      </c>
      <c r="Q108" s="16">
        <v>0.47589999999999999</v>
      </c>
      <c r="R108" s="17">
        <f t="shared" si="63"/>
        <v>607776.43999999994</v>
      </c>
      <c r="S108" s="17">
        <f t="shared" si="64"/>
        <v>77776.44</v>
      </c>
      <c r="T108" s="18">
        <f t="shared" si="65"/>
        <v>-70623.560000000056</v>
      </c>
    </row>
    <row r="109" spans="1:22" ht="18" customHeight="1" x14ac:dyDescent="0.35">
      <c r="A109" s="25" t="s">
        <v>143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7"/>
    </row>
    <row r="110" spans="1:22" ht="14.25" customHeight="1" x14ac:dyDescent="0.35"/>
    <row r="111" spans="1:22" ht="14.25" customHeight="1" x14ac:dyDescent="0.35"/>
    <row r="112" spans="1:2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5">
    <mergeCell ref="A60:R60"/>
    <mergeCell ref="A86:R86"/>
    <mergeCell ref="A109:R109"/>
    <mergeCell ref="A1:P2"/>
    <mergeCell ref="A3:P3"/>
    <mergeCell ref="E4:G4"/>
    <mergeCell ref="I4:K4"/>
    <mergeCell ref="L4:N4"/>
    <mergeCell ref="O4:P4"/>
    <mergeCell ref="Q4:R4"/>
    <mergeCell ref="A4:D4"/>
    <mergeCell ref="A8:R8"/>
    <mergeCell ref="A11:R11"/>
    <mergeCell ref="A21:R21"/>
    <mergeCell ref="A41:R4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showGridLines="0" topLeftCell="D1" workbookViewId="0">
      <pane ySplit="7" topLeftCell="A8" activePane="bottomLeft" state="frozen"/>
      <selection pane="bottomLeft" activeCell="F9" sqref="F9"/>
    </sheetView>
  </sheetViews>
  <sheetFormatPr baseColWidth="10" defaultColWidth="14.453125" defaultRowHeight="15" customHeight="1" x14ac:dyDescent="0.35"/>
  <cols>
    <col min="1" max="1" width="5" customWidth="1"/>
    <col min="2" max="2" width="6" customWidth="1"/>
    <col min="3" max="3" width="20" customWidth="1"/>
    <col min="4" max="4" width="21.08984375" customWidth="1"/>
    <col min="5" max="5" width="7" customWidth="1"/>
    <col min="6" max="6" width="14" customWidth="1"/>
    <col min="7" max="7" width="8" customWidth="1"/>
    <col min="8" max="8" width="14" customWidth="1"/>
    <col min="9" max="9" width="12" customWidth="1"/>
    <col min="10" max="10" width="9" customWidth="1"/>
    <col min="11" max="12" width="11" customWidth="1"/>
    <col min="13" max="13" width="10" customWidth="1"/>
    <col min="14" max="14" width="9" customWidth="1"/>
    <col min="15" max="15" width="12.453125" customWidth="1"/>
    <col min="16" max="16" width="11" customWidth="1"/>
    <col min="17" max="17" width="11.453125" customWidth="1"/>
    <col min="18" max="18" width="8.6328125" hidden="1" customWidth="1"/>
    <col min="19" max="19" width="8.90625" hidden="1" customWidth="1"/>
    <col min="20" max="20" width="8.6328125" hidden="1" customWidth="1"/>
    <col min="21" max="26" width="8.6328125" customWidth="1"/>
  </cols>
  <sheetData>
    <row r="1" spans="1:19" ht="27.75" customHeight="1" x14ac:dyDescent="0.35">
      <c r="A1" s="28" t="s">
        <v>161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/>
    </row>
    <row r="2" spans="1:19" ht="3.75" customHeight="1" x14ac:dyDescent="0.3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</row>
    <row r="3" spans="1:19" ht="13.5" customHeight="1" x14ac:dyDescent="0.35">
      <c r="A3" s="34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19" ht="18" customHeight="1" x14ac:dyDescent="0.35">
      <c r="A4" s="42" t="s">
        <v>4</v>
      </c>
      <c r="B4" s="26"/>
      <c r="C4" s="26"/>
      <c r="D4" s="36"/>
      <c r="E4" s="35" t="s">
        <v>5</v>
      </c>
      <c r="F4" s="26"/>
      <c r="G4" s="36"/>
      <c r="H4" s="38" t="s">
        <v>6</v>
      </c>
      <c r="I4" s="26"/>
      <c r="J4" s="36"/>
      <c r="K4" s="38" t="s">
        <v>7</v>
      </c>
      <c r="L4" s="26"/>
      <c r="M4" s="36"/>
      <c r="N4" s="39" t="s">
        <v>8</v>
      </c>
      <c r="O4" s="36"/>
      <c r="P4" s="40" t="s">
        <v>147</v>
      </c>
      <c r="Q4" s="41"/>
    </row>
    <row r="5" spans="1:19" ht="39.75" customHeight="1" x14ac:dyDescent="0.35">
      <c r="A5" s="6"/>
      <c r="B5" s="6"/>
      <c r="C5" s="6"/>
      <c r="D5" s="6"/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6" t="s">
        <v>20</v>
      </c>
      <c r="P5" s="7" t="s">
        <v>21</v>
      </c>
      <c r="Q5" s="7" t="s">
        <v>162</v>
      </c>
    </row>
    <row r="6" spans="1:19" ht="27.75" customHeight="1" x14ac:dyDescent="0.35">
      <c r="A6" s="1" t="s">
        <v>23</v>
      </c>
      <c r="B6" s="1" t="s">
        <v>24</v>
      </c>
      <c r="C6" s="1" t="s">
        <v>0</v>
      </c>
      <c r="D6" s="1" t="s">
        <v>25</v>
      </c>
      <c r="E6" s="1" t="s">
        <v>10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8" t="s">
        <v>36</v>
      </c>
      <c r="Q6" s="8" t="s">
        <v>155</v>
      </c>
    </row>
    <row r="7" spans="1:19" ht="3.75" customHeight="1" x14ac:dyDescent="0.35"/>
    <row r="8" spans="1:19" ht="18" customHeight="1" x14ac:dyDescent="0.35">
      <c r="A8" s="25" t="s">
        <v>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</row>
    <row r="9" spans="1:19" ht="15.75" customHeight="1" x14ac:dyDescent="0.35">
      <c r="A9" s="9">
        <v>1</v>
      </c>
      <c r="B9" s="9" t="s">
        <v>50</v>
      </c>
      <c r="C9" s="5" t="s">
        <v>51</v>
      </c>
      <c r="D9" s="4" t="s">
        <v>52</v>
      </c>
      <c r="E9" s="10">
        <v>662</v>
      </c>
      <c r="F9" s="10">
        <v>950000</v>
      </c>
      <c r="G9" s="11">
        <v>0.25</v>
      </c>
      <c r="H9" s="12">
        <f t="shared" ref="H9:H27" si="0">F9*(1+G9)</f>
        <v>1187500</v>
      </c>
      <c r="I9" s="13">
        <f t="shared" ref="I9:I27" si="1">H9-F9</f>
        <v>237500</v>
      </c>
      <c r="J9" s="14">
        <f t="shared" ref="J9:J27" si="2">I9/F9</f>
        <v>0.25</v>
      </c>
      <c r="K9" s="13">
        <f t="shared" ref="K9:K27" si="3">F9/E9</f>
        <v>1435.0453172205439</v>
      </c>
      <c r="L9" s="13">
        <f t="shared" ref="L9:L27" si="4">H9/E9</f>
        <v>1793.8066465256798</v>
      </c>
      <c r="M9" s="13">
        <f t="shared" ref="M9:M27" si="5">L9-K9</f>
        <v>358.76132930513586</v>
      </c>
      <c r="N9" s="15">
        <f t="shared" ref="N9:N27" si="6">E9/2.2</f>
        <v>300.90909090909088</v>
      </c>
      <c r="O9" s="13">
        <f t="shared" ref="O9:O27" si="7">N9*580</f>
        <v>174527.27272727271</v>
      </c>
      <c r="P9" s="16">
        <v>0.47589999999999999</v>
      </c>
      <c r="Q9" s="17">
        <f t="shared" ref="Q9:Q27" si="8">+F9+R9</f>
        <v>1074473.75</v>
      </c>
      <c r="R9" s="17">
        <f t="shared" ref="R9:R27" si="9">I9*(1-P9)</f>
        <v>124473.75</v>
      </c>
      <c r="S9" s="18">
        <f t="shared" ref="S9:S27" si="10">+Q9-H9</f>
        <v>-113026.25</v>
      </c>
    </row>
    <row r="10" spans="1:19" ht="15.75" customHeight="1" x14ac:dyDescent="0.35">
      <c r="A10" s="19">
        <v>2</v>
      </c>
      <c r="B10" s="19" t="s">
        <v>50</v>
      </c>
      <c r="C10" s="3" t="s">
        <v>51</v>
      </c>
      <c r="D10" s="2" t="s">
        <v>53</v>
      </c>
      <c r="E10" s="10">
        <v>566</v>
      </c>
      <c r="F10" s="10">
        <v>950000</v>
      </c>
      <c r="G10" s="11">
        <v>0.25</v>
      </c>
      <c r="H10" s="12">
        <f t="shared" si="0"/>
        <v>1187500</v>
      </c>
      <c r="I10" s="13">
        <f t="shared" si="1"/>
        <v>237500</v>
      </c>
      <c r="J10" s="14">
        <f t="shared" si="2"/>
        <v>0.25</v>
      </c>
      <c r="K10" s="13">
        <f t="shared" si="3"/>
        <v>1678.4452296819788</v>
      </c>
      <c r="L10" s="13">
        <f t="shared" si="4"/>
        <v>2098.0565371024736</v>
      </c>
      <c r="M10" s="13">
        <f t="shared" si="5"/>
        <v>419.61130742049477</v>
      </c>
      <c r="N10" s="15">
        <f t="shared" si="6"/>
        <v>257.27272727272725</v>
      </c>
      <c r="O10" s="13">
        <f t="shared" si="7"/>
        <v>149218.18181818179</v>
      </c>
      <c r="P10" s="16">
        <v>0.47589999999999999</v>
      </c>
      <c r="Q10" s="17">
        <f t="shared" si="8"/>
        <v>1074473.75</v>
      </c>
      <c r="R10" s="17">
        <f t="shared" si="9"/>
        <v>124473.75</v>
      </c>
      <c r="S10" s="18">
        <f t="shared" si="10"/>
        <v>-113026.25</v>
      </c>
    </row>
    <row r="11" spans="1:19" ht="15.75" customHeight="1" x14ac:dyDescent="0.35">
      <c r="A11" s="9">
        <v>3</v>
      </c>
      <c r="B11" s="9" t="s">
        <v>50</v>
      </c>
      <c r="C11" s="5" t="s">
        <v>51</v>
      </c>
      <c r="D11" s="4" t="s">
        <v>1</v>
      </c>
      <c r="E11" s="10">
        <v>560</v>
      </c>
      <c r="F11" s="10">
        <v>950000</v>
      </c>
      <c r="G11" s="11">
        <v>0.25</v>
      </c>
      <c r="H11" s="12">
        <f t="shared" si="0"/>
        <v>1187500</v>
      </c>
      <c r="I11" s="13">
        <f t="shared" si="1"/>
        <v>237500</v>
      </c>
      <c r="J11" s="14">
        <f t="shared" si="2"/>
        <v>0.25</v>
      </c>
      <c r="K11" s="13">
        <f t="shared" si="3"/>
        <v>1696.4285714285713</v>
      </c>
      <c r="L11" s="13">
        <f t="shared" si="4"/>
        <v>2120.5357142857142</v>
      </c>
      <c r="M11" s="13">
        <f t="shared" si="5"/>
        <v>424.10714285714289</v>
      </c>
      <c r="N11" s="15">
        <f t="shared" si="6"/>
        <v>254.54545454545453</v>
      </c>
      <c r="O11" s="13">
        <f t="shared" si="7"/>
        <v>147636.36363636362</v>
      </c>
      <c r="P11" s="16">
        <v>0.47589999999999999</v>
      </c>
      <c r="Q11" s="17">
        <f t="shared" si="8"/>
        <v>1074473.75</v>
      </c>
      <c r="R11" s="17">
        <f t="shared" si="9"/>
        <v>124473.75</v>
      </c>
      <c r="S11" s="18">
        <f t="shared" si="10"/>
        <v>-113026.25</v>
      </c>
    </row>
    <row r="12" spans="1:19" ht="15.75" customHeight="1" x14ac:dyDescent="0.35">
      <c r="A12" s="19">
        <v>4</v>
      </c>
      <c r="B12" s="19" t="s">
        <v>50</v>
      </c>
      <c r="C12" s="3" t="s">
        <v>51</v>
      </c>
      <c r="D12" s="2" t="s">
        <v>54</v>
      </c>
      <c r="E12" s="10">
        <v>598</v>
      </c>
      <c r="F12" s="10">
        <v>950000</v>
      </c>
      <c r="G12" s="11">
        <v>0.25</v>
      </c>
      <c r="H12" s="12">
        <f t="shared" si="0"/>
        <v>1187500</v>
      </c>
      <c r="I12" s="13">
        <f t="shared" si="1"/>
        <v>237500</v>
      </c>
      <c r="J12" s="14">
        <f t="shared" si="2"/>
        <v>0.25</v>
      </c>
      <c r="K12" s="13">
        <f t="shared" si="3"/>
        <v>1588.6287625418061</v>
      </c>
      <c r="L12" s="13">
        <f t="shared" si="4"/>
        <v>1985.7859531772576</v>
      </c>
      <c r="M12" s="13">
        <f t="shared" si="5"/>
        <v>397.15719063545157</v>
      </c>
      <c r="N12" s="15">
        <f t="shared" si="6"/>
        <v>271.81818181818181</v>
      </c>
      <c r="O12" s="13">
        <f t="shared" si="7"/>
        <v>157654.54545454544</v>
      </c>
      <c r="P12" s="16">
        <v>0.47589999999999999</v>
      </c>
      <c r="Q12" s="17">
        <f t="shared" si="8"/>
        <v>1074473.75</v>
      </c>
      <c r="R12" s="17">
        <f t="shared" si="9"/>
        <v>124473.75</v>
      </c>
      <c r="S12" s="18">
        <f t="shared" si="10"/>
        <v>-113026.25</v>
      </c>
    </row>
    <row r="13" spans="1:19" ht="15.75" customHeight="1" x14ac:dyDescent="0.35">
      <c r="A13" s="9">
        <v>5</v>
      </c>
      <c r="B13" s="9" t="s">
        <v>50</v>
      </c>
      <c r="C13" s="5" t="s">
        <v>51</v>
      </c>
      <c r="D13" s="4" t="s">
        <v>55</v>
      </c>
      <c r="E13" s="10">
        <v>642</v>
      </c>
      <c r="F13" s="10">
        <v>950000</v>
      </c>
      <c r="G13" s="11">
        <v>0.25</v>
      </c>
      <c r="H13" s="12">
        <f t="shared" si="0"/>
        <v>1187500</v>
      </c>
      <c r="I13" s="13">
        <f t="shared" si="1"/>
        <v>237500</v>
      </c>
      <c r="J13" s="14">
        <f t="shared" si="2"/>
        <v>0.25</v>
      </c>
      <c r="K13" s="13">
        <f t="shared" si="3"/>
        <v>1479.7507788161993</v>
      </c>
      <c r="L13" s="13">
        <f t="shared" si="4"/>
        <v>1849.6884735202493</v>
      </c>
      <c r="M13" s="13">
        <f t="shared" si="5"/>
        <v>369.93769470405005</v>
      </c>
      <c r="N13" s="15">
        <f t="shared" si="6"/>
        <v>291.81818181818181</v>
      </c>
      <c r="O13" s="13">
        <f t="shared" si="7"/>
        <v>169254.54545454544</v>
      </c>
      <c r="P13" s="16">
        <v>0.47589999999999999</v>
      </c>
      <c r="Q13" s="17">
        <f t="shared" si="8"/>
        <v>1074473.75</v>
      </c>
      <c r="R13" s="17">
        <f t="shared" si="9"/>
        <v>124473.75</v>
      </c>
      <c r="S13" s="18">
        <f t="shared" si="10"/>
        <v>-113026.25</v>
      </c>
    </row>
    <row r="14" spans="1:19" ht="15.75" customHeight="1" x14ac:dyDescent="0.35">
      <c r="A14" s="19">
        <v>6</v>
      </c>
      <c r="B14" s="19" t="s">
        <v>50</v>
      </c>
      <c r="C14" s="3" t="s">
        <v>51</v>
      </c>
      <c r="D14" s="2" t="s">
        <v>56</v>
      </c>
      <c r="E14" s="10">
        <v>578</v>
      </c>
      <c r="F14" s="10">
        <v>950000</v>
      </c>
      <c r="G14" s="11">
        <v>0.25</v>
      </c>
      <c r="H14" s="12">
        <f t="shared" si="0"/>
        <v>1187500</v>
      </c>
      <c r="I14" s="13">
        <f t="shared" si="1"/>
        <v>237500</v>
      </c>
      <c r="J14" s="14">
        <f t="shared" si="2"/>
        <v>0.25</v>
      </c>
      <c r="K14" s="13">
        <f t="shared" si="3"/>
        <v>1643.5986159169549</v>
      </c>
      <c r="L14" s="13">
        <f t="shared" si="4"/>
        <v>2054.498269896194</v>
      </c>
      <c r="M14" s="13">
        <f t="shared" si="5"/>
        <v>410.89965397923902</v>
      </c>
      <c r="N14" s="15">
        <f t="shared" si="6"/>
        <v>262.72727272727269</v>
      </c>
      <c r="O14" s="13">
        <f t="shared" si="7"/>
        <v>152381.81818181815</v>
      </c>
      <c r="P14" s="16">
        <v>0.47589999999999999</v>
      </c>
      <c r="Q14" s="17">
        <f t="shared" si="8"/>
        <v>1074473.75</v>
      </c>
      <c r="R14" s="17">
        <f t="shared" si="9"/>
        <v>124473.75</v>
      </c>
      <c r="S14" s="18">
        <f t="shared" si="10"/>
        <v>-113026.25</v>
      </c>
    </row>
    <row r="15" spans="1:19" ht="15.75" customHeight="1" x14ac:dyDescent="0.35">
      <c r="A15" s="9">
        <v>7</v>
      </c>
      <c r="B15" s="9" t="s">
        <v>50</v>
      </c>
      <c r="C15" s="5" t="s">
        <v>51</v>
      </c>
      <c r="D15" s="4" t="s">
        <v>57</v>
      </c>
      <c r="E15" s="10">
        <v>570</v>
      </c>
      <c r="F15" s="10">
        <v>950000</v>
      </c>
      <c r="G15" s="11">
        <v>0.25</v>
      </c>
      <c r="H15" s="12">
        <f t="shared" si="0"/>
        <v>1187500</v>
      </c>
      <c r="I15" s="13">
        <f t="shared" si="1"/>
        <v>237500</v>
      </c>
      <c r="J15" s="14">
        <f t="shared" si="2"/>
        <v>0.25</v>
      </c>
      <c r="K15" s="13">
        <f t="shared" si="3"/>
        <v>1666.6666666666667</v>
      </c>
      <c r="L15" s="13">
        <f t="shared" si="4"/>
        <v>2083.3333333333335</v>
      </c>
      <c r="M15" s="13">
        <f t="shared" si="5"/>
        <v>416.66666666666674</v>
      </c>
      <c r="N15" s="15">
        <f t="shared" si="6"/>
        <v>259.09090909090907</v>
      </c>
      <c r="O15" s="13">
        <f t="shared" si="7"/>
        <v>150272.72727272726</v>
      </c>
      <c r="P15" s="16">
        <v>0.47589999999999999</v>
      </c>
      <c r="Q15" s="17">
        <f t="shared" si="8"/>
        <v>1074473.75</v>
      </c>
      <c r="R15" s="17">
        <f t="shared" si="9"/>
        <v>124473.75</v>
      </c>
      <c r="S15" s="18">
        <f t="shared" si="10"/>
        <v>-113026.25</v>
      </c>
    </row>
    <row r="16" spans="1:19" ht="15.75" customHeight="1" x14ac:dyDescent="0.35">
      <c r="A16" s="19">
        <v>8</v>
      </c>
      <c r="B16" s="19" t="s">
        <v>50</v>
      </c>
      <c r="C16" s="3" t="s">
        <v>51</v>
      </c>
      <c r="D16" s="2" t="s">
        <v>58</v>
      </c>
      <c r="E16" s="10">
        <v>597</v>
      </c>
      <c r="F16" s="10">
        <v>950000</v>
      </c>
      <c r="G16" s="11">
        <v>0.25</v>
      </c>
      <c r="H16" s="12">
        <f t="shared" si="0"/>
        <v>1187500</v>
      </c>
      <c r="I16" s="13">
        <f t="shared" si="1"/>
        <v>237500</v>
      </c>
      <c r="J16" s="14">
        <f t="shared" si="2"/>
        <v>0.25</v>
      </c>
      <c r="K16" s="13">
        <f t="shared" si="3"/>
        <v>1591.2897822445561</v>
      </c>
      <c r="L16" s="13">
        <f t="shared" si="4"/>
        <v>1989.1122278056951</v>
      </c>
      <c r="M16" s="13">
        <f t="shared" si="5"/>
        <v>397.82244556113892</v>
      </c>
      <c r="N16" s="15">
        <f t="shared" si="6"/>
        <v>271.36363636363632</v>
      </c>
      <c r="O16" s="13">
        <f t="shared" si="7"/>
        <v>157390.90909090906</v>
      </c>
      <c r="P16" s="16">
        <v>0.47589999999999999</v>
      </c>
      <c r="Q16" s="17">
        <f t="shared" si="8"/>
        <v>1074473.75</v>
      </c>
      <c r="R16" s="17">
        <f t="shared" si="9"/>
        <v>124473.75</v>
      </c>
      <c r="S16" s="18">
        <f t="shared" si="10"/>
        <v>-113026.25</v>
      </c>
    </row>
    <row r="17" spans="1:19" ht="15.75" customHeight="1" x14ac:dyDescent="0.35">
      <c r="A17" s="9">
        <v>9</v>
      </c>
      <c r="B17" s="9" t="s">
        <v>50</v>
      </c>
      <c r="C17" s="5" t="s">
        <v>51</v>
      </c>
      <c r="D17" s="4" t="s">
        <v>59</v>
      </c>
      <c r="E17" s="10">
        <v>695</v>
      </c>
      <c r="F17" s="10">
        <v>950000</v>
      </c>
      <c r="G17" s="11">
        <v>0.25</v>
      </c>
      <c r="H17" s="12">
        <f t="shared" si="0"/>
        <v>1187500</v>
      </c>
      <c r="I17" s="13">
        <f t="shared" si="1"/>
        <v>237500</v>
      </c>
      <c r="J17" s="14">
        <f t="shared" si="2"/>
        <v>0.25</v>
      </c>
      <c r="K17" s="13">
        <f t="shared" si="3"/>
        <v>1366.9064748201438</v>
      </c>
      <c r="L17" s="13">
        <f t="shared" si="4"/>
        <v>1708.6330935251799</v>
      </c>
      <c r="M17" s="13">
        <f t="shared" si="5"/>
        <v>341.72661870503612</v>
      </c>
      <c r="N17" s="15">
        <f t="shared" si="6"/>
        <v>315.90909090909088</v>
      </c>
      <c r="O17" s="13">
        <f t="shared" si="7"/>
        <v>183227.27272727271</v>
      </c>
      <c r="P17" s="16">
        <v>0.47589999999999999</v>
      </c>
      <c r="Q17" s="17">
        <f t="shared" si="8"/>
        <v>1074473.75</v>
      </c>
      <c r="R17" s="17">
        <f t="shared" si="9"/>
        <v>124473.75</v>
      </c>
      <c r="S17" s="18">
        <f t="shared" si="10"/>
        <v>-113026.25</v>
      </c>
    </row>
    <row r="18" spans="1:19" ht="15.75" customHeight="1" x14ac:dyDescent="0.35">
      <c r="A18" s="19">
        <v>10</v>
      </c>
      <c r="B18" s="19" t="s">
        <v>50</v>
      </c>
      <c r="C18" s="3" t="s">
        <v>51</v>
      </c>
      <c r="D18" s="2" t="s">
        <v>60</v>
      </c>
      <c r="E18" s="10">
        <v>613</v>
      </c>
      <c r="F18" s="10">
        <v>950000</v>
      </c>
      <c r="G18" s="11">
        <v>0.25</v>
      </c>
      <c r="H18" s="12">
        <f t="shared" si="0"/>
        <v>1187500</v>
      </c>
      <c r="I18" s="13">
        <f t="shared" si="1"/>
        <v>237500</v>
      </c>
      <c r="J18" s="14">
        <f t="shared" si="2"/>
        <v>0.25</v>
      </c>
      <c r="K18" s="13">
        <f t="shared" si="3"/>
        <v>1549.7553017944535</v>
      </c>
      <c r="L18" s="13">
        <f t="shared" si="4"/>
        <v>1937.194127243067</v>
      </c>
      <c r="M18" s="13">
        <f t="shared" si="5"/>
        <v>387.43882544861344</v>
      </c>
      <c r="N18" s="15">
        <f t="shared" si="6"/>
        <v>278.63636363636363</v>
      </c>
      <c r="O18" s="13">
        <f t="shared" si="7"/>
        <v>161609.09090909091</v>
      </c>
      <c r="P18" s="16">
        <v>0.20860000000000001</v>
      </c>
      <c r="Q18" s="17">
        <f t="shared" si="8"/>
        <v>1137957.5</v>
      </c>
      <c r="R18" s="17">
        <f t="shared" si="9"/>
        <v>187957.5</v>
      </c>
      <c r="S18" s="18">
        <f t="shared" si="10"/>
        <v>-49542.5</v>
      </c>
    </row>
    <row r="19" spans="1:19" ht="15.75" customHeight="1" x14ac:dyDescent="0.35">
      <c r="A19" s="9">
        <v>11</v>
      </c>
      <c r="B19" s="9" t="s">
        <v>50</v>
      </c>
      <c r="C19" s="5" t="s">
        <v>51</v>
      </c>
      <c r="D19" s="4" t="s">
        <v>61</v>
      </c>
      <c r="E19" s="10">
        <v>593</v>
      </c>
      <c r="F19" s="10">
        <v>950000</v>
      </c>
      <c r="G19" s="11">
        <v>0.25</v>
      </c>
      <c r="H19" s="12">
        <f t="shared" si="0"/>
        <v>1187500</v>
      </c>
      <c r="I19" s="13">
        <f t="shared" si="1"/>
        <v>237500</v>
      </c>
      <c r="J19" s="14">
        <f t="shared" si="2"/>
        <v>0.25</v>
      </c>
      <c r="K19" s="13">
        <f t="shared" si="3"/>
        <v>1602.0236087689714</v>
      </c>
      <c r="L19" s="13">
        <f t="shared" si="4"/>
        <v>2002.5295109612141</v>
      </c>
      <c r="M19" s="13">
        <f t="shared" si="5"/>
        <v>400.50590219224273</v>
      </c>
      <c r="N19" s="15">
        <f t="shared" si="6"/>
        <v>269.5454545454545</v>
      </c>
      <c r="O19" s="13">
        <f t="shared" si="7"/>
        <v>156336.36363636362</v>
      </c>
      <c r="P19" s="16">
        <v>0.47589999999999999</v>
      </c>
      <c r="Q19" s="17">
        <f t="shared" si="8"/>
        <v>1074473.75</v>
      </c>
      <c r="R19" s="17">
        <f t="shared" si="9"/>
        <v>124473.75</v>
      </c>
      <c r="S19" s="18">
        <f t="shared" si="10"/>
        <v>-113026.25</v>
      </c>
    </row>
    <row r="20" spans="1:19" ht="15.75" customHeight="1" x14ac:dyDescent="0.35">
      <c r="A20" s="19">
        <v>12</v>
      </c>
      <c r="B20" s="19" t="s">
        <v>50</v>
      </c>
      <c r="C20" s="3" t="s">
        <v>51</v>
      </c>
      <c r="D20" s="2" t="s">
        <v>62</v>
      </c>
      <c r="E20" s="10">
        <v>616</v>
      </c>
      <c r="F20" s="10">
        <v>950000</v>
      </c>
      <c r="G20" s="11">
        <v>0.25</v>
      </c>
      <c r="H20" s="12">
        <f t="shared" si="0"/>
        <v>1187500</v>
      </c>
      <c r="I20" s="13">
        <f t="shared" si="1"/>
        <v>237500</v>
      </c>
      <c r="J20" s="14">
        <f t="shared" si="2"/>
        <v>0.25</v>
      </c>
      <c r="K20" s="13">
        <f t="shared" si="3"/>
        <v>1542.2077922077922</v>
      </c>
      <c r="L20" s="13">
        <f t="shared" si="4"/>
        <v>1927.7597402597403</v>
      </c>
      <c r="M20" s="13">
        <f t="shared" si="5"/>
        <v>385.5519480519481</v>
      </c>
      <c r="N20" s="15">
        <f t="shared" si="6"/>
        <v>280</v>
      </c>
      <c r="O20" s="13">
        <f t="shared" si="7"/>
        <v>162400</v>
      </c>
      <c r="P20" s="16">
        <v>0.47589999999999999</v>
      </c>
      <c r="Q20" s="17">
        <f t="shared" si="8"/>
        <v>1074473.75</v>
      </c>
      <c r="R20" s="17">
        <f t="shared" si="9"/>
        <v>124473.75</v>
      </c>
      <c r="S20" s="18">
        <f t="shared" si="10"/>
        <v>-113026.25</v>
      </c>
    </row>
    <row r="21" spans="1:19" ht="15.75" customHeight="1" x14ac:dyDescent="0.35">
      <c r="A21" s="9">
        <v>13</v>
      </c>
      <c r="B21" s="9" t="s">
        <v>50</v>
      </c>
      <c r="C21" s="5" t="s">
        <v>51</v>
      </c>
      <c r="D21" s="4" t="s">
        <v>63</v>
      </c>
      <c r="E21" s="10">
        <v>567</v>
      </c>
      <c r="F21" s="10">
        <v>950000</v>
      </c>
      <c r="G21" s="11">
        <v>0.25</v>
      </c>
      <c r="H21" s="12">
        <f t="shared" si="0"/>
        <v>1187500</v>
      </c>
      <c r="I21" s="13">
        <f t="shared" si="1"/>
        <v>237500</v>
      </c>
      <c r="J21" s="14">
        <f t="shared" si="2"/>
        <v>0.25</v>
      </c>
      <c r="K21" s="13">
        <f t="shared" si="3"/>
        <v>1675.4850088183421</v>
      </c>
      <c r="L21" s="13">
        <f t="shared" si="4"/>
        <v>2094.3562610229278</v>
      </c>
      <c r="M21" s="13">
        <f t="shared" si="5"/>
        <v>418.87125220458574</v>
      </c>
      <c r="N21" s="15">
        <f t="shared" si="6"/>
        <v>257.72727272727269</v>
      </c>
      <c r="O21" s="13">
        <f t="shared" si="7"/>
        <v>149481.81818181815</v>
      </c>
      <c r="P21" s="16">
        <v>0.47589999999999999</v>
      </c>
      <c r="Q21" s="17">
        <f t="shared" si="8"/>
        <v>1074473.75</v>
      </c>
      <c r="R21" s="17">
        <f t="shared" si="9"/>
        <v>124473.75</v>
      </c>
      <c r="S21" s="18">
        <f t="shared" si="10"/>
        <v>-113026.25</v>
      </c>
    </row>
    <row r="22" spans="1:19" ht="15.75" customHeight="1" x14ac:dyDescent="0.35">
      <c r="A22" s="19">
        <v>14</v>
      </c>
      <c r="B22" s="19" t="s">
        <v>50</v>
      </c>
      <c r="C22" s="3" t="s">
        <v>51</v>
      </c>
      <c r="D22" s="2" t="s">
        <v>64</v>
      </c>
      <c r="E22" s="10">
        <v>509</v>
      </c>
      <c r="F22" s="10">
        <v>950000</v>
      </c>
      <c r="G22" s="11">
        <v>0.25</v>
      </c>
      <c r="H22" s="12">
        <f t="shared" si="0"/>
        <v>1187500</v>
      </c>
      <c r="I22" s="13">
        <f t="shared" si="1"/>
        <v>237500</v>
      </c>
      <c r="J22" s="14">
        <f t="shared" si="2"/>
        <v>0.25</v>
      </c>
      <c r="K22" s="13">
        <f t="shared" si="3"/>
        <v>1866.4047151277014</v>
      </c>
      <c r="L22" s="13">
        <f t="shared" si="4"/>
        <v>2333.0058939096266</v>
      </c>
      <c r="M22" s="13">
        <f t="shared" si="5"/>
        <v>466.60117878192523</v>
      </c>
      <c r="N22" s="15">
        <f t="shared" si="6"/>
        <v>231.36363636363635</v>
      </c>
      <c r="O22" s="13">
        <f t="shared" si="7"/>
        <v>134190.90909090909</v>
      </c>
      <c r="P22" s="16">
        <v>0.47589999999999999</v>
      </c>
      <c r="Q22" s="17">
        <f t="shared" si="8"/>
        <v>1074473.75</v>
      </c>
      <c r="R22" s="17">
        <f t="shared" si="9"/>
        <v>124473.75</v>
      </c>
      <c r="S22" s="18">
        <f t="shared" si="10"/>
        <v>-113026.25</v>
      </c>
    </row>
    <row r="23" spans="1:19" ht="15.75" customHeight="1" x14ac:dyDescent="0.35">
      <c r="A23" s="9">
        <v>15</v>
      </c>
      <c r="B23" s="9" t="s">
        <v>50</v>
      </c>
      <c r="C23" s="5" t="s">
        <v>51</v>
      </c>
      <c r="D23" s="4" t="s">
        <v>65</v>
      </c>
      <c r="E23" s="10">
        <v>574</v>
      </c>
      <c r="F23" s="10">
        <v>950000</v>
      </c>
      <c r="G23" s="11">
        <v>0.25</v>
      </c>
      <c r="H23" s="12">
        <f t="shared" si="0"/>
        <v>1187500</v>
      </c>
      <c r="I23" s="13">
        <f t="shared" si="1"/>
        <v>237500</v>
      </c>
      <c r="J23" s="14">
        <f t="shared" si="2"/>
        <v>0.25</v>
      </c>
      <c r="K23" s="13">
        <f t="shared" si="3"/>
        <v>1655.0522648083625</v>
      </c>
      <c r="L23" s="13">
        <f t="shared" si="4"/>
        <v>2068.8153310104531</v>
      </c>
      <c r="M23" s="13">
        <f t="shared" si="5"/>
        <v>413.76306620209061</v>
      </c>
      <c r="N23" s="15">
        <f t="shared" si="6"/>
        <v>260.90909090909088</v>
      </c>
      <c r="O23" s="13">
        <f t="shared" si="7"/>
        <v>151327.27272727271</v>
      </c>
      <c r="P23" s="16">
        <v>0.47589999999999999</v>
      </c>
      <c r="Q23" s="17">
        <f t="shared" si="8"/>
        <v>1074473.75</v>
      </c>
      <c r="R23" s="17">
        <f t="shared" si="9"/>
        <v>124473.75</v>
      </c>
      <c r="S23" s="18">
        <f t="shared" si="10"/>
        <v>-113026.25</v>
      </c>
    </row>
    <row r="24" spans="1:19" ht="15.75" customHeight="1" x14ac:dyDescent="0.35">
      <c r="A24" s="19">
        <v>16</v>
      </c>
      <c r="B24" s="19" t="s">
        <v>50</v>
      </c>
      <c r="C24" s="3" t="s">
        <v>51</v>
      </c>
      <c r="D24" s="2" t="s">
        <v>66</v>
      </c>
      <c r="E24" s="10">
        <v>578</v>
      </c>
      <c r="F24" s="10">
        <v>950000</v>
      </c>
      <c r="G24" s="11">
        <v>0.25</v>
      </c>
      <c r="H24" s="12">
        <f t="shared" si="0"/>
        <v>1187500</v>
      </c>
      <c r="I24" s="13">
        <f t="shared" si="1"/>
        <v>237500</v>
      </c>
      <c r="J24" s="14">
        <f t="shared" si="2"/>
        <v>0.25</v>
      </c>
      <c r="K24" s="13">
        <f t="shared" si="3"/>
        <v>1643.5986159169549</v>
      </c>
      <c r="L24" s="13">
        <f t="shared" si="4"/>
        <v>2054.498269896194</v>
      </c>
      <c r="M24" s="13">
        <f t="shared" si="5"/>
        <v>410.89965397923902</v>
      </c>
      <c r="N24" s="15">
        <f t="shared" si="6"/>
        <v>262.72727272727269</v>
      </c>
      <c r="O24" s="13">
        <f t="shared" si="7"/>
        <v>152381.81818181815</v>
      </c>
      <c r="P24" s="16">
        <v>0.47589999999999999</v>
      </c>
      <c r="Q24" s="17">
        <f t="shared" si="8"/>
        <v>1074473.75</v>
      </c>
      <c r="R24" s="17">
        <f t="shared" si="9"/>
        <v>124473.75</v>
      </c>
      <c r="S24" s="18">
        <f t="shared" si="10"/>
        <v>-113026.25</v>
      </c>
    </row>
    <row r="25" spans="1:19" ht="15.75" customHeight="1" x14ac:dyDescent="0.35">
      <c r="A25" s="9">
        <v>17</v>
      </c>
      <c r="B25" s="9" t="s">
        <v>50</v>
      </c>
      <c r="C25" s="5" t="s">
        <v>51</v>
      </c>
      <c r="D25" s="4" t="s">
        <v>67</v>
      </c>
      <c r="E25" s="10">
        <v>583</v>
      </c>
      <c r="F25" s="10">
        <v>950000</v>
      </c>
      <c r="G25" s="11">
        <v>0.25</v>
      </c>
      <c r="H25" s="12">
        <f t="shared" si="0"/>
        <v>1187500</v>
      </c>
      <c r="I25" s="13">
        <f t="shared" si="1"/>
        <v>237500</v>
      </c>
      <c r="J25" s="14">
        <f t="shared" si="2"/>
        <v>0.25</v>
      </c>
      <c r="K25" s="13">
        <f t="shared" si="3"/>
        <v>1629.5025728987994</v>
      </c>
      <c r="L25" s="13">
        <f t="shared" si="4"/>
        <v>2036.8782161234992</v>
      </c>
      <c r="M25" s="13">
        <f t="shared" si="5"/>
        <v>407.37564322469984</v>
      </c>
      <c r="N25" s="15">
        <f t="shared" si="6"/>
        <v>265</v>
      </c>
      <c r="O25" s="13">
        <f t="shared" si="7"/>
        <v>153700</v>
      </c>
      <c r="P25" s="16">
        <v>0.47589999999999999</v>
      </c>
      <c r="Q25" s="17">
        <f t="shared" si="8"/>
        <v>1074473.75</v>
      </c>
      <c r="R25" s="17">
        <f t="shared" si="9"/>
        <v>124473.75</v>
      </c>
      <c r="S25" s="18">
        <f t="shared" si="10"/>
        <v>-113026.25</v>
      </c>
    </row>
    <row r="26" spans="1:19" ht="15.75" customHeight="1" x14ac:dyDescent="0.35">
      <c r="A26" s="19">
        <v>18</v>
      </c>
      <c r="B26" s="19" t="s">
        <v>50</v>
      </c>
      <c r="C26" s="3" t="s">
        <v>51</v>
      </c>
      <c r="D26" s="2" t="s">
        <v>68</v>
      </c>
      <c r="E26" s="10">
        <v>504</v>
      </c>
      <c r="F26" s="10">
        <v>950000</v>
      </c>
      <c r="G26" s="11">
        <v>0.25</v>
      </c>
      <c r="H26" s="12">
        <f t="shared" si="0"/>
        <v>1187500</v>
      </c>
      <c r="I26" s="13">
        <f t="shared" si="1"/>
        <v>237500</v>
      </c>
      <c r="J26" s="14">
        <f t="shared" si="2"/>
        <v>0.25</v>
      </c>
      <c r="K26" s="13">
        <f t="shared" si="3"/>
        <v>1884.9206349206349</v>
      </c>
      <c r="L26" s="13">
        <f t="shared" si="4"/>
        <v>2356.1507936507937</v>
      </c>
      <c r="M26" s="13">
        <f t="shared" si="5"/>
        <v>471.23015873015879</v>
      </c>
      <c r="N26" s="15">
        <f t="shared" si="6"/>
        <v>229.09090909090907</v>
      </c>
      <c r="O26" s="13">
        <f t="shared" si="7"/>
        <v>132872.72727272726</v>
      </c>
      <c r="P26" s="16">
        <v>0.47589999999999999</v>
      </c>
      <c r="Q26" s="17">
        <f t="shared" si="8"/>
        <v>1074473.75</v>
      </c>
      <c r="R26" s="17">
        <f t="shared" si="9"/>
        <v>124473.75</v>
      </c>
      <c r="S26" s="18">
        <f t="shared" si="10"/>
        <v>-113026.25</v>
      </c>
    </row>
    <row r="27" spans="1:19" ht="15.75" customHeight="1" x14ac:dyDescent="0.35">
      <c r="A27" s="9">
        <v>19</v>
      </c>
      <c r="B27" s="9" t="s">
        <v>50</v>
      </c>
      <c r="C27" s="5" t="s">
        <v>51</v>
      </c>
      <c r="D27" s="4" t="s">
        <v>51</v>
      </c>
      <c r="E27" s="10">
        <v>599</v>
      </c>
      <c r="F27" s="10">
        <v>950000</v>
      </c>
      <c r="G27" s="11">
        <v>0.25</v>
      </c>
      <c r="H27" s="12">
        <f t="shared" si="0"/>
        <v>1187500</v>
      </c>
      <c r="I27" s="13">
        <f t="shared" si="1"/>
        <v>237500</v>
      </c>
      <c r="J27" s="14">
        <f t="shared" si="2"/>
        <v>0.25</v>
      </c>
      <c r="K27" s="13">
        <f t="shared" si="3"/>
        <v>1585.9766277128547</v>
      </c>
      <c r="L27" s="13">
        <f t="shared" si="4"/>
        <v>1982.4707846410683</v>
      </c>
      <c r="M27" s="13">
        <f t="shared" si="5"/>
        <v>396.49415692821367</v>
      </c>
      <c r="N27" s="15">
        <f t="shared" si="6"/>
        <v>272.27272727272725</v>
      </c>
      <c r="O27" s="13">
        <f t="shared" si="7"/>
        <v>157918.18181818179</v>
      </c>
      <c r="P27" s="16">
        <v>0.47589999999999999</v>
      </c>
      <c r="Q27" s="17">
        <f t="shared" si="8"/>
        <v>1074473.75</v>
      </c>
      <c r="R27" s="17">
        <f t="shared" si="9"/>
        <v>124473.75</v>
      </c>
      <c r="S27" s="18">
        <f t="shared" si="10"/>
        <v>-113026.25</v>
      </c>
    </row>
    <row r="28" spans="1:19" ht="18" customHeight="1" x14ac:dyDescent="0.35">
      <c r="A28" s="25" t="s">
        <v>69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</row>
    <row r="29" spans="1:19" ht="15.75" customHeight="1" x14ac:dyDescent="0.35">
      <c r="A29" s="9">
        <v>20</v>
      </c>
      <c r="B29" s="9" t="s">
        <v>70</v>
      </c>
      <c r="C29" s="5" t="s">
        <v>71</v>
      </c>
      <c r="D29" s="4" t="s">
        <v>72</v>
      </c>
      <c r="E29" s="10">
        <v>355</v>
      </c>
      <c r="F29" s="10">
        <v>750000</v>
      </c>
      <c r="G29" s="11">
        <v>0.25</v>
      </c>
      <c r="H29" s="12">
        <f t="shared" ref="H29:H46" si="11">F29*(1+G29)</f>
        <v>937500</v>
      </c>
      <c r="I29" s="13">
        <f t="shared" ref="I29:I46" si="12">H29-F29</f>
        <v>187500</v>
      </c>
      <c r="J29" s="14">
        <f t="shared" ref="J29:J46" si="13">I29/F29</f>
        <v>0.25</v>
      </c>
      <c r="K29" s="13">
        <f t="shared" ref="K29:K46" si="14">F29/E29</f>
        <v>2112.676056338028</v>
      </c>
      <c r="L29" s="13">
        <f t="shared" ref="L29:L46" si="15">H29/E29</f>
        <v>2640.8450704225352</v>
      </c>
      <c r="M29" s="13">
        <f t="shared" ref="M29:M46" si="16">L29-K29</f>
        <v>528.16901408450713</v>
      </c>
      <c r="N29" s="15">
        <f t="shared" ref="N29:N46" si="17">E29/2.2</f>
        <v>161.36363636363635</v>
      </c>
      <c r="O29" s="13">
        <f t="shared" ref="O29:O46" si="18">N29*580</f>
        <v>93590.909090909074</v>
      </c>
      <c r="P29" s="16">
        <v>0.47589999999999999</v>
      </c>
      <c r="Q29" s="17">
        <f t="shared" ref="Q29:Q46" si="19">+F29+R29</f>
        <v>848268.75</v>
      </c>
      <c r="R29" s="17">
        <f t="shared" ref="R29:R46" si="20">I29*(1-P29)</f>
        <v>98268.75</v>
      </c>
      <c r="S29" s="18">
        <f t="shared" ref="S29:S46" si="21">+Q29-H29</f>
        <v>-89231.25</v>
      </c>
    </row>
    <row r="30" spans="1:19" ht="15.75" customHeight="1" x14ac:dyDescent="0.35">
      <c r="A30" s="19">
        <v>21</v>
      </c>
      <c r="B30" s="19" t="s">
        <v>70</v>
      </c>
      <c r="C30" s="3" t="s">
        <v>71</v>
      </c>
      <c r="D30" s="2" t="s">
        <v>73</v>
      </c>
      <c r="E30" s="10">
        <v>456</v>
      </c>
      <c r="F30" s="10">
        <v>750000</v>
      </c>
      <c r="G30" s="11">
        <v>0.25</v>
      </c>
      <c r="H30" s="12">
        <f t="shared" si="11"/>
        <v>937500</v>
      </c>
      <c r="I30" s="13">
        <f t="shared" si="12"/>
        <v>187500</v>
      </c>
      <c r="J30" s="14">
        <f t="shared" si="13"/>
        <v>0.25</v>
      </c>
      <c r="K30" s="13">
        <f t="shared" si="14"/>
        <v>1644.7368421052631</v>
      </c>
      <c r="L30" s="13">
        <f t="shared" si="15"/>
        <v>2055.9210526315787</v>
      </c>
      <c r="M30" s="13">
        <f t="shared" si="16"/>
        <v>411.18421052631561</v>
      </c>
      <c r="N30" s="15">
        <f t="shared" si="17"/>
        <v>207.27272727272725</v>
      </c>
      <c r="O30" s="13">
        <f t="shared" si="18"/>
        <v>120218.18181818181</v>
      </c>
      <c r="P30" s="16">
        <v>0.47589999999999999</v>
      </c>
      <c r="Q30" s="17">
        <f t="shared" si="19"/>
        <v>848268.75</v>
      </c>
      <c r="R30" s="17">
        <f t="shared" si="20"/>
        <v>98268.75</v>
      </c>
      <c r="S30" s="18">
        <f t="shared" si="21"/>
        <v>-89231.25</v>
      </c>
    </row>
    <row r="31" spans="1:19" ht="15.75" customHeight="1" x14ac:dyDescent="0.35">
      <c r="A31" s="9">
        <v>22</v>
      </c>
      <c r="B31" s="9" t="s">
        <v>70</v>
      </c>
      <c r="C31" s="5" t="s">
        <v>71</v>
      </c>
      <c r="D31" s="4" t="s">
        <v>74</v>
      </c>
      <c r="E31" s="10">
        <v>463</v>
      </c>
      <c r="F31" s="10">
        <v>750000</v>
      </c>
      <c r="G31" s="11">
        <v>0.25</v>
      </c>
      <c r="H31" s="12">
        <f t="shared" si="11"/>
        <v>937500</v>
      </c>
      <c r="I31" s="13">
        <f t="shared" si="12"/>
        <v>187500</v>
      </c>
      <c r="J31" s="14">
        <f t="shared" si="13"/>
        <v>0.25</v>
      </c>
      <c r="K31" s="13">
        <f t="shared" si="14"/>
        <v>1619.8704103671707</v>
      </c>
      <c r="L31" s="13">
        <f t="shared" si="15"/>
        <v>2024.8380129589632</v>
      </c>
      <c r="M31" s="13">
        <f t="shared" si="16"/>
        <v>404.96760259179246</v>
      </c>
      <c r="N31" s="15">
        <f t="shared" si="17"/>
        <v>210.45454545454544</v>
      </c>
      <c r="O31" s="13">
        <f t="shared" si="18"/>
        <v>122063.63636363635</v>
      </c>
      <c r="P31" s="16">
        <v>0.47589999999999999</v>
      </c>
      <c r="Q31" s="17">
        <f t="shared" si="19"/>
        <v>848268.75</v>
      </c>
      <c r="R31" s="17">
        <f t="shared" si="20"/>
        <v>98268.75</v>
      </c>
      <c r="S31" s="18">
        <f t="shared" si="21"/>
        <v>-89231.25</v>
      </c>
    </row>
    <row r="32" spans="1:19" ht="15.75" customHeight="1" x14ac:dyDescent="0.35">
      <c r="A32" s="19">
        <v>23</v>
      </c>
      <c r="B32" s="19" t="s">
        <v>70</v>
      </c>
      <c r="C32" s="3" t="s">
        <v>71</v>
      </c>
      <c r="D32" s="2" t="s">
        <v>75</v>
      </c>
      <c r="E32" s="10">
        <v>501</v>
      </c>
      <c r="F32" s="10">
        <v>750000</v>
      </c>
      <c r="G32" s="11">
        <v>0.25</v>
      </c>
      <c r="H32" s="12">
        <f t="shared" si="11"/>
        <v>937500</v>
      </c>
      <c r="I32" s="13">
        <f t="shared" si="12"/>
        <v>187500</v>
      </c>
      <c r="J32" s="14">
        <f t="shared" si="13"/>
        <v>0.25</v>
      </c>
      <c r="K32" s="13">
        <f t="shared" si="14"/>
        <v>1497.0059880239521</v>
      </c>
      <c r="L32" s="13">
        <f t="shared" si="15"/>
        <v>1871.2574850299402</v>
      </c>
      <c r="M32" s="13">
        <f t="shared" si="16"/>
        <v>374.25149700598809</v>
      </c>
      <c r="N32" s="15">
        <f t="shared" si="17"/>
        <v>227.72727272727272</v>
      </c>
      <c r="O32" s="13">
        <f t="shared" si="18"/>
        <v>132081.81818181818</v>
      </c>
      <c r="P32" s="16">
        <v>0.47589999999999999</v>
      </c>
      <c r="Q32" s="17">
        <f t="shared" si="19"/>
        <v>848268.75</v>
      </c>
      <c r="R32" s="17">
        <f t="shared" si="20"/>
        <v>98268.75</v>
      </c>
      <c r="S32" s="18">
        <f t="shared" si="21"/>
        <v>-89231.25</v>
      </c>
    </row>
    <row r="33" spans="1:19" ht="15.75" customHeight="1" x14ac:dyDescent="0.35">
      <c r="A33" s="9">
        <v>24</v>
      </c>
      <c r="B33" s="9" t="s">
        <v>70</v>
      </c>
      <c r="C33" s="5" t="s">
        <v>71</v>
      </c>
      <c r="D33" s="4" t="s">
        <v>76</v>
      </c>
      <c r="E33" s="10">
        <v>486</v>
      </c>
      <c r="F33" s="10">
        <v>750000</v>
      </c>
      <c r="G33" s="11">
        <v>0.25</v>
      </c>
      <c r="H33" s="12">
        <f t="shared" si="11"/>
        <v>937500</v>
      </c>
      <c r="I33" s="13">
        <f t="shared" si="12"/>
        <v>187500</v>
      </c>
      <c r="J33" s="14">
        <f t="shared" si="13"/>
        <v>0.25</v>
      </c>
      <c r="K33" s="13">
        <f t="shared" si="14"/>
        <v>1543.2098765432099</v>
      </c>
      <c r="L33" s="13">
        <f t="shared" si="15"/>
        <v>1929.0123456790122</v>
      </c>
      <c r="M33" s="13">
        <f t="shared" si="16"/>
        <v>385.80246913580231</v>
      </c>
      <c r="N33" s="15">
        <f t="shared" si="17"/>
        <v>220.90909090909088</v>
      </c>
      <c r="O33" s="13">
        <f t="shared" si="18"/>
        <v>128127.27272727271</v>
      </c>
      <c r="P33" s="16">
        <v>0.47589999999999999</v>
      </c>
      <c r="Q33" s="17">
        <f t="shared" si="19"/>
        <v>848268.75</v>
      </c>
      <c r="R33" s="17">
        <f t="shared" si="20"/>
        <v>98268.75</v>
      </c>
      <c r="S33" s="18">
        <f t="shared" si="21"/>
        <v>-89231.25</v>
      </c>
    </row>
    <row r="34" spans="1:19" ht="15.75" customHeight="1" x14ac:dyDescent="0.35">
      <c r="A34" s="19">
        <v>25</v>
      </c>
      <c r="B34" s="19" t="s">
        <v>70</v>
      </c>
      <c r="C34" s="3" t="s">
        <v>71</v>
      </c>
      <c r="D34" s="2" t="s">
        <v>77</v>
      </c>
      <c r="E34" s="10">
        <v>441</v>
      </c>
      <c r="F34" s="10">
        <v>750000</v>
      </c>
      <c r="G34" s="11">
        <v>0.25</v>
      </c>
      <c r="H34" s="12">
        <f t="shared" si="11"/>
        <v>937500</v>
      </c>
      <c r="I34" s="13">
        <f t="shared" si="12"/>
        <v>187500</v>
      </c>
      <c r="J34" s="14">
        <f t="shared" si="13"/>
        <v>0.25</v>
      </c>
      <c r="K34" s="13">
        <f t="shared" si="14"/>
        <v>1700.6802721088436</v>
      </c>
      <c r="L34" s="13">
        <f t="shared" si="15"/>
        <v>2125.8503401360545</v>
      </c>
      <c r="M34" s="13">
        <f t="shared" si="16"/>
        <v>425.17006802721085</v>
      </c>
      <c r="N34" s="15">
        <f t="shared" si="17"/>
        <v>200.45454545454544</v>
      </c>
      <c r="O34" s="13">
        <f t="shared" si="18"/>
        <v>116263.63636363635</v>
      </c>
      <c r="P34" s="16">
        <v>0.47589999999999999</v>
      </c>
      <c r="Q34" s="17">
        <f t="shared" si="19"/>
        <v>848268.75</v>
      </c>
      <c r="R34" s="17">
        <f t="shared" si="20"/>
        <v>98268.75</v>
      </c>
      <c r="S34" s="18">
        <f t="shared" si="21"/>
        <v>-89231.25</v>
      </c>
    </row>
    <row r="35" spans="1:19" ht="15.75" customHeight="1" x14ac:dyDescent="0.35">
      <c r="A35" s="9">
        <v>26</v>
      </c>
      <c r="B35" s="9" t="s">
        <v>70</v>
      </c>
      <c r="C35" s="5" t="s">
        <v>71</v>
      </c>
      <c r="D35" s="4" t="s">
        <v>78</v>
      </c>
      <c r="E35" s="10">
        <v>486</v>
      </c>
      <c r="F35" s="10">
        <v>750000</v>
      </c>
      <c r="G35" s="11">
        <v>0.25</v>
      </c>
      <c r="H35" s="12">
        <f t="shared" si="11"/>
        <v>937500</v>
      </c>
      <c r="I35" s="13">
        <f t="shared" si="12"/>
        <v>187500</v>
      </c>
      <c r="J35" s="14">
        <f t="shared" si="13"/>
        <v>0.25</v>
      </c>
      <c r="K35" s="13">
        <f t="shared" si="14"/>
        <v>1543.2098765432099</v>
      </c>
      <c r="L35" s="13">
        <f t="shared" si="15"/>
        <v>1929.0123456790122</v>
      </c>
      <c r="M35" s="13">
        <f t="shared" si="16"/>
        <v>385.80246913580231</v>
      </c>
      <c r="N35" s="15">
        <f t="shared" si="17"/>
        <v>220.90909090909088</v>
      </c>
      <c r="O35" s="13">
        <f t="shared" si="18"/>
        <v>128127.27272727271</v>
      </c>
      <c r="P35" s="16">
        <v>0.47589999999999999</v>
      </c>
      <c r="Q35" s="17">
        <f t="shared" si="19"/>
        <v>848268.75</v>
      </c>
      <c r="R35" s="17">
        <f t="shared" si="20"/>
        <v>98268.75</v>
      </c>
      <c r="S35" s="18">
        <f t="shared" si="21"/>
        <v>-89231.25</v>
      </c>
    </row>
    <row r="36" spans="1:19" ht="15.75" customHeight="1" x14ac:dyDescent="0.35">
      <c r="A36" s="19">
        <v>27</v>
      </c>
      <c r="B36" s="19" t="s">
        <v>70</v>
      </c>
      <c r="C36" s="3" t="s">
        <v>71</v>
      </c>
      <c r="D36" s="2" t="s">
        <v>79</v>
      </c>
      <c r="E36" s="10">
        <v>440</v>
      </c>
      <c r="F36" s="10">
        <v>750000</v>
      </c>
      <c r="G36" s="11">
        <v>0.25</v>
      </c>
      <c r="H36" s="12">
        <f t="shared" si="11"/>
        <v>937500</v>
      </c>
      <c r="I36" s="13">
        <f t="shared" si="12"/>
        <v>187500</v>
      </c>
      <c r="J36" s="14">
        <f t="shared" si="13"/>
        <v>0.25</v>
      </c>
      <c r="K36" s="13">
        <f t="shared" si="14"/>
        <v>1704.5454545454545</v>
      </c>
      <c r="L36" s="13">
        <f t="shared" si="15"/>
        <v>2130.681818181818</v>
      </c>
      <c r="M36" s="13">
        <f t="shared" si="16"/>
        <v>426.13636363636351</v>
      </c>
      <c r="N36" s="15">
        <f t="shared" si="17"/>
        <v>199.99999999999997</v>
      </c>
      <c r="O36" s="13">
        <f t="shared" si="18"/>
        <v>115999.99999999999</v>
      </c>
      <c r="P36" s="16">
        <v>0.47589999999999999</v>
      </c>
      <c r="Q36" s="17">
        <f t="shared" si="19"/>
        <v>848268.75</v>
      </c>
      <c r="R36" s="17">
        <f t="shared" si="20"/>
        <v>98268.75</v>
      </c>
      <c r="S36" s="18">
        <f t="shared" si="21"/>
        <v>-89231.25</v>
      </c>
    </row>
    <row r="37" spans="1:19" ht="15.75" customHeight="1" x14ac:dyDescent="0.35">
      <c r="A37" s="9">
        <v>28</v>
      </c>
      <c r="B37" s="9" t="s">
        <v>70</v>
      </c>
      <c r="C37" s="5" t="s">
        <v>71</v>
      </c>
      <c r="D37" s="4" t="s">
        <v>80</v>
      </c>
      <c r="E37" s="10">
        <v>503</v>
      </c>
      <c r="F37" s="10">
        <v>750000</v>
      </c>
      <c r="G37" s="11">
        <v>0.25</v>
      </c>
      <c r="H37" s="12">
        <f t="shared" si="11"/>
        <v>937500</v>
      </c>
      <c r="I37" s="13">
        <f t="shared" si="12"/>
        <v>187500</v>
      </c>
      <c r="J37" s="14">
        <f t="shared" si="13"/>
        <v>0.25</v>
      </c>
      <c r="K37" s="13">
        <f t="shared" si="14"/>
        <v>1491.0536779324057</v>
      </c>
      <c r="L37" s="13">
        <f t="shared" si="15"/>
        <v>1863.8170974155069</v>
      </c>
      <c r="M37" s="13">
        <f t="shared" si="16"/>
        <v>372.76341948310119</v>
      </c>
      <c r="N37" s="15">
        <f t="shared" si="17"/>
        <v>228.63636363636363</v>
      </c>
      <c r="O37" s="13">
        <f t="shared" si="18"/>
        <v>132609.09090909091</v>
      </c>
      <c r="P37" s="16">
        <v>0.47589999999999999</v>
      </c>
      <c r="Q37" s="17">
        <f t="shared" si="19"/>
        <v>848268.75</v>
      </c>
      <c r="R37" s="17">
        <f t="shared" si="20"/>
        <v>98268.75</v>
      </c>
      <c r="S37" s="18">
        <f t="shared" si="21"/>
        <v>-89231.25</v>
      </c>
    </row>
    <row r="38" spans="1:19" ht="15.75" customHeight="1" x14ac:dyDescent="0.35">
      <c r="A38" s="19">
        <v>29</v>
      </c>
      <c r="B38" s="19" t="s">
        <v>70</v>
      </c>
      <c r="C38" s="3" t="s">
        <v>71</v>
      </c>
      <c r="D38" s="2" t="s">
        <v>81</v>
      </c>
      <c r="E38" s="10">
        <v>464</v>
      </c>
      <c r="F38" s="10">
        <v>750000</v>
      </c>
      <c r="G38" s="11">
        <v>0.25</v>
      </c>
      <c r="H38" s="12">
        <f t="shared" si="11"/>
        <v>937500</v>
      </c>
      <c r="I38" s="13">
        <f t="shared" si="12"/>
        <v>187500</v>
      </c>
      <c r="J38" s="14">
        <f t="shared" si="13"/>
        <v>0.25</v>
      </c>
      <c r="K38" s="13">
        <f t="shared" si="14"/>
        <v>1616.3793103448277</v>
      </c>
      <c r="L38" s="13">
        <f t="shared" si="15"/>
        <v>2020.4741379310344</v>
      </c>
      <c r="M38" s="13">
        <f t="shared" si="16"/>
        <v>404.09482758620675</v>
      </c>
      <c r="N38" s="15">
        <f t="shared" si="17"/>
        <v>210.90909090909088</v>
      </c>
      <c r="O38" s="13">
        <f t="shared" si="18"/>
        <v>122327.27272727271</v>
      </c>
      <c r="P38" s="16">
        <v>0.20860000000000001</v>
      </c>
      <c r="Q38" s="17">
        <f t="shared" si="19"/>
        <v>898387.5</v>
      </c>
      <c r="R38" s="17">
        <f t="shared" si="20"/>
        <v>148387.5</v>
      </c>
      <c r="S38" s="18">
        <f t="shared" si="21"/>
        <v>-39112.5</v>
      </c>
    </row>
    <row r="39" spans="1:19" ht="15.75" customHeight="1" x14ac:dyDescent="0.35">
      <c r="A39" s="9">
        <v>30</v>
      </c>
      <c r="B39" s="9" t="s">
        <v>70</v>
      </c>
      <c r="C39" s="5" t="s">
        <v>71</v>
      </c>
      <c r="D39" s="4" t="s">
        <v>82</v>
      </c>
      <c r="E39" s="10">
        <v>506</v>
      </c>
      <c r="F39" s="10">
        <v>750000</v>
      </c>
      <c r="G39" s="11">
        <v>0.25</v>
      </c>
      <c r="H39" s="12">
        <f t="shared" si="11"/>
        <v>937500</v>
      </c>
      <c r="I39" s="13">
        <f t="shared" si="12"/>
        <v>187500</v>
      </c>
      <c r="J39" s="14">
        <f t="shared" si="13"/>
        <v>0.25</v>
      </c>
      <c r="K39" s="13">
        <f t="shared" si="14"/>
        <v>1482.2134387351778</v>
      </c>
      <c r="L39" s="13">
        <f t="shared" si="15"/>
        <v>1852.7667984189723</v>
      </c>
      <c r="M39" s="13">
        <f t="shared" si="16"/>
        <v>370.5533596837945</v>
      </c>
      <c r="N39" s="15">
        <f t="shared" si="17"/>
        <v>229.99999999999997</v>
      </c>
      <c r="O39" s="13">
        <f t="shared" si="18"/>
        <v>133399.99999999997</v>
      </c>
      <c r="P39" s="16">
        <v>0.47589999999999999</v>
      </c>
      <c r="Q39" s="17">
        <f t="shared" si="19"/>
        <v>848268.75</v>
      </c>
      <c r="R39" s="17">
        <f t="shared" si="20"/>
        <v>98268.75</v>
      </c>
      <c r="S39" s="18">
        <f t="shared" si="21"/>
        <v>-89231.25</v>
      </c>
    </row>
    <row r="40" spans="1:19" ht="15.75" customHeight="1" x14ac:dyDescent="0.35">
      <c r="A40" s="19">
        <v>31</v>
      </c>
      <c r="B40" s="19" t="s">
        <v>70</v>
      </c>
      <c r="C40" s="3" t="s">
        <v>71</v>
      </c>
      <c r="D40" s="2" t="s">
        <v>83</v>
      </c>
      <c r="E40" s="10">
        <v>463</v>
      </c>
      <c r="F40" s="10">
        <v>750000</v>
      </c>
      <c r="G40" s="11">
        <v>0.25</v>
      </c>
      <c r="H40" s="12">
        <f t="shared" si="11"/>
        <v>937500</v>
      </c>
      <c r="I40" s="13">
        <f t="shared" si="12"/>
        <v>187500</v>
      </c>
      <c r="J40" s="14">
        <f t="shared" si="13"/>
        <v>0.25</v>
      </c>
      <c r="K40" s="13">
        <f t="shared" si="14"/>
        <v>1619.8704103671707</v>
      </c>
      <c r="L40" s="13">
        <f t="shared" si="15"/>
        <v>2024.8380129589632</v>
      </c>
      <c r="M40" s="13">
        <f t="shared" si="16"/>
        <v>404.96760259179246</v>
      </c>
      <c r="N40" s="15">
        <f t="shared" si="17"/>
        <v>210.45454545454544</v>
      </c>
      <c r="O40" s="13">
        <f t="shared" si="18"/>
        <v>122063.63636363635</v>
      </c>
      <c r="P40" s="16">
        <v>0.47589999999999999</v>
      </c>
      <c r="Q40" s="17">
        <f t="shared" si="19"/>
        <v>848268.75</v>
      </c>
      <c r="R40" s="17">
        <f t="shared" si="20"/>
        <v>98268.75</v>
      </c>
      <c r="S40" s="18">
        <f t="shared" si="21"/>
        <v>-89231.25</v>
      </c>
    </row>
    <row r="41" spans="1:19" ht="15.75" customHeight="1" x14ac:dyDescent="0.35">
      <c r="A41" s="9">
        <v>32</v>
      </c>
      <c r="B41" s="9" t="s">
        <v>70</v>
      </c>
      <c r="C41" s="5" t="s">
        <v>71</v>
      </c>
      <c r="D41" s="4" t="s">
        <v>84</v>
      </c>
      <c r="E41" s="10">
        <v>446</v>
      </c>
      <c r="F41" s="10">
        <v>750000</v>
      </c>
      <c r="G41" s="11">
        <v>0.25</v>
      </c>
      <c r="H41" s="12">
        <f t="shared" si="11"/>
        <v>937500</v>
      </c>
      <c r="I41" s="13">
        <f t="shared" si="12"/>
        <v>187500</v>
      </c>
      <c r="J41" s="14">
        <f t="shared" si="13"/>
        <v>0.25</v>
      </c>
      <c r="K41" s="13">
        <f t="shared" si="14"/>
        <v>1681.6143497757848</v>
      </c>
      <c r="L41" s="13">
        <f t="shared" si="15"/>
        <v>2102.0179372197308</v>
      </c>
      <c r="M41" s="13">
        <f t="shared" si="16"/>
        <v>420.40358744394598</v>
      </c>
      <c r="N41" s="15">
        <f t="shared" si="17"/>
        <v>202.72727272727272</v>
      </c>
      <c r="O41" s="13">
        <f t="shared" si="18"/>
        <v>117581.81818181818</v>
      </c>
      <c r="P41" s="16">
        <v>0.47589999999999999</v>
      </c>
      <c r="Q41" s="17">
        <f t="shared" si="19"/>
        <v>848268.75</v>
      </c>
      <c r="R41" s="17">
        <f t="shared" si="20"/>
        <v>98268.75</v>
      </c>
      <c r="S41" s="18">
        <f t="shared" si="21"/>
        <v>-89231.25</v>
      </c>
    </row>
    <row r="42" spans="1:19" ht="15.75" customHeight="1" x14ac:dyDescent="0.35">
      <c r="A42" s="19">
        <v>33</v>
      </c>
      <c r="B42" s="19" t="s">
        <v>70</v>
      </c>
      <c r="C42" s="3" t="s">
        <v>71</v>
      </c>
      <c r="D42" s="2" t="s">
        <v>85</v>
      </c>
      <c r="E42" s="10">
        <v>458</v>
      </c>
      <c r="F42" s="10">
        <v>750000</v>
      </c>
      <c r="G42" s="11">
        <v>0.25</v>
      </c>
      <c r="H42" s="12">
        <f t="shared" si="11"/>
        <v>937500</v>
      </c>
      <c r="I42" s="13">
        <f t="shared" si="12"/>
        <v>187500</v>
      </c>
      <c r="J42" s="14">
        <f t="shared" si="13"/>
        <v>0.25</v>
      </c>
      <c r="K42" s="13">
        <f t="shared" si="14"/>
        <v>1637.5545851528384</v>
      </c>
      <c r="L42" s="13">
        <f t="shared" si="15"/>
        <v>2046.9432314410481</v>
      </c>
      <c r="M42" s="13">
        <f t="shared" si="16"/>
        <v>409.38864628820966</v>
      </c>
      <c r="N42" s="15">
        <f t="shared" si="17"/>
        <v>208.18181818181816</v>
      </c>
      <c r="O42" s="13">
        <f t="shared" si="18"/>
        <v>120745.45454545453</v>
      </c>
      <c r="P42" s="16">
        <v>0.47589999999999999</v>
      </c>
      <c r="Q42" s="17">
        <f t="shared" si="19"/>
        <v>848268.75</v>
      </c>
      <c r="R42" s="17">
        <f t="shared" si="20"/>
        <v>98268.75</v>
      </c>
      <c r="S42" s="18">
        <f t="shared" si="21"/>
        <v>-89231.25</v>
      </c>
    </row>
    <row r="43" spans="1:19" ht="15.75" customHeight="1" x14ac:dyDescent="0.35">
      <c r="A43" s="9">
        <v>34</v>
      </c>
      <c r="B43" s="9" t="s">
        <v>70</v>
      </c>
      <c r="C43" s="5" t="s">
        <v>71</v>
      </c>
      <c r="D43" s="4" t="s">
        <v>86</v>
      </c>
      <c r="E43" s="10">
        <v>424</v>
      </c>
      <c r="F43" s="10">
        <v>750000</v>
      </c>
      <c r="G43" s="11">
        <v>0.25</v>
      </c>
      <c r="H43" s="12">
        <f t="shared" si="11"/>
        <v>937500</v>
      </c>
      <c r="I43" s="13">
        <f t="shared" si="12"/>
        <v>187500</v>
      </c>
      <c r="J43" s="14">
        <f t="shared" si="13"/>
        <v>0.25</v>
      </c>
      <c r="K43" s="13">
        <f t="shared" si="14"/>
        <v>1768.867924528302</v>
      </c>
      <c r="L43" s="13">
        <f t="shared" si="15"/>
        <v>2211.0849056603774</v>
      </c>
      <c r="M43" s="13">
        <f t="shared" si="16"/>
        <v>442.21698113207549</v>
      </c>
      <c r="N43" s="15">
        <f t="shared" si="17"/>
        <v>192.72727272727272</v>
      </c>
      <c r="O43" s="13">
        <f t="shared" si="18"/>
        <v>111781.81818181818</v>
      </c>
      <c r="P43" s="16">
        <v>0.47589999999999999</v>
      </c>
      <c r="Q43" s="17">
        <f t="shared" si="19"/>
        <v>848268.75</v>
      </c>
      <c r="R43" s="17">
        <f t="shared" si="20"/>
        <v>98268.75</v>
      </c>
      <c r="S43" s="18">
        <f t="shared" si="21"/>
        <v>-89231.25</v>
      </c>
    </row>
    <row r="44" spans="1:19" ht="15.75" customHeight="1" x14ac:dyDescent="0.35">
      <c r="A44" s="19">
        <v>35</v>
      </c>
      <c r="B44" s="19" t="s">
        <v>70</v>
      </c>
      <c r="C44" s="3" t="s">
        <v>71</v>
      </c>
      <c r="D44" s="2" t="s">
        <v>87</v>
      </c>
      <c r="E44" s="10">
        <v>510</v>
      </c>
      <c r="F44" s="10">
        <v>750000</v>
      </c>
      <c r="G44" s="11">
        <v>0.25</v>
      </c>
      <c r="H44" s="12">
        <f t="shared" si="11"/>
        <v>937500</v>
      </c>
      <c r="I44" s="13">
        <f t="shared" si="12"/>
        <v>187500</v>
      </c>
      <c r="J44" s="14">
        <f t="shared" si="13"/>
        <v>0.25</v>
      </c>
      <c r="K44" s="13">
        <f t="shared" si="14"/>
        <v>1470.5882352941176</v>
      </c>
      <c r="L44" s="13">
        <f t="shared" si="15"/>
        <v>1838.2352941176471</v>
      </c>
      <c r="M44" s="13">
        <f t="shared" si="16"/>
        <v>367.64705882352951</v>
      </c>
      <c r="N44" s="15">
        <f t="shared" si="17"/>
        <v>231.81818181818181</v>
      </c>
      <c r="O44" s="13">
        <f t="shared" si="18"/>
        <v>134454.54545454544</v>
      </c>
      <c r="P44" s="16">
        <v>0.47589999999999999</v>
      </c>
      <c r="Q44" s="17">
        <f t="shared" si="19"/>
        <v>848268.75</v>
      </c>
      <c r="R44" s="17">
        <f t="shared" si="20"/>
        <v>98268.75</v>
      </c>
      <c r="S44" s="18">
        <f t="shared" si="21"/>
        <v>-89231.25</v>
      </c>
    </row>
    <row r="45" spans="1:19" ht="15.75" customHeight="1" x14ac:dyDescent="0.35">
      <c r="A45" s="9">
        <v>36</v>
      </c>
      <c r="B45" s="9" t="s">
        <v>70</v>
      </c>
      <c r="C45" s="5" t="s">
        <v>71</v>
      </c>
      <c r="D45" s="4" t="s">
        <v>88</v>
      </c>
      <c r="E45" s="10">
        <v>448</v>
      </c>
      <c r="F45" s="10">
        <v>750000</v>
      </c>
      <c r="G45" s="11">
        <v>0.25</v>
      </c>
      <c r="H45" s="12">
        <f t="shared" si="11"/>
        <v>937500</v>
      </c>
      <c r="I45" s="13">
        <f t="shared" si="12"/>
        <v>187500</v>
      </c>
      <c r="J45" s="14">
        <f t="shared" si="13"/>
        <v>0.25</v>
      </c>
      <c r="K45" s="13">
        <f t="shared" si="14"/>
        <v>1674.1071428571429</v>
      </c>
      <c r="L45" s="13">
        <f t="shared" si="15"/>
        <v>2092.6339285714284</v>
      </c>
      <c r="M45" s="13">
        <f t="shared" si="16"/>
        <v>418.52678571428555</v>
      </c>
      <c r="N45" s="15">
        <f t="shared" si="17"/>
        <v>203.63636363636363</v>
      </c>
      <c r="O45" s="13">
        <f t="shared" si="18"/>
        <v>118109.0909090909</v>
      </c>
      <c r="P45" s="16">
        <v>0.47589999999999999</v>
      </c>
      <c r="Q45" s="17">
        <f t="shared" si="19"/>
        <v>848268.75</v>
      </c>
      <c r="R45" s="17">
        <f t="shared" si="20"/>
        <v>98268.75</v>
      </c>
      <c r="S45" s="18">
        <f t="shared" si="21"/>
        <v>-89231.25</v>
      </c>
    </row>
    <row r="46" spans="1:19" ht="15.75" customHeight="1" x14ac:dyDescent="0.35">
      <c r="A46" s="19">
        <v>37</v>
      </c>
      <c r="B46" s="19" t="s">
        <v>70</v>
      </c>
      <c r="C46" s="3" t="s">
        <v>71</v>
      </c>
      <c r="D46" s="2" t="s">
        <v>89</v>
      </c>
      <c r="E46" s="10">
        <v>530</v>
      </c>
      <c r="F46" s="10">
        <v>750000</v>
      </c>
      <c r="G46" s="11">
        <v>0.25</v>
      </c>
      <c r="H46" s="12">
        <f t="shared" si="11"/>
        <v>937500</v>
      </c>
      <c r="I46" s="13">
        <f t="shared" si="12"/>
        <v>187500</v>
      </c>
      <c r="J46" s="14">
        <f t="shared" si="13"/>
        <v>0.25</v>
      </c>
      <c r="K46" s="13">
        <f t="shared" si="14"/>
        <v>1415.0943396226414</v>
      </c>
      <c r="L46" s="13">
        <f t="shared" si="15"/>
        <v>1768.867924528302</v>
      </c>
      <c r="M46" s="13">
        <f t="shared" si="16"/>
        <v>353.77358490566053</v>
      </c>
      <c r="N46" s="15">
        <f t="shared" si="17"/>
        <v>240.90909090909088</v>
      </c>
      <c r="O46" s="13">
        <f t="shared" si="18"/>
        <v>139727.27272727271</v>
      </c>
      <c r="P46" s="16">
        <v>0.47589999999999999</v>
      </c>
      <c r="Q46" s="17">
        <f t="shared" si="19"/>
        <v>848268.75</v>
      </c>
      <c r="R46" s="17">
        <f t="shared" si="20"/>
        <v>98268.75</v>
      </c>
      <c r="S46" s="18">
        <f t="shared" si="21"/>
        <v>-89231.25</v>
      </c>
    </row>
    <row r="47" spans="1:19" ht="18" customHeight="1" x14ac:dyDescent="0.35">
      <c r="A47" s="25" t="s">
        <v>90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"/>
    </row>
    <row r="48" spans="1:19" ht="15.75" customHeight="1" x14ac:dyDescent="0.35">
      <c r="A48" s="19">
        <v>38</v>
      </c>
      <c r="B48" s="19" t="s">
        <v>91</v>
      </c>
      <c r="C48" s="3" t="s">
        <v>92</v>
      </c>
      <c r="D48" s="2" t="s">
        <v>93</v>
      </c>
      <c r="E48" s="10">
        <v>335</v>
      </c>
      <c r="F48" s="10">
        <v>700000</v>
      </c>
      <c r="G48" s="11">
        <v>0.25</v>
      </c>
      <c r="H48" s="12">
        <f t="shared" ref="H48:H72" si="22">F48*(1+G48)</f>
        <v>875000</v>
      </c>
      <c r="I48" s="13">
        <f t="shared" ref="I48:I72" si="23">H48-F48</f>
        <v>175000</v>
      </c>
      <c r="J48" s="14">
        <f t="shared" ref="J48:J72" si="24">I48/F48</f>
        <v>0.25</v>
      </c>
      <c r="K48" s="13">
        <f t="shared" ref="K48:K72" si="25">F48/E48</f>
        <v>2089.5522388059703</v>
      </c>
      <c r="L48" s="13">
        <f t="shared" ref="L48:L72" si="26">H48/E48</f>
        <v>2611.9402985074626</v>
      </c>
      <c r="M48" s="13">
        <f t="shared" ref="M48:M72" si="27">L48-K48</f>
        <v>522.38805970149224</v>
      </c>
      <c r="N48" s="15">
        <f t="shared" ref="N48:N72" si="28">E48/2.2</f>
        <v>152.27272727272725</v>
      </c>
      <c r="O48" s="13">
        <f t="shared" ref="O48:O72" si="29">N48*580</f>
        <v>88318.181818181809</v>
      </c>
      <c r="P48" s="16">
        <v>0.47589999999999999</v>
      </c>
      <c r="Q48" s="17">
        <f t="shared" ref="Q48:Q72" si="30">+F48+R48</f>
        <v>791717.5</v>
      </c>
      <c r="R48" s="17">
        <f t="shared" ref="R48:R72" si="31">I48*(1-P48)</f>
        <v>91717.5</v>
      </c>
      <c r="S48" s="18">
        <f t="shared" ref="S48:S72" si="32">+Q48-H48</f>
        <v>-83282.5</v>
      </c>
    </row>
    <row r="49" spans="1:20" ht="15.75" customHeight="1" x14ac:dyDescent="0.35">
      <c r="A49" s="9">
        <v>39</v>
      </c>
      <c r="B49" s="9" t="s">
        <v>91</v>
      </c>
      <c r="C49" s="5" t="s">
        <v>92</v>
      </c>
      <c r="D49" s="4" t="s">
        <v>94</v>
      </c>
      <c r="E49" s="10">
        <v>417</v>
      </c>
      <c r="F49" s="10">
        <v>700000</v>
      </c>
      <c r="G49" s="11">
        <v>0.25</v>
      </c>
      <c r="H49" s="12">
        <f t="shared" si="22"/>
        <v>875000</v>
      </c>
      <c r="I49" s="13">
        <f t="shared" si="23"/>
        <v>175000</v>
      </c>
      <c r="J49" s="14">
        <f t="shared" si="24"/>
        <v>0.25</v>
      </c>
      <c r="K49" s="13">
        <f t="shared" si="25"/>
        <v>1678.6570743405275</v>
      </c>
      <c r="L49" s="13">
        <f t="shared" si="26"/>
        <v>2098.3213429256593</v>
      </c>
      <c r="M49" s="13">
        <f t="shared" si="27"/>
        <v>419.66426858513182</v>
      </c>
      <c r="N49" s="15">
        <f t="shared" si="28"/>
        <v>189.54545454545453</v>
      </c>
      <c r="O49" s="13">
        <f t="shared" si="29"/>
        <v>109936.36363636363</v>
      </c>
      <c r="P49" s="16">
        <v>0.47589999999999999</v>
      </c>
      <c r="Q49" s="17">
        <f t="shared" si="30"/>
        <v>791717.5</v>
      </c>
      <c r="R49" s="17">
        <f t="shared" si="31"/>
        <v>91717.5</v>
      </c>
      <c r="S49" s="18">
        <f t="shared" si="32"/>
        <v>-83282.5</v>
      </c>
    </row>
    <row r="50" spans="1:20" ht="15.75" customHeight="1" x14ac:dyDescent="0.35">
      <c r="A50" s="19">
        <v>40</v>
      </c>
      <c r="B50" s="19" t="s">
        <v>91</v>
      </c>
      <c r="C50" s="3" t="s">
        <v>92</v>
      </c>
      <c r="D50" s="2" t="s">
        <v>95</v>
      </c>
      <c r="E50" s="10">
        <v>415</v>
      </c>
      <c r="F50" s="10">
        <v>700000</v>
      </c>
      <c r="G50" s="11">
        <v>0.25</v>
      </c>
      <c r="H50" s="12">
        <f t="shared" si="22"/>
        <v>875000</v>
      </c>
      <c r="I50" s="13">
        <f t="shared" si="23"/>
        <v>175000</v>
      </c>
      <c r="J50" s="14">
        <f t="shared" si="24"/>
        <v>0.25</v>
      </c>
      <c r="K50" s="13">
        <f t="shared" si="25"/>
        <v>1686.7469879518073</v>
      </c>
      <c r="L50" s="13">
        <f t="shared" si="26"/>
        <v>2108.4337349397592</v>
      </c>
      <c r="M50" s="13">
        <f t="shared" si="27"/>
        <v>421.68674698795189</v>
      </c>
      <c r="N50" s="15">
        <f t="shared" si="28"/>
        <v>188.63636363636363</v>
      </c>
      <c r="O50" s="13">
        <f t="shared" si="29"/>
        <v>109409.0909090909</v>
      </c>
      <c r="P50" s="16">
        <v>0.47589999999999999</v>
      </c>
      <c r="Q50" s="17">
        <f t="shared" si="30"/>
        <v>791717.5</v>
      </c>
      <c r="R50" s="17">
        <f t="shared" si="31"/>
        <v>91717.5</v>
      </c>
      <c r="S50" s="18">
        <f t="shared" si="32"/>
        <v>-83282.5</v>
      </c>
    </row>
    <row r="51" spans="1:20" ht="15.75" customHeight="1" x14ac:dyDescent="0.35">
      <c r="A51" s="9">
        <v>41</v>
      </c>
      <c r="B51" s="9" t="s">
        <v>91</v>
      </c>
      <c r="C51" s="5" t="s">
        <v>92</v>
      </c>
      <c r="D51" s="4" t="s">
        <v>96</v>
      </c>
      <c r="E51" s="10">
        <v>378</v>
      </c>
      <c r="F51" s="10">
        <v>700000</v>
      </c>
      <c r="G51" s="11">
        <v>0.25</v>
      </c>
      <c r="H51" s="12">
        <f t="shared" si="22"/>
        <v>875000</v>
      </c>
      <c r="I51" s="13">
        <f t="shared" si="23"/>
        <v>175000</v>
      </c>
      <c r="J51" s="14">
        <f t="shared" si="24"/>
        <v>0.25</v>
      </c>
      <c r="K51" s="13">
        <f t="shared" si="25"/>
        <v>1851.851851851852</v>
      </c>
      <c r="L51" s="13">
        <f t="shared" si="26"/>
        <v>2314.8148148148148</v>
      </c>
      <c r="M51" s="13">
        <f t="shared" si="27"/>
        <v>462.96296296296282</v>
      </c>
      <c r="N51" s="15">
        <f t="shared" si="28"/>
        <v>171.81818181818181</v>
      </c>
      <c r="O51" s="13">
        <f t="shared" si="29"/>
        <v>99654.545454545456</v>
      </c>
      <c r="P51" s="16">
        <v>0.47589999999999999</v>
      </c>
      <c r="Q51" s="17">
        <f t="shared" si="30"/>
        <v>791717.5</v>
      </c>
      <c r="R51" s="17">
        <f t="shared" si="31"/>
        <v>91717.5</v>
      </c>
      <c r="S51" s="18">
        <f t="shared" si="32"/>
        <v>-83282.5</v>
      </c>
      <c r="T51" s="18"/>
    </row>
    <row r="52" spans="1:20" ht="15.75" customHeight="1" x14ac:dyDescent="0.35">
      <c r="A52" s="19">
        <v>42</v>
      </c>
      <c r="B52" s="19" t="s">
        <v>91</v>
      </c>
      <c r="C52" s="3" t="s">
        <v>92</v>
      </c>
      <c r="D52" s="2" t="s">
        <v>97</v>
      </c>
      <c r="E52" s="10">
        <v>375</v>
      </c>
      <c r="F52" s="10">
        <v>700000</v>
      </c>
      <c r="G52" s="11">
        <v>0.25</v>
      </c>
      <c r="H52" s="12">
        <f t="shared" si="22"/>
        <v>875000</v>
      </c>
      <c r="I52" s="13">
        <f t="shared" si="23"/>
        <v>175000</v>
      </c>
      <c r="J52" s="14">
        <f t="shared" si="24"/>
        <v>0.25</v>
      </c>
      <c r="K52" s="13">
        <f t="shared" si="25"/>
        <v>1866.6666666666667</v>
      </c>
      <c r="L52" s="13">
        <f t="shared" si="26"/>
        <v>2333.3333333333335</v>
      </c>
      <c r="M52" s="13">
        <f t="shared" si="27"/>
        <v>466.66666666666674</v>
      </c>
      <c r="N52" s="15">
        <f t="shared" si="28"/>
        <v>170.45454545454544</v>
      </c>
      <c r="O52" s="13">
        <f t="shared" si="29"/>
        <v>98863.636363636353</v>
      </c>
      <c r="P52" s="16">
        <v>0.47589999999999999</v>
      </c>
      <c r="Q52" s="17">
        <f t="shared" si="30"/>
        <v>791717.5</v>
      </c>
      <c r="R52" s="17">
        <f t="shared" si="31"/>
        <v>91717.5</v>
      </c>
      <c r="S52" s="18">
        <f t="shared" si="32"/>
        <v>-83282.5</v>
      </c>
    </row>
    <row r="53" spans="1:20" ht="15.75" customHeight="1" x14ac:dyDescent="0.35">
      <c r="A53" s="9">
        <v>43</v>
      </c>
      <c r="B53" s="9" t="s">
        <v>91</v>
      </c>
      <c r="C53" s="5" t="s">
        <v>92</v>
      </c>
      <c r="D53" s="4" t="s">
        <v>98</v>
      </c>
      <c r="E53" s="10">
        <v>394</v>
      </c>
      <c r="F53" s="10">
        <v>700000</v>
      </c>
      <c r="G53" s="11">
        <v>0.25</v>
      </c>
      <c r="H53" s="12">
        <f t="shared" si="22"/>
        <v>875000</v>
      </c>
      <c r="I53" s="13">
        <f t="shared" si="23"/>
        <v>175000</v>
      </c>
      <c r="J53" s="14">
        <f t="shared" si="24"/>
        <v>0.25</v>
      </c>
      <c r="K53" s="13">
        <f t="shared" si="25"/>
        <v>1776.6497461928934</v>
      </c>
      <c r="L53" s="13">
        <f t="shared" si="26"/>
        <v>2220.8121827411169</v>
      </c>
      <c r="M53" s="13">
        <f t="shared" si="27"/>
        <v>444.16243654822347</v>
      </c>
      <c r="N53" s="15">
        <f t="shared" si="28"/>
        <v>179.09090909090907</v>
      </c>
      <c r="O53" s="13">
        <f t="shared" si="29"/>
        <v>103872.72727272726</v>
      </c>
      <c r="P53" s="16">
        <v>0.47589999999999999</v>
      </c>
      <c r="Q53" s="17">
        <f t="shared" si="30"/>
        <v>791717.5</v>
      </c>
      <c r="R53" s="17">
        <f t="shared" si="31"/>
        <v>91717.5</v>
      </c>
      <c r="S53" s="18">
        <f t="shared" si="32"/>
        <v>-83282.5</v>
      </c>
    </row>
    <row r="54" spans="1:20" ht="15.75" customHeight="1" x14ac:dyDescent="0.35">
      <c r="A54" s="19">
        <v>44</v>
      </c>
      <c r="B54" s="19" t="s">
        <v>91</v>
      </c>
      <c r="C54" s="3" t="s">
        <v>92</v>
      </c>
      <c r="D54" s="2" t="s">
        <v>99</v>
      </c>
      <c r="E54" s="10">
        <v>278</v>
      </c>
      <c r="F54" s="10">
        <v>700000</v>
      </c>
      <c r="G54" s="11">
        <v>0.25</v>
      </c>
      <c r="H54" s="12">
        <f t="shared" si="22"/>
        <v>875000</v>
      </c>
      <c r="I54" s="13">
        <f t="shared" si="23"/>
        <v>175000</v>
      </c>
      <c r="J54" s="14">
        <f t="shared" si="24"/>
        <v>0.25</v>
      </c>
      <c r="K54" s="13">
        <f t="shared" si="25"/>
        <v>2517.9856115107914</v>
      </c>
      <c r="L54" s="13">
        <f t="shared" si="26"/>
        <v>3147.482014388489</v>
      </c>
      <c r="M54" s="13">
        <f t="shared" si="27"/>
        <v>629.49640287769762</v>
      </c>
      <c r="N54" s="15">
        <f t="shared" si="28"/>
        <v>126.36363636363636</v>
      </c>
      <c r="O54" s="13">
        <f t="shared" si="29"/>
        <v>73290.909090909088</v>
      </c>
      <c r="P54" s="16">
        <v>0.47589999999999999</v>
      </c>
      <c r="Q54" s="17">
        <f t="shared" si="30"/>
        <v>791717.5</v>
      </c>
      <c r="R54" s="17">
        <f t="shared" si="31"/>
        <v>91717.5</v>
      </c>
      <c r="S54" s="18">
        <f t="shared" si="32"/>
        <v>-83282.5</v>
      </c>
    </row>
    <row r="55" spans="1:20" ht="15.75" customHeight="1" x14ac:dyDescent="0.35">
      <c r="A55" s="9">
        <v>45</v>
      </c>
      <c r="B55" s="9" t="s">
        <v>91</v>
      </c>
      <c r="C55" s="5" t="s">
        <v>92</v>
      </c>
      <c r="D55" s="4" t="s">
        <v>100</v>
      </c>
      <c r="E55" s="10">
        <v>397</v>
      </c>
      <c r="F55" s="10">
        <v>700000</v>
      </c>
      <c r="G55" s="11">
        <v>0.25</v>
      </c>
      <c r="H55" s="12">
        <f t="shared" si="22"/>
        <v>875000</v>
      </c>
      <c r="I55" s="13">
        <f t="shared" si="23"/>
        <v>175000</v>
      </c>
      <c r="J55" s="14">
        <f t="shared" si="24"/>
        <v>0.25</v>
      </c>
      <c r="K55" s="13">
        <f t="shared" si="25"/>
        <v>1763.2241813602016</v>
      </c>
      <c r="L55" s="13">
        <f t="shared" si="26"/>
        <v>2204.0302267002521</v>
      </c>
      <c r="M55" s="13">
        <f t="shared" si="27"/>
        <v>440.80604534005056</v>
      </c>
      <c r="N55" s="15">
        <f t="shared" si="28"/>
        <v>180.45454545454544</v>
      </c>
      <c r="O55" s="13">
        <f t="shared" si="29"/>
        <v>104663.63636363635</v>
      </c>
      <c r="P55" s="16">
        <v>0.47589999999999999</v>
      </c>
      <c r="Q55" s="17">
        <f t="shared" si="30"/>
        <v>791717.5</v>
      </c>
      <c r="R55" s="17">
        <f t="shared" si="31"/>
        <v>91717.5</v>
      </c>
      <c r="S55" s="18">
        <f t="shared" si="32"/>
        <v>-83282.5</v>
      </c>
    </row>
    <row r="56" spans="1:20" ht="15.75" customHeight="1" x14ac:dyDescent="0.35">
      <c r="A56" s="19">
        <v>46</v>
      </c>
      <c r="B56" s="19" t="s">
        <v>91</v>
      </c>
      <c r="C56" s="3" t="s">
        <v>92</v>
      </c>
      <c r="D56" s="2" t="s">
        <v>101</v>
      </c>
      <c r="E56" s="10">
        <v>367</v>
      </c>
      <c r="F56" s="10">
        <v>700000</v>
      </c>
      <c r="G56" s="11">
        <v>0.25</v>
      </c>
      <c r="H56" s="12">
        <f t="shared" si="22"/>
        <v>875000</v>
      </c>
      <c r="I56" s="13">
        <f t="shared" si="23"/>
        <v>175000</v>
      </c>
      <c r="J56" s="14">
        <f t="shared" si="24"/>
        <v>0.25</v>
      </c>
      <c r="K56" s="13">
        <f t="shared" si="25"/>
        <v>1907.3569482288829</v>
      </c>
      <c r="L56" s="13">
        <f t="shared" si="26"/>
        <v>2384.1961852861036</v>
      </c>
      <c r="M56" s="13">
        <f t="shared" si="27"/>
        <v>476.83923705722077</v>
      </c>
      <c r="N56" s="15">
        <f t="shared" si="28"/>
        <v>166.81818181818181</v>
      </c>
      <c r="O56" s="13">
        <f t="shared" si="29"/>
        <v>96754.545454545456</v>
      </c>
      <c r="P56" s="16">
        <v>0.47589999999999999</v>
      </c>
      <c r="Q56" s="17">
        <f t="shared" si="30"/>
        <v>791717.5</v>
      </c>
      <c r="R56" s="17">
        <f t="shared" si="31"/>
        <v>91717.5</v>
      </c>
      <c r="S56" s="18">
        <f t="shared" si="32"/>
        <v>-83282.5</v>
      </c>
    </row>
    <row r="57" spans="1:20" ht="15.75" customHeight="1" x14ac:dyDescent="0.35">
      <c r="A57" s="9">
        <v>47</v>
      </c>
      <c r="B57" s="9" t="s">
        <v>91</v>
      </c>
      <c r="C57" s="5" t="s">
        <v>92</v>
      </c>
      <c r="D57" s="4" t="s">
        <v>102</v>
      </c>
      <c r="E57" s="10">
        <v>347</v>
      </c>
      <c r="F57" s="10">
        <v>700000</v>
      </c>
      <c r="G57" s="11">
        <v>0.25</v>
      </c>
      <c r="H57" s="12">
        <f t="shared" si="22"/>
        <v>875000</v>
      </c>
      <c r="I57" s="13">
        <f t="shared" si="23"/>
        <v>175000</v>
      </c>
      <c r="J57" s="14">
        <f t="shared" si="24"/>
        <v>0.25</v>
      </c>
      <c r="K57" s="13">
        <f t="shared" si="25"/>
        <v>2017.2910662824208</v>
      </c>
      <c r="L57" s="13">
        <f t="shared" si="26"/>
        <v>2521.613832853026</v>
      </c>
      <c r="M57" s="13">
        <f t="shared" si="27"/>
        <v>504.32276657060515</v>
      </c>
      <c r="N57" s="15">
        <f t="shared" si="28"/>
        <v>157.72727272727272</v>
      </c>
      <c r="O57" s="13">
        <f t="shared" si="29"/>
        <v>91481.818181818177</v>
      </c>
      <c r="P57" s="16">
        <v>0.20860000000000001</v>
      </c>
      <c r="Q57" s="17">
        <f t="shared" si="30"/>
        <v>838495</v>
      </c>
      <c r="R57" s="17">
        <f t="shared" si="31"/>
        <v>138495</v>
      </c>
      <c r="S57" s="18">
        <f t="shared" si="32"/>
        <v>-36505</v>
      </c>
    </row>
    <row r="58" spans="1:20" ht="15.75" customHeight="1" x14ac:dyDescent="0.35">
      <c r="A58" s="19">
        <v>48</v>
      </c>
      <c r="B58" s="19" t="s">
        <v>91</v>
      </c>
      <c r="C58" s="3" t="s">
        <v>92</v>
      </c>
      <c r="D58" s="2" t="s">
        <v>103</v>
      </c>
      <c r="E58" s="10">
        <v>426</v>
      </c>
      <c r="F58" s="10">
        <v>700000</v>
      </c>
      <c r="G58" s="11">
        <v>0.25</v>
      </c>
      <c r="H58" s="12">
        <f t="shared" si="22"/>
        <v>875000</v>
      </c>
      <c r="I58" s="13">
        <f t="shared" si="23"/>
        <v>175000</v>
      </c>
      <c r="J58" s="14">
        <f t="shared" si="24"/>
        <v>0.25</v>
      </c>
      <c r="K58" s="13">
        <f t="shared" si="25"/>
        <v>1643.1924882629107</v>
      </c>
      <c r="L58" s="13">
        <f t="shared" si="26"/>
        <v>2053.9906103286385</v>
      </c>
      <c r="M58" s="13">
        <f t="shared" si="27"/>
        <v>410.79812206572774</v>
      </c>
      <c r="N58" s="15">
        <f t="shared" si="28"/>
        <v>193.63636363636363</v>
      </c>
      <c r="O58" s="13">
        <f t="shared" si="29"/>
        <v>112309.0909090909</v>
      </c>
      <c r="P58" s="16">
        <v>0.47589999999999999</v>
      </c>
      <c r="Q58" s="17">
        <f t="shared" si="30"/>
        <v>791717.5</v>
      </c>
      <c r="R58" s="17">
        <f t="shared" si="31"/>
        <v>91717.5</v>
      </c>
      <c r="S58" s="18">
        <f t="shared" si="32"/>
        <v>-83282.5</v>
      </c>
    </row>
    <row r="59" spans="1:20" ht="15.75" customHeight="1" x14ac:dyDescent="0.35">
      <c r="A59" s="9">
        <v>49</v>
      </c>
      <c r="B59" s="9" t="s">
        <v>91</v>
      </c>
      <c r="C59" s="5" t="s">
        <v>92</v>
      </c>
      <c r="D59" s="4" t="s">
        <v>104</v>
      </c>
      <c r="E59" s="10">
        <v>327</v>
      </c>
      <c r="F59" s="10">
        <v>700000</v>
      </c>
      <c r="G59" s="11">
        <v>0.25</v>
      </c>
      <c r="H59" s="12">
        <f t="shared" si="22"/>
        <v>875000</v>
      </c>
      <c r="I59" s="13">
        <f t="shared" si="23"/>
        <v>175000</v>
      </c>
      <c r="J59" s="14">
        <f t="shared" si="24"/>
        <v>0.25</v>
      </c>
      <c r="K59" s="13">
        <f t="shared" si="25"/>
        <v>2140.672782874618</v>
      </c>
      <c r="L59" s="13">
        <f t="shared" si="26"/>
        <v>2675.8409785932722</v>
      </c>
      <c r="M59" s="13">
        <f t="shared" si="27"/>
        <v>535.16819571865426</v>
      </c>
      <c r="N59" s="15">
        <f t="shared" si="28"/>
        <v>148.63636363636363</v>
      </c>
      <c r="O59" s="13">
        <f t="shared" si="29"/>
        <v>86209.090909090897</v>
      </c>
      <c r="P59" s="16">
        <v>0.47589999999999999</v>
      </c>
      <c r="Q59" s="17">
        <f t="shared" si="30"/>
        <v>791717.5</v>
      </c>
      <c r="R59" s="17">
        <f t="shared" si="31"/>
        <v>91717.5</v>
      </c>
      <c r="S59" s="18">
        <f t="shared" si="32"/>
        <v>-83282.5</v>
      </c>
    </row>
    <row r="60" spans="1:20" ht="15.75" customHeight="1" x14ac:dyDescent="0.35">
      <c r="A60" s="19">
        <v>50</v>
      </c>
      <c r="B60" s="19" t="s">
        <v>91</v>
      </c>
      <c r="C60" s="3" t="s">
        <v>92</v>
      </c>
      <c r="D60" s="2" t="s">
        <v>105</v>
      </c>
      <c r="E60" s="10">
        <v>309</v>
      </c>
      <c r="F60" s="10">
        <v>700000</v>
      </c>
      <c r="G60" s="11">
        <v>0.25</v>
      </c>
      <c r="H60" s="12">
        <f t="shared" si="22"/>
        <v>875000</v>
      </c>
      <c r="I60" s="13">
        <f t="shared" si="23"/>
        <v>175000</v>
      </c>
      <c r="J60" s="14">
        <f t="shared" si="24"/>
        <v>0.25</v>
      </c>
      <c r="K60" s="13">
        <f t="shared" si="25"/>
        <v>2265.3721682847895</v>
      </c>
      <c r="L60" s="13">
        <f t="shared" si="26"/>
        <v>2831.715210355987</v>
      </c>
      <c r="M60" s="13">
        <f t="shared" si="27"/>
        <v>566.34304207119749</v>
      </c>
      <c r="N60" s="15">
        <f t="shared" si="28"/>
        <v>140.45454545454544</v>
      </c>
      <c r="O60" s="13">
        <f t="shared" si="29"/>
        <v>81463.636363636353</v>
      </c>
      <c r="P60" s="16">
        <v>0.47589999999999999</v>
      </c>
      <c r="Q60" s="17">
        <f t="shared" si="30"/>
        <v>791717.5</v>
      </c>
      <c r="R60" s="17">
        <f t="shared" si="31"/>
        <v>91717.5</v>
      </c>
      <c r="S60" s="18">
        <f t="shared" si="32"/>
        <v>-83282.5</v>
      </c>
    </row>
    <row r="61" spans="1:20" ht="15.75" customHeight="1" x14ac:dyDescent="0.35">
      <c r="A61" s="9">
        <v>51</v>
      </c>
      <c r="B61" s="9" t="s">
        <v>91</v>
      </c>
      <c r="C61" s="5" t="s">
        <v>92</v>
      </c>
      <c r="D61" s="4" t="s">
        <v>106</v>
      </c>
      <c r="E61" s="10">
        <v>291</v>
      </c>
      <c r="F61" s="10">
        <v>700000</v>
      </c>
      <c r="G61" s="11">
        <v>0.25</v>
      </c>
      <c r="H61" s="12">
        <f t="shared" si="22"/>
        <v>875000</v>
      </c>
      <c r="I61" s="13">
        <f t="shared" si="23"/>
        <v>175000</v>
      </c>
      <c r="J61" s="14">
        <f t="shared" si="24"/>
        <v>0.25</v>
      </c>
      <c r="K61" s="13">
        <f t="shared" si="25"/>
        <v>2405.4982817869418</v>
      </c>
      <c r="L61" s="13">
        <f t="shared" si="26"/>
        <v>3006.8728522336769</v>
      </c>
      <c r="M61" s="13">
        <f t="shared" si="27"/>
        <v>601.37457044673511</v>
      </c>
      <c r="N61" s="15">
        <f t="shared" si="28"/>
        <v>132.27272727272725</v>
      </c>
      <c r="O61" s="13">
        <f t="shared" si="29"/>
        <v>76718.181818181809</v>
      </c>
      <c r="P61" s="16">
        <v>0.47589999999999999</v>
      </c>
      <c r="Q61" s="17">
        <f t="shared" si="30"/>
        <v>791717.5</v>
      </c>
      <c r="R61" s="17">
        <f t="shared" si="31"/>
        <v>91717.5</v>
      </c>
      <c r="S61" s="18">
        <f t="shared" si="32"/>
        <v>-83282.5</v>
      </c>
    </row>
    <row r="62" spans="1:20" ht="15.75" customHeight="1" x14ac:dyDescent="0.35">
      <c r="A62" s="19">
        <v>52</v>
      </c>
      <c r="B62" s="19" t="s">
        <v>91</v>
      </c>
      <c r="C62" s="3" t="s">
        <v>92</v>
      </c>
      <c r="D62" s="2" t="s">
        <v>107</v>
      </c>
      <c r="E62" s="10">
        <v>341</v>
      </c>
      <c r="F62" s="10">
        <v>700000</v>
      </c>
      <c r="G62" s="11">
        <v>0.25</v>
      </c>
      <c r="H62" s="12">
        <f t="shared" si="22"/>
        <v>875000</v>
      </c>
      <c r="I62" s="13">
        <f t="shared" si="23"/>
        <v>175000</v>
      </c>
      <c r="J62" s="14">
        <f t="shared" si="24"/>
        <v>0.25</v>
      </c>
      <c r="K62" s="13">
        <f t="shared" si="25"/>
        <v>2052.7859237536659</v>
      </c>
      <c r="L62" s="13">
        <f t="shared" si="26"/>
        <v>2565.9824046920821</v>
      </c>
      <c r="M62" s="13">
        <f t="shared" si="27"/>
        <v>513.19648093841624</v>
      </c>
      <c r="N62" s="15">
        <f t="shared" si="28"/>
        <v>155</v>
      </c>
      <c r="O62" s="13">
        <f t="shared" si="29"/>
        <v>89900</v>
      </c>
      <c r="P62" s="16">
        <v>0.47589999999999999</v>
      </c>
      <c r="Q62" s="17">
        <f t="shared" si="30"/>
        <v>791717.5</v>
      </c>
      <c r="R62" s="17">
        <f t="shared" si="31"/>
        <v>91717.5</v>
      </c>
      <c r="S62" s="18">
        <f t="shared" si="32"/>
        <v>-83282.5</v>
      </c>
    </row>
    <row r="63" spans="1:20" ht="15.75" customHeight="1" x14ac:dyDescent="0.35">
      <c r="A63" s="9">
        <v>53</v>
      </c>
      <c r="B63" s="9" t="s">
        <v>91</v>
      </c>
      <c r="C63" s="5" t="s">
        <v>92</v>
      </c>
      <c r="D63" s="4" t="s">
        <v>108</v>
      </c>
      <c r="E63" s="10">
        <v>326</v>
      </c>
      <c r="F63" s="10">
        <v>700000</v>
      </c>
      <c r="G63" s="11">
        <v>0.25</v>
      </c>
      <c r="H63" s="12">
        <f t="shared" si="22"/>
        <v>875000</v>
      </c>
      <c r="I63" s="13">
        <f t="shared" si="23"/>
        <v>175000</v>
      </c>
      <c r="J63" s="14">
        <f t="shared" si="24"/>
        <v>0.25</v>
      </c>
      <c r="K63" s="13">
        <f t="shared" si="25"/>
        <v>2147.2392638036808</v>
      </c>
      <c r="L63" s="13">
        <f t="shared" si="26"/>
        <v>2684.0490797546013</v>
      </c>
      <c r="M63" s="13">
        <f t="shared" si="27"/>
        <v>536.80981595092044</v>
      </c>
      <c r="N63" s="15">
        <f t="shared" si="28"/>
        <v>148.18181818181816</v>
      </c>
      <c r="O63" s="13">
        <f t="shared" si="29"/>
        <v>85945.45454545453</v>
      </c>
      <c r="P63" s="16">
        <v>0.47589999999999999</v>
      </c>
      <c r="Q63" s="17">
        <f t="shared" si="30"/>
        <v>791717.5</v>
      </c>
      <c r="R63" s="17">
        <f t="shared" si="31"/>
        <v>91717.5</v>
      </c>
      <c r="S63" s="18">
        <f t="shared" si="32"/>
        <v>-83282.5</v>
      </c>
    </row>
    <row r="64" spans="1:20" ht="15.75" customHeight="1" x14ac:dyDescent="0.35">
      <c r="A64" s="19">
        <v>54</v>
      </c>
      <c r="B64" s="19" t="s">
        <v>91</v>
      </c>
      <c r="C64" s="3" t="s">
        <v>92</v>
      </c>
      <c r="D64" s="2" t="s">
        <v>109</v>
      </c>
      <c r="E64" s="10">
        <v>335</v>
      </c>
      <c r="F64" s="10">
        <v>700000</v>
      </c>
      <c r="G64" s="11">
        <v>0.25</v>
      </c>
      <c r="H64" s="12">
        <f t="shared" si="22"/>
        <v>875000</v>
      </c>
      <c r="I64" s="13">
        <f t="shared" si="23"/>
        <v>175000</v>
      </c>
      <c r="J64" s="14">
        <f t="shared" si="24"/>
        <v>0.25</v>
      </c>
      <c r="K64" s="13">
        <f t="shared" si="25"/>
        <v>2089.5522388059703</v>
      </c>
      <c r="L64" s="13">
        <f t="shared" si="26"/>
        <v>2611.9402985074626</v>
      </c>
      <c r="M64" s="13">
        <f t="shared" si="27"/>
        <v>522.38805970149224</v>
      </c>
      <c r="N64" s="15">
        <f t="shared" si="28"/>
        <v>152.27272727272725</v>
      </c>
      <c r="O64" s="13">
        <f t="shared" si="29"/>
        <v>88318.181818181809</v>
      </c>
      <c r="P64" s="16">
        <v>0.47589999999999999</v>
      </c>
      <c r="Q64" s="17">
        <f t="shared" si="30"/>
        <v>791717.5</v>
      </c>
      <c r="R64" s="17">
        <f t="shared" si="31"/>
        <v>91717.5</v>
      </c>
      <c r="S64" s="18">
        <f t="shared" si="32"/>
        <v>-83282.5</v>
      </c>
    </row>
    <row r="65" spans="1:19" ht="15.75" customHeight="1" x14ac:dyDescent="0.35">
      <c r="A65" s="9">
        <v>55</v>
      </c>
      <c r="B65" s="9" t="s">
        <v>91</v>
      </c>
      <c r="C65" s="5" t="s">
        <v>92</v>
      </c>
      <c r="D65" s="4" t="s">
        <v>110</v>
      </c>
      <c r="E65" s="10">
        <v>368</v>
      </c>
      <c r="F65" s="10">
        <v>700000</v>
      </c>
      <c r="G65" s="11">
        <v>0.25</v>
      </c>
      <c r="H65" s="12">
        <f t="shared" si="22"/>
        <v>875000</v>
      </c>
      <c r="I65" s="13">
        <f t="shared" si="23"/>
        <v>175000</v>
      </c>
      <c r="J65" s="14">
        <f t="shared" si="24"/>
        <v>0.25</v>
      </c>
      <c r="K65" s="13">
        <f t="shared" si="25"/>
        <v>1902.1739130434783</v>
      </c>
      <c r="L65" s="13">
        <f t="shared" si="26"/>
        <v>2377.717391304348</v>
      </c>
      <c r="M65" s="13">
        <f t="shared" si="27"/>
        <v>475.54347826086973</v>
      </c>
      <c r="N65" s="15">
        <f t="shared" si="28"/>
        <v>167.27272727272725</v>
      </c>
      <c r="O65" s="13">
        <f t="shared" si="29"/>
        <v>97018.181818181809</v>
      </c>
      <c r="P65" s="16">
        <v>0.47589999999999999</v>
      </c>
      <c r="Q65" s="17">
        <f t="shared" si="30"/>
        <v>791717.5</v>
      </c>
      <c r="R65" s="17">
        <f t="shared" si="31"/>
        <v>91717.5</v>
      </c>
      <c r="S65" s="18">
        <f t="shared" si="32"/>
        <v>-83282.5</v>
      </c>
    </row>
    <row r="66" spans="1:19" ht="15.75" customHeight="1" x14ac:dyDescent="0.35">
      <c r="A66" s="19">
        <v>56</v>
      </c>
      <c r="B66" s="19" t="s">
        <v>91</v>
      </c>
      <c r="C66" s="3" t="s">
        <v>92</v>
      </c>
      <c r="D66" s="2" t="s">
        <v>111</v>
      </c>
      <c r="E66" s="10">
        <v>405</v>
      </c>
      <c r="F66" s="10">
        <v>700000</v>
      </c>
      <c r="G66" s="11">
        <v>0.25</v>
      </c>
      <c r="H66" s="12">
        <f t="shared" si="22"/>
        <v>875000</v>
      </c>
      <c r="I66" s="13">
        <f t="shared" si="23"/>
        <v>175000</v>
      </c>
      <c r="J66" s="14">
        <f t="shared" si="24"/>
        <v>0.25</v>
      </c>
      <c r="K66" s="13">
        <f t="shared" si="25"/>
        <v>1728.3950617283951</v>
      </c>
      <c r="L66" s="13">
        <f t="shared" si="26"/>
        <v>2160.4938271604938</v>
      </c>
      <c r="M66" s="13">
        <f t="shared" si="27"/>
        <v>432.09876543209862</v>
      </c>
      <c r="N66" s="15">
        <f t="shared" si="28"/>
        <v>184.09090909090907</v>
      </c>
      <c r="O66" s="13">
        <f t="shared" si="29"/>
        <v>106772.72727272726</v>
      </c>
      <c r="P66" s="16">
        <v>0.47589999999999999</v>
      </c>
      <c r="Q66" s="17">
        <f t="shared" si="30"/>
        <v>791717.5</v>
      </c>
      <c r="R66" s="17">
        <f t="shared" si="31"/>
        <v>91717.5</v>
      </c>
      <c r="S66" s="18">
        <f t="shared" si="32"/>
        <v>-83282.5</v>
      </c>
    </row>
    <row r="67" spans="1:19" ht="15.75" customHeight="1" x14ac:dyDescent="0.35">
      <c r="A67" s="9">
        <v>57</v>
      </c>
      <c r="B67" s="9" t="s">
        <v>91</v>
      </c>
      <c r="C67" s="5" t="s">
        <v>92</v>
      </c>
      <c r="D67" s="4" t="s">
        <v>112</v>
      </c>
      <c r="E67" s="10">
        <v>373</v>
      </c>
      <c r="F67" s="10">
        <v>700000</v>
      </c>
      <c r="G67" s="11">
        <v>0.25</v>
      </c>
      <c r="H67" s="12">
        <f t="shared" si="22"/>
        <v>875000</v>
      </c>
      <c r="I67" s="13">
        <f t="shared" si="23"/>
        <v>175000</v>
      </c>
      <c r="J67" s="14">
        <f t="shared" si="24"/>
        <v>0.25</v>
      </c>
      <c r="K67" s="13">
        <f t="shared" si="25"/>
        <v>1876.6756032171581</v>
      </c>
      <c r="L67" s="13">
        <f t="shared" si="26"/>
        <v>2345.8445040214478</v>
      </c>
      <c r="M67" s="13">
        <f t="shared" si="27"/>
        <v>469.16890080428971</v>
      </c>
      <c r="N67" s="15">
        <f t="shared" si="28"/>
        <v>169.54545454545453</v>
      </c>
      <c r="O67" s="13">
        <f t="shared" si="29"/>
        <v>98336.363636363632</v>
      </c>
      <c r="P67" s="16">
        <v>0.47589999999999999</v>
      </c>
      <c r="Q67" s="17">
        <f t="shared" si="30"/>
        <v>791717.5</v>
      </c>
      <c r="R67" s="17">
        <f t="shared" si="31"/>
        <v>91717.5</v>
      </c>
      <c r="S67" s="18">
        <f t="shared" si="32"/>
        <v>-83282.5</v>
      </c>
    </row>
    <row r="68" spans="1:19" ht="15.75" customHeight="1" x14ac:dyDescent="0.35">
      <c r="A68" s="19">
        <v>58</v>
      </c>
      <c r="B68" s="19" t="s">
        <v>91</v>
      </c>
      <c r="C68" s="3" t="s">
        <v>92</v>
      </c>
      <c r="D68" s="2" t="s">
        <v>113</v>
      </c>
      <c r="E68" s="10">
        <v>388</v>
      </c>
      <c r="F68" s="10">
        <v>700000</v>
      </c>
      <c r="G68" s="11">
        <v>0.25</v>
      </c>
      <c r="H68" s="12">
        <f t="shared" si="22"/>
        <v>875000</v>
      </c>
      <c r="I68" s="13">
        <f t="shared" si="23"/>
        <v>175000</v>
      </c>
      <c r="J68" s="14">
        <f t="shared" si="24"/>
        <v>0.25</v>
      </c>
      <c r="K68" s="13">
        <f t="shared" si="25"/>
        <v>1804.1237113402062</v>
      </c>
      <c r="L68" s="13">
        <f t="shared" si="26"/>
        <v>2255.1546391752577</v>
      </c>
      <c r="M68" s="13">
        <f t="shared" si="27"/>
        <v>451.03092783505144</v>
      </c>
      <c r="N68" s="15">
        <f t="shared" si="28"/>
        <v>176.36363636363635</v>
      </c>
      <c r="O68" s="13">
        <f t="shared" si="29"/>
        <v>102290.90909090907</v>
      </c>
      <c r="P68" s="16">
        <v>0.47589999999999999</v>
      </c>
      <c r="Q68" s="17">
        <f t="shared" si="30"/>
        <v>791717.5</v>
      </c>
      <c r="R68" s="17">
        <f t="shared" si="31"/>
        <v>91717.5</v>
      </c>
      <c r="S68" s="18">
        <f t="shared" si="32"/>
        <v>-83282.5</v>
      </c>
    </row>
    <row r="69" spans="1:19" ht="15.75" customHeight="1" x14ac:dyDescent="0.35">
      <c r="A69" s="9">
        <v>59</v>
      </c>
      <c r="B69" s="9" t="s">
        <v>91</v>
      </c>
      <c r="C69" s="5" t="s">
        <v>92</v>
      </c>
      <c r="D69" s="4" t="s">
        <v>114</v>
      </c>
      <c r="E69" s="10">
        <v>381</v>
      </c>
      <c r="F69" s="10">
        <v>700000</v>
      </c>
      <c r="G69" s="11">
        <v>0.25</v>
      </c>
      <c r="H69" s="12">
        <f t="shared" si="22"/>
        <v>875000</v>
      </c>
      <c r="I69" s="13">
        <f t="shared" si="23"/>
        <v>175000</v>
      </c>
      <c r="J69" s="14">
        <f t="shared" si="24"/>
        <v>0.25</v>
      </c>
      <c r="K69" s="13">
        <f t="shared" si="25"/>
        <v>1837.270341207349</v>
      </c>
      <c r="L69" s="13">
        <f t="shared" si="26"/>
        <v>2296.5879265091862</v>
      </c>
      <c r="M69" s="13">
        <f t="shared" si="27"/>
        <v>459.3175853018372</v>
      </c>
      <c r="N69" s="15">
        <f t="shared" si="28"/>
        <v>173.18181818181816</v>
      </c>
      <c r="O69" s="13">
        <f t="shared" si="29"/>
        <v>100445.45454545453</v>
      </c>
      <c r="P69" s="16">
        <v>0.47589999999999999</v>
      </c>
      <c r="Q69" s="17">
        <f t="shared" si="30"/>
        <v>791717.5</v>
      </c>
      <c r="R69" s="17">
        <f t="shared" si="31"/>
        <v>91717.5</v>
      </c>
      <c r="S69" s="18">
        <f t="shared" si="32"/>
        <v>-83282.5</v>
      </c>
    </row>
    <row r="70" spans="1:19" ht="15.75" customHeight="1" x14ac:dyDescent="0.35">
      <c r="A70" s="19">
        <v>60</v>
      </c>
      <c r="B70" s="19" t="s">
        <v>91</v>
      </c>
      <c r="C70" s="3" t="s">
        <v>92</v>
      </c>
      <c r="D70" s="2" t="s">
        <v>115</v>
      </c>
      <c r="E70" s="10">
        <v>351</v>
      </c>
      <c r="F70" s="10">
        <v>700000</v>
      </c>
      <c r="G70" s="11">
        <v>0.25</v>
      </c>
      <c r="H70" s="12">
        <f t="shared" si="22"/>
        <v>875000</v>
      </c>
      <c r="I70" s="13">
        <f t="shared" si="23"/>
        <v>175000</v>
      </c>
      <c r="J70" s="14">
        <f t="shared" si="24"/>
        <v>0.25</v>
      </c>
      <c r="K70" s="13">
        <f t="shared" si="25"/>
        <v>1994.3019943019942</v>
      </c>
      <c r="L70" s="13">
        <f t="shared" si="26"/>
        <v>2492.8774928774928</v>
      </c>
      <c r="M70" s="13">
        <f t="shared" si="27"/>
        <v>498.57549857549861</v>
      </c>
      <c r="N70" s="15">
        <f t="shared" si="28"/>
        <v>159.54545454545453</v>
      </c>
      <c r="O70" s="13">
        <f t="shared" si="29"/>
        <v>92536.363636363632</v>
      </c>
      <c r="P70" s="16">
        <v>0.47589999999999999</v>
      </c>
      <c r="Q70" s="17">
        <f t="shared" si="30"/>
        <v>791717.5</v>
      </c>
      <c r="R70" s="17">
        <f t="shared" si="31"/>
        <v>91717.5</v>
      </c>
      <c r="S70" s="18">
        <f t="shared" si="32"/>
        <v>-83282.5</v>
      </c>
    </row>
    <row r="71" spans="1:19" ht="15.75" customHeight="1" x14ac:dyDescent="0.35">
      <c r="A71" s="9">
        <v>61</v>
      </c>
      <c r="B71" s="9" t="s">
        <v>91</v>
      </c>
      <c r="C71" s="5" t="s">
        <v>92</v>
      </c>
      <c r="D71" s="4" t="s">
        <v>116</v>
      </c>
      <c r="E71" s="10">
        <v>349</v>
      </c>
      <c r="F71" s="10">
        <v>700000</v>
      </c>
      <c r="G71" s="11">
        <v>0.25</v>
      </c>
      <c r="H71" s="12">
        <f t="shared" si="22"/>
        <v>875000</v>
      </c>
      <c r="I71" s="13">
        <f t="shared" si="23"/>
        <v>175000</v>
      </c>
      <c r="J71" s="14">
        <f t="shared" si="24"/>
        <v>0.25</v>
      </c>
      <c r="K71" s="13">
        <f t="shared" si="25"/>
        <v>2005.7306590257879</v>
      </c>
      <c r="L71" s="13">
        <f t="shared" si="26"/>
        <v>2507.1633237822348</v>
      </c>
      <c r="M71" s="13">
        <f t="shared" si="27"/>
        <v>501.43266475644691</v>
      </c>
      <c r="N71" s="15">
        <f t="shared" si="28"/>
        <v>158.63636363636363</v>
      </c>
      <c r="O71" s="13">
        <f t="shared" si="29"/>
        <v>92009.090909090897</v>
      </c>
      <c r="P71" s="16">
        <v>0.47589999999999999</v>
      </c>
      <c r="Q71" s="17">
        <f t="shared" si="30"/>
        <v>791717.5</v>
      </c>
      <c r="R71" s="17">
        <f t="shared" si="31"/>
        <v>91717.5</v>
      </c>
      <c r="S71" s="18">
        <f t="shared" si="32"/>
        <v>-83282.5</v>
      </c>
    </row>
    <row r="72" spans="1:19" ht="15.75" customHeight="1" x14ac:dyDescent="0.35">
      <c r="A72" s="19">
        <v>62</v>
      </c>
      <c r="B72" s="19" t="s">
        <v>91</v>
      </c>
      <c r="C72" s="3" t="s">
        <v>92</v>
      </c>
      <c r="D72" s="2" t="s">
        <v>117</v>
      </c>
      <c r="E72" s="10">
        <v>310</v>
      </c>
      <c r="F72" s="10">
        <v>700000</v>
      </c>
      <c r="G72" s="11">
        <v>0.25</v>
      </c>
      <c r="H72" s="12">
        <f t="shared" si="22"/>
        <v>875000</v>
      </c>
      <c r="I72" s="13">
        <f t="shared" si="23"/>
        <v>175000</v>
      </c>
      <c r="J72" s="14">
        <f t="shared" si="24"/>
        <v>0.25</v>
      </c>
      <c r="K72" s="13">
        <f t="shared" si="25"/>
        <v>2258.0645161290322</v>
      </c>
      <c r="L72" s="13">
        <f t="shared" si="26"/>
        <v>2822.5806451612902</v>
      </c>
      <c r="M72" s="13">
        <f t="shared" si="27"/>
        <v>564.51612903225805</v>
      </c>
      <c r="N72" s="15">
        <f t="shared" si="28"/>
        <v>140.90909090909091</v>
      </c>
      <c r="O72" s="13">
        <f t="shared" si="29"/>
        <v>81727.272727272721</v>
      </c>
      <c r="P72" s="16">
        <v>0.47589999999999999</v>
      </c>
      <c r="Q72" s="17">
        <f t="shared" si="30"/>
        <v>791717.5</v>
      </c>
      <c r="R72" s="17">
        <f t="shared" si="31"/>
        <v>91717.5</v>
      </c>
      <c r="S72" s="18">
        <f t="shared" si="32"/>
        <v>-83282.5</v>
      </c>
    </row>
    <row r="73" spans="1:19" ht="18" customHeight="1" x14ac:dyDescent="0.35">
      <c r="A73" s="25" t="s">
        <v>118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7"/>
    </row>
    <row r="74" spans="1:19" ht="15.75" customHeight="1" x14ac:dyDescent="0.35">
      <c r="A74" s="19">
        <v>63</v>
      </c>
      <c r="B74" s="19" t="s">
        <v>119</v>
      </c>
      <c r="C74" s="3" t="s">
        <v>120</v>
      </c>
      <c r="D74" s="2" t="s">
        <v>121</v>
      </c>
      <c r="E74" s="10">
        <v>134</v>
      </c>
      <c r="F74" s="10">
        <v>650000</v>
      </c>
      <c r="G74" s="11">
        <v>0.25</v>
      </c>
      <c r="H74" s="12">
        <f t="shared" ref="H74:H95" si="33">F74*(1+G74)</f>
        <v>812500</v>
      </c>
      <c r="I74" s="13">
        <f t="shared" ref="I74:I95" si="34">H74-F74</f>
        <v>162500</v>
      </c>
      <c r="J74" s="14">
        <f t="shared" ref="J74:J95" si="35">I74/F74</f>
        <v>0.25</v>
      </c>
      <c r="K74" s="13">
        <f t="shared" ref="K74:K95" si="36">F74/E74</f>
        <v>4850.746268656716</v>
      </c>
      <c r="L74" s="13">
        <f t="shared" ref="L74:L95" si="37">H74/E74</f>
        <v>6063.4328358208959</v>
      </c>
      <c r="M74" s="13">
        <f t="shared" ref="M74:M95" si="38">L74-K74</f>
        <v>1212.6865671641799</v>
      </c>
      <c r="N74" s="15">
        <f t="shared" ref="N74:N95" si="39">E74/2.2</f>
        <v>60.909090909090907</v>
      </c>
      <c r="O74" s="13">
        <f t="shared" ref="O74:O95" si="40">N74*580</f>
        <v>35327.272727272728</v>
      </c>
      <c r="P74" s="16">
        <v>0.47589999999999999</v>
      </c>
      <c r="Q74" s="17">
        <f t="shared" ref="Q74:Q95" si="41">+F74+R74</f>
        <v>735166.25</v>
      </c>
      <c r="R74" s="17">
        <f t="shared" ref="R74:R95" si="42">I74*(1-P74)</f>
        <v>85166.25</v>
      </c>
      <c r="S74" s="18">
        <f t="shared" ref="S74:S95" si="43">+Q74-H74</f>
        <v>-77333.75</v>
      </c>
    </row>
    <row r="75" spans="1:19" ht="15.75" customHeight="1" x14ac:dyDescent="0.35">
      <c r="A75" s="9">
        <v>64</v>
      </c>
      <c r="B75" s="9" t="s">
        <v>119</v>
      </c>
      <c r="C75" s="5" t="s">
        <v>120</v>
      </c>
      <c r="D75" s="4" t="s">
        <v>122</v>
      </c>
      <c r="E75" s="10">
        <v>184</v>
      </c>
      <c r="F75" s="10">
        <v>650000</v>
      </c>
      <c r="G75" s="11">
        <v>0.25</v>
      </c>
      <c r="H75" s="12">
        <f t="shared" si="33"/>
        <v>812500</v>
      </c>
      <c r="I75" s="13">
        <f t="shared" si="34"/>
        <v>162500</v>
      </c>
      <c r="J75" s="14">
        <f t="shared" si="35"/>
        <v>0.25</v>
      </c>
      <c r="K75" s="13">
        <f t="shared" si="36"/>
        <v>3532.608695652174</v>
      </c>
      <c r="L75" s="13">
        <f t="shared" si="37"/>
        <v>4415.760869565217</v>
      </c>
      <c r="M75" s="13">
        <f t="shared" si="38"/>
        <v>883.15217391304304</v>
      </c>
      <c r="N75" s="15">
        <f t="shared" si="39"/>
        <v>83.636363636363626</v>
      </c>
      <c r="O75" s="13">
        <f t="shared" si="40"/>
        <v>48509.090909090904</v>
      </c>
      <c r="P75" s="16">
        <v>0.47589999999999999</v>
      </c>
      <c r="Q75" s="17">
        <f t="shared" si="41"/>
        <v>735166.25</v>
      </c>
      <c r="R75" s="17">
        <f t="shared" si="42"/>
        <v>85166.25</v>
      </c>
      <c r="S75" s="18">
        <f t="shared" si="43"/>
        <v>-77333.75</v>
      </c>
    </row>
    <row r="76" spans="1:19" ht="15.75" customHeight="1" x14ac:dyDescent="0.35">
      <c r="A76" s="19">
        <v>65</v>
      </c>
      <c r="B76" s="19" t="s">
        <v>119</v>
      </c>
      <c r="C76" s="3" t="s">
        <v>120</v>
      </c>
      <c r="D76" s="2" t="s">
        <v>123</v>
      </c>
      <c r="E76" s="10">
        <v>249</v>
      </c>
      <c r="F76" s="10">
        <v>650000</v>
      </c>
      <c r="G76" s="11">
        <v>0.25</v>
      </c>
      <c r="H76" s="12">
        <f t="shared" si="33"/>
        <v>812500</v>
      </c>
      <c r="I76" s="13">
        <f t="shared" si="34"/>
        <v>162500</v>
      </c>
      <c r="J76" s="14">
        <f t="shared" si="35"/>
        <v>0.25</v>
      </c>
      <c r="K76" s="13">
        <f t="shared" si="36"/>
        <v>2610.4417670682733</v>
      </c>
      <c r="L76" s="13">
        <f t="shared" si="37"/>
        <v>3263.0522088353414</v>
      </c>
      <c r="M76" s="13">
        <f t="shared" si="38"/>
        <v>652.6104417670681</v>
      </c>
      <c r="N76" s="15">
        <f t="shared" si="39"/>
        <v>113.18181818181817</v>
      </c>
      <c r="O76" s="13">
        <f t="shared" si="40"/>
        <v>65645.454545454544</v>
      </c>
      <c r="P76" s="16">
        <v>0.47589999999999999</v>
      </c>
      <c r="Q76" s="17">
        <f t="shared" si="41"/>
        <v>735166.25</v>
      </c>
      <c r="R76" s="17">
        <f t="shared" si="42"/>
        <v>85166.25</v>
      </c>
      <c r="S76" s="18">
        <f t="shared" si="43"/>
        <v>-77333.75</v>
      </c>
    </row>
    <row r="77" spans="1:19" ht="15.75" customHeight="1" x14ac:dyDescent="0.35">
      <c r="A77" s="9">
        <v>66</v>
      </c>
      <c r="B77" s="9" t="s">
        <v>119</v>
      </c>
      <c r="C77" s="5" t="s">
        <v>120</v>
      </c>
      <c r="D77" s="4" t="s">
        <v>124</v>
      </c>
      <c r="E77" s="10">
        <v>303</v>
      </c>
      <c r="F77" s="10">
        <v>650000</v>
      </c>
      <c r="G77" s="11">
        <v>0.25</v>
      </c>
      <c r="H77" s="12">
        <f t="shared" si="33"/>
        <v>812500</v>
      </c>
      <c r="I77" s="13">
        <f t="shared" si="34"/>
        <v>162500</v>
      </c>
      <c r="J77" s="14">
        <f t="shared" si="35"/>
        <v>0.25</v>
      </c>
      <c r="K77" s="13">
        <f t="shared" si="36"/>
        <v>2145.2145214521452</v>
      </c>
      <c r="L77" s="13">
        <f t="shared" si="37"/>
        <v>2681.5181518151817</v>
      </c>
      <c r="M77" s="13">
        <f t="shared" si="38"/>
        <v>536.30363036303652</v>
      </c>
      <c r="N77" s="15">
        <f t="shared" si="39"/>
        <v>137.72727272727272</v>
      </c>
      <c r="O77" s="13">
        <f t="shared" si="40"/>
        <v>79881.818181818177</v>
      </c>
      <c r="P77" s="16">
        <v>0.47589999999999999</v>
      </c>
      <c r="Q77" s="17">
        <f t="shared" si="41"/>
        <v>735166.25</v>
      </c>
      <c r="R77" s="17">
        <f t="shared" si="42"/>
        <v>85166.25</v>
      </c>
      <c r="S77" s="18">
        <f t="shared" si="43"/>
        <v>-77333.75</v>
      </c>
    </row>
    <row r="78" spans="1:19" ht="15.75" customHeight="1" x14ac:dyDescent="0.35">
      <c r="A78" s="19">
        <v>67</v>
      </c>
      <c r="B78" s="19" t="s">
        <v>119</v>
      </c>
      <c r="C78" s="3" t="s">
        <v>120</v>
      </c>
      <c r="D78" s="2" t="s">
        <v>125</v>
      </c>
      <c r="E78" s="10">
        <v>233</v>
      </c>
      <c r="F78" s="10">
        <v>650000</v>
      </c>
      <c r="G78" s="11">
        <v>0.25</v>
      </c>
      <c r="H78" s="12">
        <f t="shared" si="33"/>
        <v>812500</v>
      </c>
      <c r="I78" s="13">
        <f t="shared" si="34"/>
        <v>162500</v>
      </c>
      <c r="J78" s="14">
        <f t="shared" si="35"/>
        <v>0.25</v>
      </c>
      <c r="K78" s="13">
        <f t="shared" si="36"/>
        <v>2789.6995708154504</v>
      </c>
      <c r="L78" s="13">
        <f t="shared" si="37"/>
        <v>3487.1244635193134</v>
      </c>
      <c r="M78" s="13">
        <f t="shared" si="38"/>
        <v>697.42489270386295</v>
      </c>
      <c r="N78" s="15">
        <f t="shared" si="39"/>
        <v>105.90909090909091</v>
      </c>
      <c r="O78" s="13">
        <f t="shared" si="40"/>
        <v>61427.272727272728</v>
      </c>
      <c r="P78" s="16">
        <v>0.47589999999999999</v>
      </c>
      <c r="Q78" s="17">
        <f t="shared" si="41"/>
        <v>735166.25</v>
      </c>
      <c r="R78" s="17">
        <f t="shared" si="42"/>
        <v>85166.25</v>
      </c>
      <c r="S78" s="18">
        <f t="shared" si="43"/>
        <v>-77333.75</v>
      </c>
    </row>
    <row r="79" spans="1:19" ht="15.75" customHeight="1" x14ac:dyDescent="0.35">
      <c r="A79" s="9">
        <v>68</v>
      </c>
      <c r="B79" s="9" t="s">
        <v>119</v>
      </c>
      <c r="C79" s="5" t="s">
        <v>120</v>
      </c>
      <c r="D79" s="4" t="s">
        <v>126</v>
      </c>
      <c r="E79" s="10">
        <v>185</v>
      </c>
      <c r="F79" s="10">
        <v>650000</v>
      </c>
      <c r="G79" s="11">
        <v>0.25</v>
      </c>
      <c r="H79" s="12">
        <f t="shared" si="33"/>
        <v>812500</v>
      </c>
      <c r="I79" s="13">
        <f t="shared" si="34"/>
        <v>162500</v>
      </c>
      <c r="J79" s="14">
        <f t="shared" si="35"/>
        <v>0.25</v>
      </c>
      <c r="K79" s="13">
        <f t="shared" si="36"/>
        <v>3513.5135135135133</v>
      </c>
      <c r="L79" s="13">
        <f t="shared" si="37"/>
        <v>4391.8918918918916</v>
      </c>
      <c r="M79" s="13">
        <f t="shared" si="38"/>
        <v>878.37837837837833</v>
      </c>
      <c r="N79" s="15">
        <f t="shared" si="39"/>
        <v>84.090909090909079</v>
      </c>
      <c r="O79" s="13">
        <f t="shared" si="40"/>
        <v>48772.727272727265</v>
      </c>
      <c r="P79" s="16">
        <v>0.47589999999999999</v>
      </c>
      <c r="Q79" s="17">
        <f t="shared" si="41"/>
        <v>735166.25</v>
      </c>
      <c r="R79" s="17">
        <f t="shared" si="42"/>
        <v>85166.25</v>
      </c>
      <c r="S79" s="18">
        <f t="shared" si="43"/>
        <v>-77333.75</v>
      </c>
    </row>
    <row r="80" spans="1:19" ht="15.75" customHeight="1" x14ac:dyDescent="0.35">
      <c r="A80" s="19">
        <v>69</v>
      </c>
      <c r="B80" s="19" t="s">
        <v>119</v>
      </c>
      <c r="C80" s="3" t="s">
        <v>120</v>
      </c>
      <c r="D80" s="2" t="s">
        <v>160</v>
      </c>
      <c r="E80" s="10">
        <v>172</v>
      </c>
      <c r="F80" s="10">
        <v>650000</v>
      </c>
      <c r="G80" s="11">
        <v>0.25</v>
      </c>
      <c r="H80" s="12">
        <f t="shared" si="33"/>
        <v>812500</v>
      </c>
      <c r="I80" s="13">
        <f t="shared" si="34"/>
        <v>162500</v>
      </c>
      <c r="J80" s="14">
        <f t="shared" si="35"/>
        <v>0.25</v>
      </c>
      <c r="K80" s="13">
        <f t="shared" si="36"/>
        <v>3779.0697674418607</v>
      </c>
      <c r="L80" s="13">
        <f t="shared" si="37"/>
        <v>4723.8372093023254</v>
      </c>
      <c r="M80" s="13">
        <f t="shared" si="38"/>
        <v>944.76744186046471</v>
      </c>
      <c r="N80" s="15">
        <f t="shared" si="39"/>
        <v>78.181818181818173</v>
      </c>
      <c r="O80" s="13">
        <f t="shared" si="40"/>
        <v>45345.454545454537</v>
      </c>
      <c r="P80" s="16">
        <v>0.47589999999999999</v>
      </c>
      <c r="Q80" s="17">
        <f t="shared" si="41"/>
        <v>735166.25</v>
      </c>
      <c r="R80" s="17">
        <f t="shared" si="42"/>
        <v>85166.25</v>
      </c>
      <c r="S80" s="18">
        <f t="shared" si="43"/>
        <v>-77333.75</v>
      </c>
    </row>
    <row r="81" spans="1:19" ht="15.75" customHeight="1" x14ac:dyDescent="0.35">
      <c r="A81" s="9">
        <v>70</v>
      </c>
      <c r="B81" s="9" t="s">
        <v>119</v>
      </c>
      <c r="C81" s="5" t="s">
        <v>120</v>
      </c>
      <c r="D81" s="4" t="s">
        <v>128</v>
      </c>
      <c r="E81" s="10">
        <v>280</v>
      </c>
      <c r="F81" s="10">
        <v>650000</v>
      </c>
      <c r="G81" s="11">
        <v>0.25</v>
      </c>
      <c r="H81" s="12">
        <f t="shared" si="33"/>
        <v>812500</v>
      </c>
      <c r="I81" s="13">
        <f t="shared" si="34"/>
        <v>162500</v>
      </c>
      <c r="J81" s="14">
        <f t="shared" si="35"/>
        <v>0.25</v>
      </c>
      <c r="K81" s="13">
        <f t="shared" si="36"/>
        <v>2321.4285714285716</v>
      </c>
      <c r="L81" s="13">
        <f t="shared" si="37"/>
        <v>2901.7857142857142</v>
      </c>
      <c r="M81" s="13">
        <f t="shared" si="38"/>
        <v>580.35714285714266</v>
      </c>
      <c r="N81" s="15">
        <f t="shared" si="39"/>
        <v>127.27272727272727</v>
      </c>
      <c r="O81" s="13">
        <f t="shared" si="40"/>
        <v>73818.181818181809</v>
      </c>
      <c r="P81" s="16">
        <v>0.47589999999999999</v>
      </c>
      <c r="Q81" s="17">
        <f t="shared" si="41"/>
        <v>735166.25</v>
      </c>
      <c r="R81" s="17">
        <f t="shared" si="42"/>
        <v>85166.25</v>
      </c>
      <c r="S81" s="18">
        <f t="shared" si="43"/>
        <v>-77333.75</v>
      </c>
    </row>
    <row r="82" spans="1:19" ht="15.75" customHeight="1" x14ac:dyDescent="0.35">
      <c r="A82" s="19">
        <v>71</v>
      </c>
      <c r="B82" s="19" t="s">
        <v>119</v>
      </c>
      <c r="C82" s="3" t="s">
        <v>120</v>
      </c>
      <c r="D82" s="2" t="s">
        <v>129</v>
      </c>
      <c r="E82" s="10">
        <v>148</v>
      </c>
      <c r="F82" s="10">
        <v>650000</v>
      </c>
      <c r="G82" s="11">
        <v>0.25</v>
      </c>
      <c r="H82" s="12">
        <f t="shared" si="33"/>
        <v>812500</v>
      </c>
      <c r="I82" s="13">
        <f t="shared" si="34"/>
        <v>162500</v>
      </c>
      <c r="J82" s="14">
        <f t="shared" si="35"/>
        <v>0.25</v>
      </c>
      <c r="K82" s="13">
        <f t="shared" si="36"/>
        <v>4391.8918918918916</v>
      </c>
      <c r="L82" s="13">
        <f t="shared" si="37"/>
        <v>5489.864864864865</v>
      </c>
      <c r="M82" s="13">
        <f t="shared" si="38"/>
        <v>1097.9729729729734</v>
      </c>
      <c r="N82" s="15">
        <f t="shared" si="39"/>
        <v>67.272727272727266</v>
      </c>
      <c r="O82" s="13">
        <f t="shared" si="40"/>
        <v>39018.181818181816</v>
      </c>
      <c r="P82" s="16">
        <v>0.47589999999999999</v>
      </c>
      <c r="Q82" s="17">
        <f t="shared" si="41"/>
        <v>735166.25</v>
      </c>
      <c r="R82" s="17">
        <f t="shared" si="42"/>
        <v>85166.25</v>
      </c>
      <c r="S82" s="18">
        <f t="shared" si="43"/>
        <v>-77333.75</v>
      </c>
    </row>
    <row r="83" spans="1:19" ht="15.75" customHeight="1" x14ac:dyDescent="0.35">
      <c r="A83" s="9">
        <v>72</v>
      </c>
      <c r="B83" s="9" t="s">
        <v>119</v>
      </c>
      <c r="C83" s="5" t="s">
        <v>120</v>
      </c>
      <c r="D83" s="4" t="s">
        <v>130</v>
      </c>
      <c r="E83" s="10">
        <v>237</v>
      </c>
      <c r="F83" s="10">
        <v>650000</v>
      </c>
      <c r="G83" s="11">
        <v>0.25</v>
      </c>
      <c r="H83" s="12">
        <f t="shared" si="33"/>
        <v>812500</v>
      </c>
      <c r="I83" s="13">
        <f t="shared" si="34"/>
        <v>162500</v>
      </c>
      <c r="J83" s="14">
        <f t="shared" si="35"/>
        <v>0.25</v>
      </c>
      <c r="K83" s="13">
        <f t="shared" si="36"/>
        <v>2742.6160337552742</v>
      </c>
      <c r="L83" s="13">
        <f t="shared" si="37"/>
        <v>3428.2700421940926</v>
      </c>
      <c r="M83" s="13">
        <f t="shared" si="38"/>
        <v>685.65400843881844</v>
      </c>
      <c r="N83" s="15">
        <f t="shared" si="39"/>
        <v>107.72727272727272</v>
      </c>
      <c r="O83" s="13">
        <f t="shared" si="40"/>
        <v>62481.818181818177</v>
      </c>
      <c r="P83" s="16">
        <v>0.20860000000000001</v>
      </c>
      <c r="Q83" s="17">
        <f t="shared" si="41"/>
        <v>778602.5</v>
      </c>
      <c r="R83" s="17">
        <f t="shared" si="42"/>
        <v>128602.5</v>
      </c>
      <c r="S83" s="18">
        <f t="shared" si="43"/>
        <v>-33897.5</v>
      </c>
    </row>
    <row r="84" spans="1:19" ht="15.75" customHeight="1" x14ac:dyDescent="0.35">
      <c r="A84" s="19">
        <v>73</v>
      </c>
      <c r="B84" s="19" t="s">
        <v>119</v>
      </c>
      <c r="C84" s="3" t="s">
        <v>120</v>
      </c>
      <c r="D84" s="2" t="s">
        <v>131</v>
      </c>
      <c r="E84" s="10">
        <v>220</v>
      </c>
      <c r="F84" s="10">
        <v>650000</v>
      </c>
      <c r="G84" s="11">
        <v>0.25</v>
      </c>
      <c r="H84" s="12">
        <f t="shared" si="33"/>
        <v>812500</v>
      </c>
      <c r="I84" s="13">
        <f t="shared" si="34"/>
        <v>162500</v>
      </c>
      <c r="J84" s="14">
        <f t="shared" si="35"/>
        <v>0.25</v>
      </c>
      <c r="K84" s="13">
        <f t="shared" si="36"/>
        <v>2954.5454545454545</v>
      </c>
      <c r="L84" s="13">
        <f t="shared" si="37"/>
        <v>3693.181818181818</v>
      </c>
      <c r="M84" s="13">
        <f t="shared" si="38"/>
        <v>738.63636363636351</v>
      </c>
      <c r="N84" s="15">
        <f t="shared" si="39"/>
        <v>99.999999999999986</v>
      </c>
      <c r="O84" s="13">
        <f t="shared" si="40"/>
        <v>57999.999999999993</v>
      </c>
      <c r="P84" s="16">
        <v>0.47589999999999999</v>
      </c>
      <c r="Q84" s="17">
        <f t="shared" si="41"/>
        <v>735166.25</v>
      </c>
      <c r="R84" s="17">
        <f t="shared" si="42"/>
        <v>85166.25</v>
      </c>
      <c r="S84" s="18">
        <f t="shared" si="43"/>
        <v>-77333.75</v>
      </c>
    </row>
    <row r="85" spans="1:19" ht="15.75" customHeight="1" x14ac:dyDescent="0.35">
      <c r="A85" s="9">
        <v>74</v>
      </c>
      <c r="B85" s="9" t="s">
        <v>119</v>
      </c>
      <c r="C85" s="5" t="s">
        <v>120</v>
      </c>
      <c r="D85" s="4" t="s">
        <v>132</v>
      </c>
      <c r="E85" s="10">
        <v>292</v>
      </c>
      <c r="F85" s="10">
        <v>650000</v>
      </c>
      <c r="G85" s="11">
        <v>0.25</v>
      </c>
      <c r="H85" s="12">
        <f t="shared" si="33"/>
        <v>812500</v>
      </c>
      <c r="I85" s="13">
        <f t="shared" si="34"/>
        <v>162500</v>
      </c>
      <c r="J85" s="14">
        <f t="shared" si="35"/>
        <v>0.25</v>
      </c>
      <c r="K85" s="13">
        <f t="shared" si="36"/>
        <v>2226.027397260274</v>
      </c>
      <c r="L85" s="13">
        <f t="shared" si="37"/>
        <v>2782.5342465753424</v>
      </c>
      <c r="M85" s="13">
        <f t="shared" si="38"/>
        <v>556.50684931506839</v>
      </c>
      <c r="N85" s="15">
        <f t="shared" si="39"/>
        <v>132.72727272727272</v>
      </c>
      <c r="O85" s="13">
        <f t="shared" si="40"/>
        <v>76981.818181818177</v>
      </c>
      <c r="P85" s="16">
        <v>0.47589999999999999</v>
      </c>
      <c r="Q85" s="17">
        <f t="shared" si="41"/>
        <v>735166.25</v>
      </c>
      <c r="R85" s="17">
        <f t="shared" si="42"/>
        <v>85166.25</v>
      </c>
      <c r="S85" s="18">
        <f t="shared" si="43"/>
        <v>-77333.75</v>
      </c>
    </row>
    <row r="86" spans="1:19" ht="15.75" customHeight="1" x14ac:dyDescent="0.35">
      <c r="A86" s="19">
        <v>75</v>
      </c>
      <c r="B86" s="19" t="s">
        <v>119</v>
      </c>
      <c r="C86" s="3" t="s">
        <v>120</v>
      </c>
      <c r="D86" s="2" t="s">
        <v>133</v>
      </c>
      <c r="E86" s="10">
        <v>160</v>
      </c>
      <c r="F86" s="10">
        <v>650000</v>
      </c>
      <c r="G86" s="11">
        <v>0.25</v>
      </c>
      <c r="H86" s="12">
        <f t="shared" si="33"/>
        <v>812500</v>
      </c>
      <c r="I86" s="13">
        <f t="shared" si="34"/>
        <v>162500</v>
      </c>
      <c r="J86" s="14">
        <f t="shared" si="35"/>
        <v>0.25</v>
      </c>
      <c r="K86" s="13">
        <f t="shared" si="36"/>
        <v>4062.5</v>
      </c>
      <c r="L86" s="13">
        <f t="shared" si="37"/>
        <v>5078.125</v>
      </c>
      <c r="M86" s="13">
        <f t="shared" si="38"/>
        <v>1015.625</v>
      </c>
      <c r="N86" s="15">
        <f t="shared" si="39"/>
        <v>72.72727272727272</v>
      </c>
      <c r="O86" s="13">
        <f t="shared" si="40"/>
        <v>42181.818181818177</v>
      </c>
      <c r="P86" s="16">
        <v>0.47589999999999999</v>
      </c>
      <c r="Q86" s="17">
        <f t="shared" si="41"/>
        <v>735166.25</v>
      </c>
      <c r="R86" s="17">
        <f t="shared" si="42"/>
        <v>85166.25</v>
      </c>
      <c r="S86" s="18">
        <f t="shared" si="43"/>
        <v>-77333.75</v>
      </c>
    </row>
    <row r="87" spans="1:19" ht="15.75" customHeight="1" x14ac:dyDescent="0.35">
      <c r="A87" s="9">
        <v>76</v>
      </c>
      <c r="B87" s="9" t="s">
        <v>119</v>
      </c>
      <c r="C87" s="5" t="s">
        <v>120</v>
      </c>
      <c r="D87" s="4" t="s">
        <v>134</v>
      </c>
      <c r="E87" s="10">
        <v>287</v>
      </c>
      <c r="F87" s="10">
        <v>650000</v>
      </c>
      <c r="G87" s="11">
        <v>0.25</v>
      </c>
      <c r="H87" s="12">
        <f t="shared" si="33"/>
        <v>812500</v>
      </c>
      <c r="I87" s="13">
        <f t="shared" si="34"/>
        <v>162500</v>
      </c>
      <c r="J87" s="14">
        <f t="shared" si="35"/>
        <v>0.25</v>
      </c>
      <c r="K87" s="13">
        <f t="shared" si="36"/>
        <v>2264.8083623693378</v>
      </c>
      <c r="L87" s="13">
        <f t="shared" si="37"/>
        <v>2831.0104529616724</v>
      </c>
      <c r="M87" s="13">
        <f t="shared" si="38"/>
        <v>566.20209059233457</v>
      </c>
      <c r="N87" s="15">
        <f t="shared" si="39"/>
        <v>130.45454545454544</v>
      </c>
      <c r="O87" s="13">
        <f t="shared" si="40"/>
        <v>75663.636363636353</v>
      </c>
      <c r="P87" s="16">
        <v>0.47589999999999999</v>
      </c>
      <c r="Q87" s="17">
        <f t="shared" si="41"/>
        <v>735166.25</v>
      </c>
      <c r="R87" s="17">
        <f t="shared" si="42"/>
        <v>85166.25</v>
      </c>
      <c r="S87" s="18">
        <f t="shared" si="43"/>
        <v>-77333.75</v>
      </c>
    </row>
    <row r="88" spans="1:19" ht="15.75" customHeight="1" x14ac:dyDescent="0.35">
      <c r="A88" s="19">
        <v>77</v>
      </c>
      <c r="B88" s="19" t="s">
        <v>119</v>
      </c>
      <c r="C88" s="3" t="s">
        <v>120</v>
      </c>
      <c r="D88" s="2" t="s">
        <v>135</v>
      </c>
      <c r="E88" s="10">
        <v>296</v>
      </c>
      <c r="F88" s="10">
        <v>650000</v>
      </c>
      <c r="G88" s="11">
        <v>0.25</v>
      </c>
      <c r="H88" s="12">
        <f t="shared" si="33"/>
        <v>812500</v>
      </c>
      <c r="I88" s="13">
        <f t="shared" si="34"/>
        <v>162500</v>
      </c>
      <c r="J88" s="14">
        <f t="shared" si="35"/>
        <v>0.25</v>
      </c>
      <c r="K88" s="13">
        <f t="shared" si="36"/>
        <v>2195.9459459459458</v>
      </c>
      <c r="L88" s="13">
        <f t="shared" si="37"/>
        <v>2744.9324324324325</v>
      </c>
      <c r="M88" s="13">
        <f t="shared" si="38"/>
        <v>548.98648648648668</v>
      </c>
      <c r="N88" s="15">
        <f t="shared" si="39"/>
        <v>134.54545454545453</v>
      </c>
      <c r="O88" s="13">
        <f t="shared" si="40"/>
        <v>78036.363636363632</v>
      </c>
      <c r="P88" s="16">
        <v>0.47589999999999999</v>
      </c>
      <c r="Q88" s="17">
        <f t="shared" si="41"/>
        <v>735166.25</v>
      </c>
      <c r="R88" s="17">
        <f t="shared" si="42"/>
        <v>85166.25</v>
      </c>
      <c r="S88" s="18">
        <f t="shared" si="43"/>
        <v>-77333.75</v>
      </c>
    </row>
    <row r="89" spans="1:19" ht="15.75" customHeight="1" x14ac:dyDescent="0.35">
      <c r="A89" s="9">
        <v>78</v>
      </c>
      <c r="B89" s="9" t="s">
        <v>119</v>
      </c>
      <c r="C89" s="5" t="s">
        <v>120</v>
      </c>
      <c r="D89" s="4" t="s">
        <v>136</v>
      </c>
      <c r="E89" s="10">
        <v>278</v>
      </c>
      <c r="F89" s="10">
        <v>650000</v>
      </c>
      <c r="G89" s="11">
        <v>0.25</v>
      </c>
      <c r="H89" s="12">
        <f t="shared" si="33"/>
        <v>812500</v>
      </c>
      <c r="I89" s="13">
        <f t="shared" si="34"/>
        <v>162500</v>
      </c>
      <c r="J89" s="14">
        <f t="shared" si="35"/>
        <v>0.25</v>
      </c>
      <c r="K89" s="13">
        <f t="shared" si="36"/>
        <v>2338.1294964028775</v>
      </c>
      <c r="L89" s="13">
        <f t="shared" si="37"/>
        <v>2922.6618705035971</v>
      </c>
      <c r="M89" s="13">
        <f t="shared" si="38"/>
        <v>584.53237410071961</v>
      </c>
      <c r="N89" s="15">
        <f t="shared" si="39"/>
        <v>126.36363636363636</v>
      </c>
      <c r="O89" s="13">
        <f t="shared" si="40"/>
        <v>73290.909090909088</v>
      </c>
      <c r="P89" s="16">
        <v>0.47589999999999999</v>
      </c>
      <c r="Q89" s="17">
        <f t="shared" si="41"/>
        <v>735166.25</v>
      </c>
      <c r="R89" s="17">
        <f t="shared" si="42"/>
        <v>85166.25</v>
      </c>
      <c r="S89" s="18">
        <f t="shared" si="43"/>
        <v>-77333.75</v>
      </c>
    </row>
    <row r="90" spans="1:19" ht="15.75" customHeight="1" x14ac:dyDescent="0.35">
      <c r="A90" s="19">
        <v>79</v>
      </c>
      <c r="B90" s="19" t="s">
        <v>119</v>
      </c>
      <c r="C90" s="3" t="s">
        <v>120</v>
      </c>
      <c r="D90" s="2" t="s">
        <v>137</v>
      </c>
      <c r="E90" s="10">
        <v>217</v>
      </c>
      <c r="F90" s="10">
        <v>650000</v>
      </c>
      <c r="G90" s="11">
        <v>0.25</v>
      </c>
      <c r="H90" s="12">
        <f t="shared" si="33"/>
        <v>812500</v>
      </c>
      <c r="I90" s="13">
        <f t="shared" si="34"/>
        <v>162500</v>
      </c>
      <c r="J90" s="14">
        <f t="shared" si="35"/>
        <v>0.25</v>
      </c>
      <c r="K90" s="13">
        <f t="shared" si="36"/>
        <v>2995.3917050691243</v>
      </c>
      <c r="L90" s="13">
        <f t="shared" si="37"/>
        <v>3744.2396313364056</v>
      </c>
      <c r="M90" s="13">
        <f t="shared" si="38"/>
        <v>748.84792626728131</v>
      </c>
      <c r="N90" s="15">
        <f t="shared" si="39"/>
        <v>98.636363636363626</v>
      </c>
      <c r="O90" s="13">
        <f t="shared" si="40"/>
        <v>57209.090909090904</v>
      </c>
      <c r="P90" s="16">
        <v>0.47589999999999999</v>
      </c>
      <c r="Q90" s="17">
        <f t="shared" si="41"/>
        <v>735166.25</v>
      </c>
      <c r="R90" s="17">
        <f t="shared" si="42"/>
        <v>85166.25</v>
      </c>
      <c r="S90" s="18">
        <f t="shared" si="43"/>
        <v>-77333.75</v>
      </c>
    </row>
    <row r="91" spans="1:19" ht="15.75" customHeight="1" x14ac:dyDescent="0.35">
      <c r="A91" s="9">
        <v>80</v>
      </c>
      <c r="B91" s="9" t="s">
        <v>119</v>
      </c>
      <c r="C91" s="5" t="s">
        <v>120</v>
      </c>
      <c r="D91" s="4" t="s">
        <v>138</v>
      </c>
      <c r="E91" s="10">
        <v>254</v>
      </c>
      <c r="F91" s="10">
        <v>650000</v>
      </c>
      <c r="G91" s="11">
        <v>0.25</v>
      </c>
      <c r="H91" s="12">
        <f t="shared" si="33"/>
        <v>812500</v>
      </c>
      <c r="I91" s="13">
        <f t="shared" si="34"/>
        <v>162500</v>
      </c>
      <c r="J91" s="14">
        <f t="shared" si="35"/>
        <v>0.25</v>
      </c>
      <c r="K91" s="13">
        <f t="shared" si="36"/>
        <v>2559.0551181102364</v>
      </c>
      <c r="L91" s="13">
        <f t="shared" si="37"/>
        <v>3198.8188976377951</v>
      </c>
      <c r="M91" s="13">
        <f t="shared" si="38"/>
        <v>639.76377952755865</v>
      </c>
      <c r="N91" s="15">
        <f t="shared" si="39"/>
        <v>115.45454545454544</v>
      </c>
      <c r="O91" s="13">
        <f t="shared" si="40"/>
        <v>66963.636363636353</v>
      </c>
      <c r="P91" s="16">
        <v>0.47589999999999999</v>
      </c>
      <c r="Q91" s="17">
        <f t="shared" si="41"/>
        <v>735166.25</v>
      </c>
      <c r="R91" s="17">
        <f t="shared" si="42"/>
        <v>85166.25</v>
      </c>
      <c r="S91" s="18">
        <f t="shared" si="43"/>
        <v>-77333.75</v>
      </c>
    </row>
    <row r="92" spans="1:19" ht="15.75" customHeight="1" x14ac:dyDescent="0.35">
      <c r="A92" s="19">
        <v>81</v>
      </c>
      <c r="B92" s="19" t="s">
        <v>119</v>
      </c>
      <c r="C92" s="3" t="s">
        <v>120</v>
      </c>
      <c r="D92" s="2" t="s">
        <v>139</v>
      </c>
      <c r="E92" s="10">
        <v>235</v>
      </c>
      <c r="F92" s="10">
        <v>650000</v>
      </c>
      <c r="G92" s="11">
        <v>0.25</v>
      </c>
      <c r="H92" s="12">
        <f t="shared" si="33"/>
        <v>812500</v>
      </c>
      <c r="I92" s="13">
        <f t="shared" si="34"/>
        <v>162500</v>
      </c>
      <c r="J92" s="14">
        <f t="shared" si="35"/>
        <v>0.25</v>
      </c>
      <c r="K92" s="13">
        <f t="shared" si="36"/>
        <v>2765.9574468085107</v>
      </c>
      <c r="L92" s="13">
        <f t="shared" si="37"/>
        <v>3457.4468085106382</v>
      </c>
      <c r="M92" s="13">
        <f t="shared" si="38"/>
        <v>691.48936170212755</v>
      </c>
      <c r="N92" s="15">
        <f t="shared" si="39"/>
        <v>106.81818181818181</v>
      </c>
      <c r="O92" s="13">
        <f t="shared" si="40"/>
        <v>61954.545454545449</v>
      </c>
      <c r="P92" s="16">
        <v>0.47589999999999999</v>
      </c>
      <c r="Q92" s="17">
        <f t="shared" si="41"/>
        <v>735166.25</v>
      </c>
      <c r="R92" s="17">
        <f t="shared" si="42"/>
        <v>85166.25</v>
      </c>
      <c r="S92" s="18">
        <f t="shared" si="43"/>
        <v>-77333.75</v>
      </c>
    </row>
    <row r="93" spans="1:19" ht="15.75" customHeight="1" x14ac:dyDescent="0.35">
      <c r="A93" s="9">
        <v>82</v>
      </c>
      <c r="B93" s="9" t="s">
        <v>119</v>
      </c>
      <c r="C93" s="5" t="s">
        <v>120</v>
      </c>
      <c r="D93" s="4" t="s">
        <v>140</v>
      </c>
      <c r="E93" s="10">
        <v>311</v>
      </c>
      <c r="F93" s="10">
        <v>650000</v>
      </c>
      <c r="G93" s="11">
        <v>0.25</v>
      </c>
      <c r="H93" s="12">
        <f t="shared" si="33"/>
        <v>812500</v>
      </c>
      <c r="I93" s="13">
        <f t="shared" si="34"/>
        <v>162500</v>
      </c>
      <c r="J93" s="14">
        <f t="shared" si="35"/>
        <v>0.25</v>
      </c>
      <c r="K93" s="13">
        <f t="shared" si="36"/>
        <v>2090.0321543408359</v>
      </c>
      <c r="L93" s="13">
        <f t="shared" si="37"/>
        <v>2612.5401929260452</v>
      </c>
      <c r="M93" s="13">
        <f t="shared" si="38"/>
        <v>522.50803858520931</v>
      </c>
      <c r="N93" s="15">
        <f t="shared" si="39"/>
        <v>141.36363636363635</v>
      </c>
      <c r="O93" s="13">
        <f t="shared" si="40"/>
        <v>81990.909090909074</v>
      </c>
      <c r="P93" s="16">
        <v>0.47589999999999999</v>
      </c>
      <c r="Q93" s="17">
        <f t="shared" si="41"/>
        <v>735166.25</v>
      </c>
      <c r="R93" s="17">
        <f t="shared" si="42"/>
        <v>85166.25</v>
      </c>
      <c r="S93" s="18">
        <f t="shared" si="43"/>
        <v>-77333.75</v>
      </c>
    </row>
    <row r="94" spans="1:19" ht="15.75" customHeight="1" x14ac:dyDescent="0.35">
      <c r="A94" s="19">
        <v>83</v>
      </c>
      <c r="B94" s="19" t="s">
        <v>119</v>
      </c>
      <c r="C94" s="3" t="s">
        <v>120</v>
      </c>
      <c r="D94" s="2" t="s">
        <v>141</v>
      </c>
      <c r="E94" s="10">
        <v>202</v>
      </c>
      <c r="F94" s="10">
        <v>650000</v>
      </c>
      <c r="G94" s="11">
        <v>0.25</v>
      </c>
      <c r="H94" s="12">
        <f t="shared" si="33"/>
        <v>812500</v>
      </c>
      <c r="I94" s="13">
        <f t="shared" si="34"/>
        <v>162500</v>
      </c>
      <c r="J94" s="14">
        <f t="shared" si="35"/>
        <v>0.25</v>
      </c>
      <c r="K94" s="13">
        <f t="shared" si="36"/>
        <v>3217.8217821782177</v>
      </c>
      <c r="L94" s="13">
        <f t="shared" si="37"/>
        <v>4022.2772277227723</v>
      </c>
      <c r="M94" s="13">
        <f t="shared" si="38"/>
        <v>804.45544554455455</v>
      </c>
      <c r="N94" s="15">
        <f t="shared" si="39"/>
        <v>91.818181818181813</v>
      </c>
      <c r="O94" s="13">
        <f t="shared" si="40"/>
        <v>53254.545454545449</v>
      </c>
      <c r="P94" s="16">
        <v>0.47589999999999999</v>
      </c>
      <c r="Q94" s="17">
        <f t="shared" si="41"/>
        <v>735166.25</v>
      </c>
      <c r="R94" s="17">
        <f t="shared" si="42"/>
        <v>85166.25</v>
      </c>
      <c r="S94" s="18">
        <f t="shared" si="43"/>
        <v>-77333.75</v>
      </c>
    </row>
    <row r="95" spans="1:19" ht="15.75" customHeight="1" x14ac:dyDescent="0.35">
      <c r="A95" s="9">
        <v>84</v>
      </c>
      <c r="B95" s="9" t="s">
        <v>119</v>
      </c>
      <c r="C95" s="5" t="s">
        <v>120</v>
      </c>
      <c r="D95" s="4" t="s">
        <v>142</v>
      </c>
      <c r="E95" s="10">
        <v>188</v>
      </c>
      <c r="F95" s="10">
        <v>650000</v>
      </c>
      <c r="G95" s="11">
        <v>0.25</v>
      </c>
      <c r="H95" s="12">
        <f t="shared" si="33"/>
        <v>812500</v>
      </c>
      <c r="I95" s="13">
        <f t="shared" si="34"/>
        <v>162500</v>
      </c>
      <c r="J95" s="14">
        <f t="shared" si="35"/>
        <v>0.25</v>
      </c>
      <c r="K95" s="13">
        <f t="shared" si="36"/>
        <v>3457.4468085106382</v>
      </c>
      <c r="L95" s="13">
        <f t="shared" si="37"/>
        <v>4321.8085106382978</v>
      </c>
      <c r="M95" s="13">
        <f t="shared" si="38"/>
        <v>864.36170212765956</v>
      </c>
      <c r="N95" s="15">
        <f t="shared" si="39"/>
        <v>85.454545454545453</v>
      </c>
      <c r="O95" s="13">
        <f t="shared" si="40"/>
        <v>49563.63636363636</v>
      </c>
      <c r="P95" s="16">
        <v>0.47589999999999999</v>
      </c>
      <c r="Q95" s="17">
        <f t="shared" si="41"/>
        <v>735166.25</v>
      </c>
      <c r="R95" s="17">
        <f t="shared" si="42"/>
        <v>85166.25</v>
      </c>
      <c r="S95" s="18">
        <f t="shared" si="43"/>
        <v>-77333.75</v>
      </c>
    </row>
    <row r="96" spans="1:19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2">
    <mergeCell ref="A1:O2"/>
    <mergeCell ref="A3:O3"/>
    <mergeCell ref="E4:G4"/>
    <mergeCell ref="H4:J4"/>
    <mergeCell ref="K4:M4"/>
    <mergeCell ref="N4:O4"/>
    <mergeCell ref="A4:D4"/>
    <mergeCell ref="A8:Q8"/>
    <mergeCell ref="A28:Q28"/>
    <mergeCell ref="A47:Q47"/>
    <mergeCell ref="A73:Q73"/>
    <mergeCell ref="P4:Q4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showGridLines="0" workbookViewId="0">
      <pane ySplit="7" topLeftCell="A8" activePane="bottomLeft" state="frozen"/>
      <selection pane="bottomLeft" activeCell="R1" sqref="R1:T1048576"/>
    </sheetView>
  </sheetViews>
  <sheetFormatPr baseColWidth="10" defaultColWidth="14.453125" defaultRowHeight="15" customHeight="1" x14ac:dyDescent="0.35"/>
  <cols>
    <col min="1" max="1" width="5" customWidth="1"/>
    <col min="2" max="2" width="6" customWidth="1"/>
    <col min="3" max="3" width="20" customWidth="1"/>
    <col min="4" max="4" width="18.54296875" customWidth="1"/>
    <col min="5" max="5" width="7" customWidth="1"/>
    <col min="6" max="6" width="14" customWidth="1"/>
    <col min="7" max="7" width="8" customWidth="1"/>
    <col min="8" max="8" width="14" customWidth="1"/>
    <col min="9" max="9" width="12" customWidth="1"/>
    <col min="10" max="10" width="9" customWidth="1"/>
    <col min="11" max="12" width="11" customWidth="1"/>
    <col min="13" max="13" width="10" customWidth="1"/>
    <col min="14" max="14" width="9" customWidth="1"/>
    <col min="15" max="15" width="14" customWidth="1"/>
    <col min="16" max="16" width="10.90625" customWidth="1"/>
    <col min="17" max="17" width="13.36328125" customWidth="1"/>
    <col min="18" max="19" width="8.6328125" hidden="1" customWidth="1"/>
    <col min="20" max="20" width="14.54296875" hidden="1" customWidth="1"/>
    <col min="21" max="22" width="8.6328125" customWidth="1"/>
    <col min="23" max="24" width="11" customWidth="1"/>
    <col min="25" max="25" width="12" customWidth="1"/>
    <col min="26" max="26" width="8.6328125" customWidth="1"/>
  </cols>
  <sheetData>
    <row r="1" spans="1:20" ht="27.75" customHeight="1" x14ac:dyDescent="0.35">
      <c r="A1" s="28" t="s">
        <v>163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/>
    </row>
    <row r="2" spans="1:20" ht="3.75" customHeight="1" x14ac:dyDescent="0.3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</row>
    <row r="3" spans="1:20" ht="13.5" customHeight="1" x14ac:dyDescent="0.35">
      <c r="A3" s="34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</row>
    <row r="4" spans="1:20" ht="18" customHeight="1" x14ac:dyDescent="0.35">
      <c r="A4" s="42" t="s">
        <v>4</v>
      </c>
      <c r="B4" s="26"/>
      <c r="C4" s="26"/>
      <c r="D4" s="36"/>
      <c r="E4" s="35" t="s">
        <v>5</v>
      </c>
      <c r="F4" s="26"/>
      <c r="G4" s="36"/>
      <c r="H4" s="45" t="s">
        <v>6</v>
      </c>
      <c r="I4" s="26"/>
      <c r="J4" s="36"/>
      <c r="K4" s="38" t="s">
        <v>7</v>
      </c>
      <c r="L4" s="26"/>
      <c r="M4" s="36"/>
      <c r="N4" s="39" t="s">
        <v>8</v>
      </c>
      <c r="O4" s="36"/>
      <c r="P4" s="40" t="s">
        <v>147</v>
      </c>
      <c r="Q4" s="41"/>
    </row>
    <row r="5" spans="1:20" ht="39.75" customHeight="1" x14ac:dyDescent="0.35">
      <c r="A5" s="6"/>
      <c r="B5" s="6"/>
      <c r="C5" s="6"/>
      <c r="D5" s="6"/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6" t="s">
        <v>20</v>
      </c>
      <c r="P5" s="7" t="s">
        <v>21</v>
      </c>
      <c r="Q5" s="7" t="s">
        <v>162</v>
      </c>
    </row>
    <row r="6" spans="1:20" ht="27.75" customHeight="1" x14ac:dyDescent="0.35">
      <c r="A6" s="1" t="s">
        <v>23</v>
      </c>
      <c r="B6" s="1" t="s">
        <v>24</v>
      </c>
      <c r="C6" s="1" t="s">
        <v>0</v>
      </c>
      <c r="D6" s="1" t="s">
        <v>25</v>
      </c>
      <c r="E6" s="1" t="s">
        <v>10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35</v>
      </c>
      <c r="P6" s="8" t="s">
        <v>36</v>
      </c>
      <c r="Q6" s="8" t="s">
        <v>155</v>
      </c>
    </row>
    <row r="7" spans="1:20" ht="3.75" customHeight="1" x14ac:dyDescent="0.35"/>
    <row r="8" spans="1:20" ht="18" customHeight="1" x14ac:dyDescent="0.35">
      <c r="A8" s="25" t="s">
        <v>49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</row>
    <row r="9" spans="1:20" ht="18" customHeight="1" x14ac:dyDescent="0.35">
      <c r="A9" s="25" t="s">
        <v>69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/>
    </row>
    <row r="10" spans="1:20" ht="15.75" customHeight="1" x14ac:dyDescent="0.35">
      <c r="A10" s="9">
        <v>2</v>
      </c>
      <c r="B10" s="9" t="s">
        <v>70</v>
      </c>
      <c r="C10" s="5" t="s">
        <v>71</v>
      </c>
      <c r="D10" s="4" t="s">
        <v>72</v>
      </c>
      <c r="E10" s="10">
        <v>296</v>
      </c>
      <c r="F10" s="10">
        <v>650000</v>
      </c>
      <c r="G10" s="11">
        <v>0.25</v>
      </c>
      <c r="H10" s="12">
        <f t="shared" ref="H10:H27" si="0">F10*(1+G10)</f>
        <v>812500</v>
      </c>
      <c r="I10" s="13">
        <f t="shared" ref="I10:I27" si="1">H10-F10</f>
        <v>162500</v>
      </c>
      <c r="J10" s="14">
        <f t="shared" ref="J10:J27" si="2">I10/F10</f>
        <v>0.25</v>
      </c>
      <c r="K10" s="13">
        <f t="shared" ref="K10:K27" si="3">F10/E10</f>
        <v>2195.9459459459458</v>
      </c>
      <c r="L10" s="13">
        <f t="shared" ref="L10:L27" si="4">H10/E10</f>
        <v>2744.9324324324325</v>
      </c>
      <c r="M10" s="13">
        <f t="shared" ref="M10:M27" si="5">L10-K10</f>
        <v>548.98648648648668</v>
      </c>
      <c r="N10" s="15">
        <f t="shared" ref="N10:N27" si="6">E10/2.2</f>
        <v>134.54545454545453</v>
      </c>
      <c r="O10" s="13">
        <f t="shared" ref="O10:O27" si="7">N10*580</f>
        <v>78036.363636363632</v>
      </c>
      <c r="P10" s="16">
        <v>0.47589999999999999</v>
      </c>
      <c r="Q10" s="17">
        <f t="shared" ref="Q10:Q27" si="8">+F10+R10</f>
        <v>735166.25</v>
      </c>
      <c r="R10" s="17">
        <f t="shared" ref="R10:R27" si="9">I10*(1-P10)</f>
        <v>85166.25</v>
      </c>
      <c r="S10" s="18">
        <f t="shared" ref="S10:S27" si="10">+Q10-H10</f>
        <v>-77333.75</v>
      </c>
      <c r="T10" s="18"/>
    </row>
    <row r="11" spans="1:20" ht="15.75" customHeight="1" x14ac:dyDescent="0.35">
      <c r="A11" s="19">
        <v>3</v>
      </c>
      <c r="B11" s="19" t="s">
        <v>70</v>
      </c>
      <c r="C11" s="3" t="s">
        <v>71</v>
      </c>
      <c r="D11" s="2" t="s">
        <v>73</v>
      </c>
      <c r="E11" s="10">
        <v>397</v>
      </c>
      <c r="F11" s="10">
        <v>650000</v>
      </c>
      <c r="G11" s="11">
        <v>0.25</v>
      </c>
      <c r="H11" s="12">
        <f t="shared" si="0"/>
        <v>812500</v>
      </c>
      <c r="I11" s="13">
        <f t="shared" si="1"/>
        <v>162500</v>
      </c>
      <c r="J11" s="14">
        <f t="shared" si="2"/>
        <v>0.25</v>
      </c>
      <c r="K11" s="13">
        <f t="shared" si="3"/>
        <v>1637.2795969773299</v>
      </c>
      <c r="L11" s="13">
        <f t="shared" si="4"/>
        <v>2046.5994962216625</v>
      </c>
      <c r="M11" s="13">
        <f t="shared" si="5"/>
        <v>409.31989924433265</v>
      </c>
      <c r="N11" s="15">
        <f t="shared" si="6"/>
        <v>180.45454545454544</v>
      </c>
      <c r="O11" s="13">
        <f t="shared" si="7"/>
        <v>104663.63636363635</v>
      </c>
      <c r="P11" s="16">
        <v>0.47589999999999999</v>
      </c>
      <c r="Q11" s="17">
        <f t="shared" si="8"/>
        <v>735166.25</v>
      </c>
      <c r="R11" s="17">
        <f t="shared" si="9"/>
        <v>85166.25</v>
      </c>
      <c r="S11" s="18">
        <f t="shared" si="10"/>
        <v>-77333.75</v>
      </c>
    </row>
    <row r="12" spans="1:20" ht="15.75" customHeight="1" x14ac:dyDescent="0.35">
      <c r="A12" s="9">
        <v>4</v>
      </c>
      <c r="B12" s="9" t="s">
        <v>70</v>
      </c>
      <c r="C12" s="5" t="s">
        <v>71</v>
      </c>
      <c r="D12" s="4" t="s">
        <v>74</v>
      </c>
      <c r="E12" s="10">
        <v>404</v>
      </c>
      <c r="F12" s="10">
        <v>650000</v>
      </c>
      <c r="G12" s="11">
        <v>0.25</v>
      </c>
      <c r="H12" s="12">
        <f t="shared" si="0"/>
        <v>812500</v>
      </c>
      <c r="I12" s="13">
        <f t="shared" si="1"/>
        <v>162500</v>
      </c>
      <c r="J12" s="14">
        <f t="shared" si="2"/>
        <v>0.25</v>
      </c>
      <c r="K12" s="13">
        <f t="shared" si="3"/>
        <v>1608.9108910891089</v>
      </c>
      <c r="L12" s="13">
        <f t="shared" si="4"/>
        <v>2011.1386138613861</v>
      </c>
      <c r="M12" s="13">
        <f t="shared" si="5"/>
        <v>402.22772277227727</v>
      </c>
      <c r="N12" s="15">
        <f t="shared" si="6"/>
        <v>183.63636363636363</v>
      </c>
      <c r="O12" s="13">
        <f t="shared" si="7"/>
        <v>106509.0909090909</v>
      </c>
      <c r="P12" s="16">
        <v>0.47589999999999999</v>
      </c>
      <c r="Q12" s="17">
        <f t="shared" si="8"/>
        <v>735166.25</v>
      </c>
      <c r="R12" s="17">
        <f t="shared" si="9"/>
        <v>85166.25</v>
      </c>
      <c r="S12" s="18">
        <f t="shared" si="10"/>
        <v>-77333.75</v>
      </c>
    </row>
    <row r="13" spans="1:20" ht="15.75" customHeight="1" x14ac:dyDescent="0.35">
      <c r="A13" s="19">
        <v>5</v>
      </c>
      <c r="B13" s="19" t="s">
        <v>70</v>
      </c>
      <c r="C13" s="3" t="s">
        <v>71</v>
      </c>
      <c r="D13" s="2" t="s">
        <v>75</v>
      </c>
      <c r="E13" s="10">
        <v>442</v>
      </c>
      <c r="F13" s="10">
        <v>650000</v>
      </c>
      <c r="G13" s="11">
        <v>0.25</v>
      </c>
      <c r="H13" s="12">
        <f t="shared" si="0"/>
        <v>812500</v>
      </c>
      <c r="I13" s="13">
        <f t="shared" si="1"/>
        <v>162500</v>
      </c>
      <c r="J13" s="14">
        <f t="shared" si="2"/>
        <v>0.25</v>
      </c>
      <c r="K13" s="13">
        <f t="shared" si="3"/>
        <v>1470.5882352941176</v>
      </c>
      <c r="L13" s="13">
        <f t="shared" si="4"/>
        <v>1838.2352941176471</v>
      </c>
      <c r="M13" s="13">
        <f t="shared" si="5"/>
        <v>367.64705882352951</v>
      </c>
      <c r="N13" s="15">
        <f t="shared" si="6"/>
        <v>200.90909090909091</v>
      </c>
      <c r="O13" s="13">
        <f t="shared" si="7"/>
        <v>116527.27272727272</v>
      </c>
      <c r="P13" s="16">
        <v>0.47589999999999999</v>
      </c>
      <c r="Q13" s="17">
        <f t="shared" si="8"/>
        <v>735166.25</v>
      </c>
      <c r="R13" s="17">
        <f t="shared" si="9"/>
        <v>85166.25</v>
      </c>
      <c r="S13" s="18">
        <f t="shared" si="10"/>
        <v>-77333.75</v>
      </c>
    </row>
    <row r="14" spans="1:20" ht="15.75" customHeight="1" x14ac:dyDescent="0.35">
      <c r="A14" s="9">
        <v>6</v>
      </c>
      <c r="B14" s="9" t="s">
        <v>70</v>
      </c>
      <c r="C14" s="5" t="s">
        <v>71</v>
      </c>
      <c r="D14" s="4" t="s">
        <v>76</v>
      </c>
      <c r="E14" s="10">
        <v>427</v>
      </c>
      <c r="F14" s="10">
        <v>650000</v>
      </c>
      <c r="G14" s="11">
        <v>0.25</v>
      </c>
      <c r="H14" s="12">
        <f t="shared" si="0"/>
        <v>812500</v>
      </c>
      <c r="I14" s="13">
        <f t="shared" si="1"/>
        <v>162500</v>
      </c>
      <c r="J14" s="14">
        <f t="shared" si="2"/>
        <v>0.25</v>
      </c>
      <c r="K14" s="13">
        <f t="shared" si="3"/>
        <v>1522.248243559719</v>
      </c>
      <c r="L14" s="13">
        <f t="shared" si="4"/>
        <v>1902.8103044496488</v>
      </c>
      <c r="M14" s="13">
        <f t="shared" si="5"/>
        <v>380.56206088992985</v>
      </c>
      <c r="N14" s="15">
        <f t="shared" si="6"/>
        <v>194.09090909090907</v>
      </c>
      <c r="O14" s="13">
        <f t="shared" si="7"/>
        <v>112572.72727272726</v>
      </c>
      <c r="P14" s="16">
        <v>0.47589999999999999</v>
      </c>
      <c r="Q14" s="17">
        <f t="shared" si="8"/>
        <v>735166.25</v>
      </c>
      <c r="R14" s="17">
        <f t="shared" si="9"/>
        <v>85166.25</v>
      </c>
      <c r="S14" s="18">
        <f t="shared" si="10"/>
        <v>-77333.75</v>
      </c>
    </row>
    <row r="15" spans="1:20" ht="15.75" customHeight="1" x14ac:dyDescent="0.35">
      <c r="A15" s="19">
        <v>7</v>
      </c>
      <c r="B15" s="19" t="s">
        <v>70</v>
      </c>
      <c r="C15" s="3" t="s">
        <v>71</v>
      </c>
      <c r="D15" s="2" t="s">
        <v>77</v>
      </c>
      <c r="E15" s="10">
        <v>382</v>
      </c>
      <c r="F15" s="10">
        <v>650000</v>
      </c>
      <c r="G15" s="11">
        <v>0.25</v>
      </c>
      <c r="H15" s="12">
        <f t="shared" si="0"/>
        <v>812500</v>
      </c>
      <c r="I15" s="13">
        <f t="shared" si="1"/>
        <v>162500</v>
      </c>
      <c r="J15" s="14">
        <f t="shared" si="2"/>
        <v>0.25</v>
      </c>
      <c r="K15" s="13">
        <f t="shared" si="3"/>
        <v>1701.5706806282722</v>
      </c>
      <c r="L15" s="13">
        <f t="shared" si="4"/>
        <v>2126.9633507853405</v>
      </c>
      <c r="M15" s="13">
        <f t="shared" si="5"/>
        <v>425.39267015706832</v>
      </c>
      <c r="N15" s="15">
        <f t="shared" si="6"/>
        <v>173.63636363636363</v>
      </c>
      <c r="O15" s="13">
        <f t="shared" si="7"/>
        <v>100709.0909090909</v>
      </c>
      <c r="P15" s="16">
        <v>0.47589999999999999</v>
      </c>
      <c r="Q15" s="17">
        <f t="shared" si="8"/>
        <v>735166.25</v>
      </c>
      <c r="R15" s="17">
        <f t="shared" si="9"/>
        <v>85166.25</v>
      </c>
      <c r="S15" s="18">
        <f t="shared" si="10"/>
        <v>-77333.75</v>
      </c>
    </row>
    <row r="16" spans="1:20" ht="15.75" customHeight="1" x14ac:dyDescent="0.35">
      <c r="A16" s="9">
        <v>8</v>
      </c>
      <c r="B16" s="9" t="s">
        <v>70</v>
      </c>
      <c r="C16" s="5" t="s">
        <v>71</v>
      </c>
      <c r="D16" s="4" t="s">
        <v>78</v>
      </c>
      <c r="E16" s="10">
        <v>427</v>
      </c>
      <c r="F16" s="10">
        <v>650000</v>
      </c>
      <c r="G16" s="11">
        <v>0.25</v>
      </c>
      <c r="H16" s="12">
        <f t="shared" si="0"/>
        <v>812500</v>
      </c>
      <c r="I16" s="13">
        <f t="shared" si="1"/>
        <v>162500</v>
      </c>
      <c r="J16" s="14">
        <f t="shared" si="2"/>
        <v>0.25</v>
      </c>
      <c r="K16" s="13">
        <f t="shared" si="3"/>
        <v>1522.248243559719</v>
      </c>
      <c r="L16" s="13">
        <f t="shared" si="4"/>
        <v>1902.8103044496488</v>
      </c>
      <c r="M16" s="13">
        <f t="shared" si="5"/>
        <v>380.56206088992985</v>
      </c>
      <c r="N16" s="15">
        <f t="shared" si="6"/>
        <v>194.09090909090907</v>
      </c>
      <c r="O16" s="13">
        <f t="shared" si="7"/>
        <v>112572.72727272726</v>
      </c>
      <c r="P16" s="16">
        <v>0.47589999999999999</v>
      </c>
      <c r="Q16" s="17">
        <f t="shared" si="8"/>
        <v>735166.25</v>
      </c>
      <c r="R16" s="17">
        <f t="shared" si="9"/>
        <v>85166.25</v>
      </c>
      <c r="S16" s="18">
        <f t="shared" si="10"/>
        <v>-77333.75</v>
      </c>
    </row>
    <row r="17" spans="1:25" ht="15.75" customHeight="1" x14ac:dyDescent="0.35">
      <c r="A17" s="19">
        <v>9</v>
      </c>
      <c r="B17" s="19" t="s">
        <v>70</v>
      </c>
      <c r="C17" s="3" t="s">
        <v>71</v>
      </c>
      <c r="D17" s="2" t="s">
        <v>79</v>
      </c>
      <c r="E17" s="10">
        <v>381</v>
      </c>
      <c r="F17" s="10">
        <v>650000</v>
      </c>
      <c r="G17" s="11">
        <v>0.25</v>
      </c>
      <c r="H17" s="12">
        <f t="shared" si="0"/>
        <v>812500</v>
      </c>
      <c r="I17" s="13">
        <f t="shared" si="1"/>
        <v>162500</v>
      </c>
      <c r="J17" s="14">
        <f t="shared" si="2"/>
        <v>0.25</v>
      </c>
      <c r="K17" s="13">
        <f t="shared" si="3"/>
        <v>1706.0367454068241</v>
      </c>
      <c r="L17" s="13">
        <f t="shared" si="4"/>
        <v>2132.5459317585301</v>
      </c>
      <c r="M17" s="13">
        <f t="shared" si="5"/>
        <v>426.50918635170592</v>
      </c>
      <c r="N17" s="15">
        <f t="shared" si="6"/>
        <v>173.18181818181816</v>
      </c>
      <c r="O17" s="13">
        <f t="shared" si="7"/>
        <v>100445.45454545453</v>
      </c>
      <c r="P17" s="16">
        <v>0.47589999999999999</v>
      </c>
      <c r="Q17" s="17">
        <f t="shared" si="8"/>
        <v>735166.25</v>
      </c>
      <c r="R17" s="17">
        <f t="shared" si="9"/>
        <v>85166.25</v>
      </c>
      <c r="S17" s="18">
        <f t="shared" si="10"/>
        <v>-77333.75</v>
      </c>
    </row>
    <row r="18" spans="1:25" ht="15.75" customHeight="1" x14ac:dyDescent="0.35">
      <c r="A18" s="9">
        <v>10</v>
      </c>
      <c r="B18" s="9" t="s">
        <v>70</v>
      </c>
      <c r="C18" s="5" t="s">
        <v>71</v>
      </c>
      <c r="D18" s="4" t="s">
        <v>80</v>
      </c>
      <c r="E18" s="10">
        <v>444</v>
      </c>
      <c r="F18" s="10">
        <v>650000</v>
      </c>
      <c r="G18" s="11">
        <v>0.25</v>
      </c>
      <c r="H18" s="12">
        <f t="shared" si="0"/>
        <v>812500</v>
      </c>
      <c r="I18" s="13">
        <f t="shared" si="1"/>
        <v>162500</v>
      </c>
      <c r="J18" s="14">
        <f t="shared" si="2"/>
        <v>0.25</v>
      </c>
      <c r="K18" s="13">
        <f t="shared" si="3"/>
        <v>1463.963963963964</v>
      </c>
      <c r="L18" s="13">
        <f t="shared" si="4"/>
        <v>1829.9549549549549</v>
      </c>
      <c r="M18" s="13">
        <f t="shared" si="5"/>
        <v>365.99099099099089</v>
      </c>
      <c r="N18" s="15">
        <f t="shared" si="6"/>
        <v>201.81818181818181</v>
      </c>
      <c r="O18" s="13">
        <f t="shared" si="7"/>
        <v>117054.54545454546</v>
      </c>
      <c r="P18" s="16">
        <v>0.20860000000000001</v>
      </c>
      <c r="Q18" s="17">
        <f t="shared" si="8"/>
        <v>778602.5</v>
      </c>
      <c r="R18" s="17">
        <f t="shared" si="9"/>
        <v>128602.5</v>
      </c>
      <c r="S18" s="18">
        <f t="shared" si="10"/>
        <v>-33897.5</v>
      </c>
    </row>
    <row r="19" spans="1:25" ht="15.75" customHeight="1" x14ac:dyDescent="0.35">
      <c r="A19" s="19">
        <v>11</v>
      </c>
      <c r="B19" s="19" t="s">
        <v>70</v>
      </c>
      <c r="C19" s="3" t="s">
        <v>71</v>
      </c>
      <c r="D19" s="2" t="s">
        <v>81</v>
      </c>
      <c r="E19" s="10">
        <v>405</v>
      </c>
      <c r="F19" s="10">
        <v>650000</v>
      </c>
      <c r="G19" s="11">
        <v>0.25</v>
      </c>
      <c r="H19" s="12">
        <f t="shared" si="0"/>
        <v>812500</v>
      </c>
      <c r="I19" s="13">
        <f t="shared" si="1"/>
        <v>162500</v>
      </c>
      <c r="J19" s="14">
        <f t="shared" si="2"/>
        <v>0.25</v>
      </c>
      <c r="K19" s="13">
        <f t="shared" si="3"/>
        <v>1604.9382716049383</v>
      </c>
      <c r="L19" s="13">
        <f t="shared" si="4"/>
        <v>2006.1728395061727</v>
      </c>
      <c r="M19" s="13">
        <f t="shared" si="5"/>
        <v>401.23456790123441</v>
      </c>
      <c r="N19" s="15">
        <f t="shared" si="6"/>
        <v>184.09090909090907</v>
      </c>
      <c r="O19" s="13">
        <f t="shared" si="7"/>
        <v>106772.72727272726</v>
      </c>
      <c r="P19" s="16">
        <v>0.47589999999999999</v>
      </c>
      <c r="Q19" s="17">
        <f t="shared" si="8"/>
        <v>735166.25</v>
      </c>
      <c r="R19" s="17">
        <f t="shared" si="9"/>
        <v>85166.25</v>
      </c>
      <c r="S19" s="18">
        <f t="shared" si="10"/>
        <v>-77333.75</v>
      </c>
    </row>
    <row r="20" spans="1:25" ht="15.75" customHeight="1" x14ac:dyDescent="0.35">
      <c r="A20" s="9">
        <v>12</v>
      </c>
      <c r="B20" s="9" t="s">
        <v>70</v>
      </c>
      <c r="C20" s="5" t="s">
        <v>71</v>
      </c>
      <c r="D20" s="4" t="s">
        <v>82</v>
      </c>
      <c r="E20" s="10">
        <v>438</v>
      </c>
      <c r="F20" s="10">
        <v>650000</v>
      </c>
      <c r="G20" s="11">
        <v>0.25</v>
      </c>
      <c r="H20" s="12">
        <f t="shared" si="0"/>
        <v>812500</v>
      </c>
      <c r="I20" s="13">
        <f t="shared" si="1"/>
        <v>162500</v>
      </c>
      <c r="J20" s="14">
        <f t="shared" si="2"/>
        <v>0.25</v>
      </c>
      <c r="K20" s="13">
        <f t="shared" si="3"/>
        <v>1484.0182648401826</v>
      </c>
      <c r="L20" s="13">
        <f t="shared" si="4"/>
        <v>1855.0228310502282</v>
      </c>
      <c r="M20" s="13">
        <f t="shared" si="5"/>
        <v>371.0045662100456</v>
      </c>
      <c r="N20" s="15">
        <f t="shared" si="6"/>
        <v>199.09090909090907</v>
      </c>
      <c r="O20" s="13">
        <f t="shared" si="7"/>
        <v>115472.72727272726</v>
      </c>
      <c r="P20" s="16">
        <v>0.47589999999999999</v>
      </c>
      <c r="Q20" s="17">
        <f t="shared" si="8"/>
        <v>735166.25</v>
      </c>
      <c r="R20" s="17">
        <f t="shared" si="9"/>
        <v>85166.25</v>
      </c>
      <c r="S20" s="18">
        <f t="shared" si="10"/>
        <v>-77333.75</v>
      </c>
    </row>
    <row r="21" spans="1:25" ht="15.75" customHeight="1" x14ac:dyDescent="0.35">
      <c r="A21" s="19">
        <v>13</v>
      </c>
      <c r="B21" s="19" t="s">
        <v>70</v>
      </c>
      <c r="C21" s="3" t="s">
        <v>71</v>
      </c>
      <c r="D21" s="2" t="s">
        <v>83</v>
      </c>
      <c r="E21" s="10">
        <v>404</v>
      </c>
      <c r="F21" s="10">
        <v>650000</v>
      </c>
      <c r="G21" s="11">
        <v>0.25</v>
      </c>
      <c r="H21" s="12">
        <f t="shared" si="0"/>
        <v>812500</v>
      </c>
      <c r="I21" s="13">
        <f t="shared" si="1"/>
        <v>162500</v>
      </c>
      <c r="J21" s="14">
        <f t="shared" si="2"/>
        <v>0.25</v>
      </c>
      <c r="K21" s="13">
        <f t="shared" si="3"/>
        <v>1608.9108910891089</v>
      </c>
      <c r="L21" s="13">
        <f t="shared" si="4"/>
        <v>2011.1386138613861</v>
      </c>
      <c r="M21" s="13">
        <f t="shared" si="5"/>
        <v>402.22772277227727</v>
      </c>
      <c r="N21" s="15">
        <f t="shared" si="6"/>
        <v>183.63636363636363</v>
      </c>
      <c r="O21" s="13">
        <f t="shared" si="7"/>
        <v>106509.0909090909</v>
      </c>
      <c r="P21" s="16">
        <v>0.47589999999999999</v>
      </c>
      <c r="Q21" s="17">
        <f t="shared" si="8"/>
        <v>735166.25</v>
      </c>
      <c r="R21" s="17">
        <f t="shared" si="9"/>
        <v>85166.25</v>
      </c>
      <c r="S21" s="18">
        <f t="shared" si="10"/>
        <v>-77333.75</v>
      </c>
    </row>
    <row r="22" spans="1:25" ht="15.75" customHeight="1" x14ac:dyDescent="0.35">
      <c r="A22" s="9">
        <v>14</v>
      </c>
      <c r="B22" s="9" t="s">
        <v>70</v>
      </c>
      <c r="C22" s="5" t="s">
        <v>71</v>
      </c>
      <c r="D22" s="4" t="s">
        <v>84</v>
      </c>
      <c r="E22" s="10">
        <v>387</v>
      </c>
      <c r="F22" s="10">
        <v>650000</v>
      </c>
      <c r="G22" s="11">
        <v>0.25</v>
      </c>
      <c r="H22" s="12">
        <f t="shared" si="0"/>
        <v>812500</v>
      </c>
      <c r="I22" s="13">
        <f t="shared" si="1"/>
        <v>162500</v>
      </c>
      <c r="J22" s="14">
        <f t="shared" si="2"/>
        <v>0.25</v>
      </c>
      <c r="K22" s="13">
        <f t="shared" si="3"/>
        <v>1679.5865633074936</v>
      </c>
      <c r="L22" s="13">
        <f t="shared" si="4"/>
        <v>2099.483204134367</v>
      </c>
      <c r="M22" s="13">
        <f t="shared" si="5"/>
        <v>419.89664082687341</v>
      </c>
      <c r="N22" s="15">
        <f t="shared" si="6"/>
        <v>175.90909090909091</v>
      </c>
      <c r="O22" s="13">
        <f t="shared" si="7"/>
        <v>102027.27272727272</v>
      </c>
      <c r="P22" s="16">
        <v>0.47589999999999999</v>
      </c>
      <c r="Q22" s="17">
        <f t="shared" si="8"/>
        <v>735166.25</v>
      </c>
      <c r="R22" s="17">
        <f t="shared" si="9"/>
        <v>85166.25</v>
      </c>
      <c r="S22" s="18">
        <f t="shared" si="10"/>
        <v>-77333.75</v>
      </c>
    </row>
    <row r="23" spans="1:25" ht="15.75" customHeight="1" x14ac:dyDescent="0.35">
      <c r="A23" s="19">
        <v>15</v>
      </c>
      <c r="B23" s="19" t="s">
        <v>70</v>
      </c>
      <c r="C23" s="3" t="s">
        <v>71</v>
      </c>
      <c r="D23" s="2" t="s">
        <v>85</v>
      </c>
      <c r="E23" s="10">
        <v>399</v>
      </c>
      <c r="F23" s="10">
        <v>650000</v>
      </c>
      <c r="G23" s="11">
        <v>0.25</v>
      </c>
      <c r="H23" s="12">
        <f t="shared" si="0"/>
        <v>812500</v>
      </c>
      <c r="I23" s="13">
        <f t="shared" si="1"/>
        <v>162500</v>
      </c>
      <c r="J23" s="14">
        <f t="shared" si="2"/>
        <v>0.25</v>
      </c>
      <c r="K23" s="13">
        <f t="shared" si="3"/>
        <v>1629.0726817042607</v>
      </c>
      <c r="L23" s="13">
        <f t="shared" si="4"/>
        <v>2036.3408521303259</v>
      </c>
      <c r="M23" s="13">
        <f t="shared" si="5"/>
        <v>407.26817042606513</v>
      </c>
      <c r="N23" s="15">
        <f t="shared" si="6"/>
        <v>181.36363636363635</v>
      </c>
      <c r="O23" s="13">
        <f t="shared" si="7"/>
        <v>105190.90909090907</v>
      </c>
      <c r="P23" s="16">
        <v>0.47589999999999999</v>
      </c>
      <c r="Q23" s="17">
        <f t="shared" si="8"/>
        <v>735166.25</v>
      </c>
      <c r="R23" s="17">
        <f t="shared" si="9"/>
        <v>85166.25</v>
      </c>
      <c r="S23" s="18">
        <f t="shared" si="10"/>
        <v>-77333.75</v>
      </c>
    </row>
    <row r="24" spans="1:25" ht="15.75" customHeight="1" x14ac:dyDescent="0.35">
      <c r="A24" s="9">
        <v>16</v>
      </c>
      <c r="B24" s="9" t="s">
        <v>70</v>
      </c>
      <c r="C24" s="5" t="s">
        <v>71</v>
      </c>
      <c r="D24" s="4" t="s">
        <v>86</v>
      </c>
      <c r="E24" s="10">
        <v>365</v>
      </c>
      <c r="F24" s="10">
        <v>650000</v>
      </c>
      <c r="G24" s="11">
        <v>0.25</v>
      </c>
      <c r="H24" s="12">
        <f t="shared" si="0"/>
        <v>812500</v>
      </c>
      <c r="I24" s="13">
        <f t="shared" si="1"/>
        <v>162500</v>
      </c>
      <c r="J24" s="14">
        <f t="shared" si="2"/>
        <v>0.25</v>
      </c>
      <c r="K24" s="13">
        <f t="shared" si="3"/>
        <v>1780.8219178082193</v>
      </c>
      <c r="L24" s="13">
        <f t="shared" si="4"/>
        <v>2226.027397260274</v>
      </c>
      <c r="M24" s="13">
        <f t="shared" si="5"/>
        <v>445.20547945205476</v>
      </c>
      <c r="N24" s="15">
        <f t="shared" si="6"/>
        <v>165.90909090909091</v>
      </c>
      <c r="O24" s="13">
        <f t="shared" si="7"/>
        <v>96227.272727272721</v>
      </c>
      <c r="P24" s="16">
        <v>0.47589999999999999</v>
      </c>
      <c r="Q24" s="17">
        <f t="shared" si="8"/>
        <v>735166.25</v>
      </c>
      <c r="R24" s="17">
        <f t="shared" si="9"/>
        <v>85166.25</v>
      </c>
      <c r="S24" s="18">
        <f t="shared" si="10"/>
        <v>-77333.75</v>
      </c>
    </row>
    <row r="25" spans="1:25" ht="15.75" customHeight="1" x14ac:dyDescent="0.35">
      <c r="A25" s="19">
        <v>17</v>
      </c>
      <c r="B25" s="19" t="s">
        <v>70</v>
      </c>
      <c r="C25" s="3" t="s">
        <v>71</v>
      </c>
      <c r="D25" s="2" t="s">
        <v>87</v>
      </c>
      <c r="E25" s="10">
        <v>451</v>
      </c>
      <c r="F25" s="10">
        <v>650000</v>
      </c>
      <c r="G25" s="11">
        <v>0.25</v>
      </c>
      <c r="H25" s="12">
        <f t="shared" si="0"/>
        <v>812500</v>
      </c>
      <c r="I25" s="13">
        <f t="shared" si="1"/>
        <v>162500</v>
      </c>
      <c r="J25" s="14">
        <f t="shared" si="2"/>
        <v>0.25</v>
      </c>
      <c r="K25" s="13">
        <f t="shared" si="3"/>
        <v>1441.2416851441242</v>
      </c>
      <c r="L25" s="13">
        <f t="shared" si="4"/>
        <v>1801.5521064301552</v>
      </c>
      <c r="M25" s="13">
        <f t="shared" si="5"/>
        <v>360.31042128603099</v>
      </c>
      <c r="N25" s="15">
        <f t="shared" si="6"/>
        <v>204.99999999999997</v>
      </c>
      <c r="O25" s="13">
        <f t="shared" si="7"/>
        <v>118899.99999999999</v>
      </c>
      <c r="P25" s="16">
        <v>0.47589999999999999</v>
      </c>
      <c r="Q25" s="17">
        <f t="shared" si="8"/>
        <v>735166.25</v>
      </c>
      <c r="R25" s="17">
        <f t="shared" si="9"/>
        <v>85166.25</v>
      </c>
      <c r="S25" s="18">
        <f t="shared" si="10"/>
        <v>-77333.75</v>
      </c>
    </row>
    <row r="26" spans="1:25" ht="15.75" customHeight="1" x14ac:dyDescent="0.35">
      <c r="A26" s="9">
        <v>18</v>
      </c>
      <c r="B26" s="9" t="s">
        <v>70</v>
      </c>
      <c r="C26" s="5" t="s">
        <v>71</v>
      </c>
      <c r="D26" s="4" t="s">
        <v>88</v>
      </c>
      <c r="E26" s="10">
        <v>389</v>
      </c>
      <c r="F26" s="10">
        <v>650000</v>
      </c>
      <c r="G26" s="11">
        <v>0.25</v>
      </c>
      <c r="H26" s="12">
        <f t="shared" si="0"/>
        <v>812500</v>
      </c>
      <c r="I26" s="13">
        <f t="shared" si="1"/>
        <v>162500</v>
      </c>
      <c r="J26" s="14">
        <f t="shared" si="2"/>
        <v>0.25</v>
      </c>
      <c r="K26" s="13">
        <f t="shared" si="3"/>
        <v>1670.9511568123394</v>
      </c>
      <c r="L26" s="13">
        <f t="shared" si="4"/>
        <v>2088.6889460154243</v>
      </c>
      <c r="M26" s="13">
        <f t="shared" si="5"/>
        <v>417.73778920308496</v>
      </c>
      <c r="N26" s="15">
        <f t="shared" si="6"/>
        <v>176.81818181818181</v>
      </c>
      <c r="O26" s="13">
        <f t="shared" si="7"/>
        <v>102554.54545454546</v>
      </c>
      <c r="P26" s="16">
        <v>0.47589999999999999</v>
      </c>
      <c r="Q26" s="17">
        <f t="shared" si="8"/>
        <v>735166.25</v>
      </c>
      <c r="R26" s="17">
        <f t="shared" si="9"/>
        <v>85166.25</v>
      </c>
      <c r="S26" s="18">
        <f t="shared" si="10"/>
        <v>-77333.75</v>
      </c>
    </row>
    <row r="27" spans="1:25" ht="15.75" customHeight="1" x14ac:dyDescent="0.35">
      <c r="A27" s="19">
        <v>19</v>
      </c>
      <c r="B27" s="19" t="s">
        <v>70</v>
      </c>
      <c r="C27" s="3" t="s">
        <v>71</v>
      </c>
      <c r="D27" s="2" t="s">
        <v>89</v>
      </c>
      <c r="E27" s="10">
        <v>471</v>
      </c>
      <c r="F27" s="10">
        <v>650000</v>
      </c>
      <c r="G27" s="11">
        <v>0.25</v>
      </c>
      <c r="H27" s="12">
        <f t="shared" si="0"/>
        <v>812500</v>
      </c>
      <c r="I27" s="13">
        <f t="shared" si="1"/>
        <v>162500</v>
      </c>
      <c r="J27" s="14">
        <f t="shared" si="2"/>
        <v>0.25</v>
      </c>
      <c r="K27" s="13">
        <f t="shared" si="3"/>
        <v>1380.0424628450105</v>
      </c>
      <c r="L27" s="13">
        <f t="shared" si="4"/>
        <v>1725.0530785562632</v>
      </c>
      <c r="M27" s="13">
        <f t="shared" si="5"/>
        <v>345.01061571125274</v>
      </c>
      <c r="N27" s="15">
        <f t="shared" si="6"/>
        <v>214.09090909090907</v>
      </c>
      <c r="O27" s="13">
        <f t="shared" si="7"/>
        <v>124172.72727272726</v>
      </c>
      <c r="P27" s="16">
        <v>0.47589999999999999</v>
      </c>
      <c r="Q27" s="17">
        <f t="shared" si="8"/>
        <v>735166.25</v>
      </c>
      <c r="R27" s="17">
        <f t="shared" si="9"/>
        <v>85166.25</v>
      </c>
      <c r="S27" s="18">
        <f t="shared" si="10"/>
        <v>-77333.75</v>
      </c>
    </row>
    <row r="28" spans="1:25" ht="18" customHeight="1" x14ac:dyDescent="0.35">
      <c r="A28" s="25" t="s">
        <v>90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</row>
    <row r="29" spans="1:25" ht="15.75" customHeight="1" x14ac:dyDescent="0.35">
      <c r="A29" s="19">
        <v>20</v>
      </c>
      <c r="B29" s="19" t="s">
        <v>91</v>
      </c>
      <c r="C29" s="3" t="s">
        <v>92</v>
      </c>
      <c r="D29" s="2" t="s">
        <v>93</v>
      </c>
      <c r="E29" s="10">
        <v>276</v>
      </c>
      <c r="F29" s="10">
        <v>600000</v>
      </c>
      <c r="G29" s="11">
        <v>0.25</v>
      </c>
      <c r="H29" s="12">
        <f t="shared" ref="H29:H53" si="11">F29*(1+G29)</f>
        <v>750000</v>
      </c>
      <c r="I29" s="13">
        <f t="shared" ref="I29:I53" si="12">H29-F29</f>
        <v>150000</v>
      </c>
      <c r="J29" s="14">
        <f t="shared" ref="J29:J53" si="13">I29/F29</f>
        <v>0.25</v>
      </c>
      <c r="K29" s="13">
        <f t="shared" ref="K29:K53" si="14">F29/E29</f>
        <v>2173.913043478261</v>
      </c>
      <c r="L29" s="13">
        <f t="shared" ref="L29:L53" si="15">H29/E29</f>
        <v>2717.391304347826</v>
      </c>
      <c r="M29" s="13">
        <f t="shared" ref="M29:M53" si="16">L29-K29</f>
        <v>543.47826086956502</v>
      </c>
      <c r="N29" s="15">
        <f t="shared" ref="N29:N53" si="17">E29/2.2</f>
        <v>125.45454545454544</v>
      </c>
      <c r="O29" s="13">
        <f t="shared" ref="O29:O53" si="18">N29*580</f>
        <v>72763.636363636353</v>
      </c>
      <c r="P29" s="16">
        <v>0.47589999999999999</v>
      </c>
      <c r="Q29" s="17">
        <f t="shared" ref="Q29:Q53" si="19">+F29+R29</f>
        <v>678615</v>
      </c>
      <c r="R29" s="17">
        <f t="shared" ref="R29:R53" si="20">I29*(1-P29)</f>
        <v>78615</v>
      </c>
      <c r="S29" s="18">
        <f t="shared" ref="S29:S53" si="21">+Q29-H29</f>
        <v>-71385</v>
      </c>
      <c r="T29" s="18"/>
      <c r="U29" s="18"/>
      <c r="W29" s="22"/>
      <c r="X29" s="22"/>
      <c r="Y29" s="22"/>
    </row>
    <row r="30" spans="1:25" ht="15.75" customHeight="1" x14ac:dyDescent="0.35">
      <c r="A30" s="9">
        <v>21</v>
      </c>
      <c r="B30" s="9" t="s">
        <v>91</v>
      </c>
      <c r="C30" s="5" t="s">
        <v>92</v>
      </c>
      <c r="D30" s="4" t="s">
        <v>94</v>
      </c>
      <c r="E30" s="10">
        <v>358</v>
      </c>
      <c r="F30" s="10">
        <v>600000</v>
      </c>
      <c r="G30" s="11">
        <v>0.25</v>
      </c>
      <c r="H30" s="12">
        <f t="shared" si="11"/>
        <v>750000</v>
      </c>
      <c r="I30" s="13">
        <f t="shared" si="12"/>
        <v>150000</v>
      </c>
      <c r="J30" s="14">
        <f t="shared" si="13"/>
        <v>0.25</v>
      </c>
      <c r="K30" s="13">
        <f t="shared" si="14"/>
        <v>1675.977653631285</v>
      </c>
      <c r="L30" s="13">
        <f t="shared" si="15"/>
        <v>2094.9720670391062</v>
      </c>
      <c r="M30" s="13">
        <f t="shared" si="16"/>
        <v>418.99441340782118</v>
      </c>
      <c r="N30" s="15">
        <f t="shared" si="17"/>
        <v>162.72727272727272</v>
      </c>
      <c r="O30" s="13">
        <f t="shared" si="18"/>
        <v>94381.818181818177</v>
      </c>
      <c r="P30" s="16">
        <v>0.47589999999999999</v>
      </c>
      <c r="Q30" s="17">
        <f t="shared" si="19"/>
        <v>678615</v>
      </c>
      <c r="R30" s="17">
        <f t="shared" si="20"/>
        <v>78615</v>
      </c>
      <c r="S30" s="18">
        <f t="shared" si="21"/>
        <v>-71385</v>
      </c>
    </row>
    <row r="31" spans="1:25" ht="15.75" customHeight="1" x14ac:dyDescent="0.35">
      <c r="A31" s="19">
        <v>22</v>
      </c>
      <c r="B31" s="19" t="s">
        <v>91</v>
      </c>
      <c r="C31" s="3" t="s">
        <v>92</v>
      </c>
      <c r="D31" s="2" t="s">
        <v>95</v>
      </c>
      <c r="E31" s="10">
        <v>356</v>
      </c>
      <c r="F31" s="10">
        <v>600000</v>
      </c>
      <c r="G31" s="11">
        <v>0.25</v>
      </c>
      <c r="H31" s="12">
        <f t="shared" si="11"/>
        <v>750000</v>
      </c>
      <c r="I31" s="13">
        <f t="shared" si="12"/>
        <v>150000</v>
      </c>
      <c r="J31" s="14">
        <f t="shared" si="13"/>
        <v>0.25</v>
      </c>
      <c r="K31" s="13">
        <f t="shared" si="14"/>
        <v>1685.3932584269662</v>
      </c>
      <c r="L31" s="13">
        <f t="shared" si="15"/>
        <v>2106.7415730337079</v>
      </c>
      <c r="M31" s="13">
        <f t="shared" si="16"/>
        <v>421.34831460674172</v>
      </c>
      <c r="N31" s="15">
        <f t="shared" si="17"/>
        <v>161.81818181818181</v>
      </c>
      <c r="O31" s="13">
        <f t="shared" si="18"/>
        <v>93854.545454545456</v>
      </c>
      <c r="P31" s="16">
        <v>0.47589999999999999</v>
      </c>
      <c r="Q31" s="17">
        <f t="shared" si="19"/>
        <v>678615</v>
      </c>
      <c r="R31" s="17">
        <f t="shared" si="20"/>
        <v>78615</v>
      </c>
      <c r="S31" s="18">
        <f t="shared" si="21"/>
        <v>-71385</v>
      </c>
    </row>
    <row r="32" spans="1:25" ht="15.75" customHeight="1" x14ac:dyDescent="0.35">
      <c r="A32" s="9">
        <v>23</v>
      </c>
      <c r="B32" s="9" t="s">
        <v>91</v>
      </c>
      <c r="C32" s="5" t="s">
        <v>92</v>
      </c>
      <c r="D32" s="4" t="s">
        <v>96</v>
      </c>
      <c r="E32" s="10">
        <v>319</v>
      </c>
      <c r="F32" s="10">
        <v>600000</v>
      </c>
      <c r="G32" s="11">
        <v>0.25</v>
      </c>
      <c r="H32" s="12">
        <f t="shared" si="11"/>
        <v>750000</v>
      </c>
      <c r="I32" s="13">
        <f t="shared" si="12"/>
        <v>150000</v>
      </c>
      <c r="J32" s="14">
        <f t="shared" si="13"/>
        <v>0.25</v>
      </c>
      <c r="K32" s="13">
        <f t="shared" si="14"/>
        <v>1880.8777429467084</v>
      </c>
      <c r="L32" s="13">
        <f t="shared" si="15"/>
        <v>2351.0971786833857</v>
      </c>
      <c r="M32" s="13">
        <f t="shared" si="16"/>
        <v>470.21943573667727</v>
      </c>
      <c r="N32" s="15">
        <f t="shared" si="17"/>
        <v>145</v>
      </c>
      <c r="O32" s="13">
        <f t="shared" si="18"/>
        <v>84100</v>
      </c>
      <c r="P32" s="16">
        <v>0.47589999999999999</v>
      </c>
      <c r="Q32" s="17">
        <f t="shared" si="19"/>
        <v>678615</v>
      </c>
      <c r="R32" s="17">
        <f t="shared" si="20"/>
        <v>78615</v>
      </c>
      <c r="S32" s="18">
        <f t="shared" si="21"/>
        <v>-71385</v>
      </c>
    </row>
    <row r="33" spans="1:19" ht="15.75" customHeight="1" x14ac:dyDescent="0.35">
      <c r="A33" s="19">
        <v>24</v>
      </c>
      <c r="B33" s="19" t="s">
        <v>91</v>
      </c>
      <c r="C33" s="3" t="s">
        <v>92</v>
      </c>
      <c r="D33" s="2" t="s">
        <v>97</v>
      </c>
      <c r="E33" s="10">
        <v>316</v>
      </c>
      <c r="F33" s="10">
        <v>600000</v>
      </c>
      <c r="G33" s="11">
        <v>0.25</v>
      </c>
      <c r="H33" s="12">
        <f t="shared" si="11"/>
        <v>750000</v>
      </c>
      <c r="I33" s="13">
        <f t="shared" si="12"/>
        <v>150000</v>
      </c>
      <c r="J33" s="14">
        <f t="shared" si="13"/>
        <v>0.25</v>
      </c>
      <c r="K33" s="13">
        <f t="shared" si="14"/>
        <v>1898.7341772151899</v>
      </c>
      <c r="L33" s="13">
        <f t="shared" si="15"/>
        <v>2373.4177215189875</v>
      </c>
      <c r="M33" s="13">
        <f t="shared" si="16"/>
        <v>474.68354430379759</v>
      </c>
      <c r="N33" s="15">
        <f t="shared" si="17"/>
        <v>143.63636363636363</v>
      </c>
      <c r="O33" s="13">
        <f t="shared" si="18"/>
        <v>83309.090909090897</v>
      </c>
      <c r="P33" s="16">
        <v>0.47589999999999999</v>
      </c>
      <c r="Q33" s="17">
        <f t="shared" si="19"/>
        <v>678615</v>
      </c>
      <c r="R33" s="17">
        <f t="shared" si="20"/>
        <v>78615</v>
      </c>
      <c r="S33" s="18">
        <f t="shared" si="21"/>
        <v>-71385</v>
      </c>
    </row>
    <row r="34" spans="1:19" ht="15.75" customHeight="1" x14ac:dyDescent="0.35">
      <c r="A34" s="9">
        <v>25</v>
      </c>
      <c r="B34" s="9" t="s">
        <v>91</v>
      </c>
      <c r="C34" s="5" t="s">
        <v>92</v>
      </c>
      <c r="D34" s="4" t="s">
        <v>98</v>
      </c>
      <c r="E34" s="10">
        <v>335</v>
      </c>
      <c r="F34" s="10">
        <v>600000</v>
      </c>
      <c r="G34" s="11">
        <v>0.25</v>
      </c>
      <c r="H34" s="12">
        <f t="shared" si="11"/>
        <v>750000</v>
      </c>
      <c r="I34" s="13">
        <f t="shared" si="12"/>
        <v>150000</v>
      </c>
      <c r="J34" s="14">
        <f t="shared" si="13"/>
        <v>0.25</v>
      </c>
      <c r="K34" s="13">
        <f t="shared" si="14"/>
        <v>1791.044776119403</v>
      </c>
      <c r="L34" s="13">
        <f t="shared" si="15"/>
        <v>2238.8059701492539</v>
      </c>
      <c r="M34" s="13">
        <f t="shared" si="16"/>
        <v>447.76119402985091</v>
      </c>
      <c r="N34" s="15">
        <f t="shared" si="17"/>
        <v>152.27272727272725</v>
      </c>
      <c r="O34" s="13">
        <f t="shared" si="18"/>
        <v>88318.181818181809</v>
      </c>
      <c r="P34" s="16">
        <v>0.47589999999999999</v>
      </c>
      <c r="Q34" s="17">
        <f t="shared" si="19"/>
        <v>678615</v>
      </c>
      <c r="R34" s="17">
        <f t="shared" si="20"/>
        <v>78615</v>
      </c>
      <c r="S34" s="18">
        <f t="shared" si="21"/>
        <v>-71385</v>
      </c>
    </row>
    <row r="35" spans="1:19" ht="15.75" customHeight="1" x14ac:dyDescent="0.35">
      <c r="A35" s="19">
        <v>26</v>
      </c>
      <c r="B35" s="19" t="s">
        <v>91</v>
      </c>
      <c r="C35" s="3" t="s">
        <v>92</v>
      </c>
      <c r="D35" s="2" t="s">
        <v>99</v>
      </c>
      <c r="E35" s="10">
        <v>219</v>
      </c>
      <c r="F35" s="10">
        <v>600000</v>
      </c>
      <c r="G35" s="11">
        <v>0.25</v>
      </c>
      <c r="H35" s="12">
        <f t="shared" si="11"/>
        <v>750000</v>
      </c>
      <c r="I35" s="13">
        <f t="shared" si="12"/>
        <v>150000</v>
      </c>
      <c r="J35" s="14">
        <f t="shared" si="13"/>
        <v>0.25</v>
      </c>
      <c r="K35" s="13">
        <f t="shared" si="14"/>
        <v>2739.7260273972602</v>
      </c>
      <c r="L35" s="13">
        <f t="shared" si="15"/>
        <v>3424.6575342465753</v>
      </c>
      <c r="M35" s="13">
        <f t="shared" si="16"/>
        <v>684.93150684931516</v>
      </c>
      <c r="N35" s="15">
        <f t="shared" si="17"/>
        <v>99.545454545454533</v>
      </c>
      <c r="O35" s="13">
        <f t="shared" si="18"/>
        <v>57736.363636363632</v>
      </c>
      <c r="P35" s="16">
        <v>0.47589999999999999</v>
      </c>
      <c r="Q35" s="17">
        <f t="shared" si="19"/>
        <v>678615</v>
      </c>
      <c r="R35" s="17">
        <f t="shared" si="20"/>
        <v>78615</v>
      </c>
      <c r="S35" s="18">
        <f t="shared" si="21"/>
        <v>-71385</v>
      </c>
    </row>
    <row r="36" spans="1:19" ht="15.75" customHeight="1" x14ac:dyDescent="0.35">
      <c r="A36" s="9">
        <v>27</v>
      </c>
      <c r="B36" s="9" t="s">
        <v>91</v>
      </c>
      <c r="C36" s="5" t="s">
        <v>92</v>
      </c>
      <c r="D36" s="4" t="s">
        <v>100</v>
      </c>
      <c r="E36" s="10">
        <v>338</v>
      </c>
      <c r="F36" s="10">
        <v>600000</v>
      </c>
      <c r="G36" s="11">
        <v>0.25</v>
      </c>
      <c r="H36" s="12">
        <f t="shared" si="11"/>
        <v>750000</v>
      </c>
      <c r="I36" s="13">
        <f t="shared" si="12"/>
        <v>150000</v>
      </c>
      <c r="J36" s="14">
        <f t="shared" si="13"/>
        <v>0.25</v>
      </c>
      <c r="K36" s="13">
        <f t="shared" si="14"/>
        <v>1775.1479289940828</v>
      </c>
      <c r="L36" s="13">
        <f t="shared" si="15"/>
        <v>2218.9349112426034</v>
      </c>
      <c r="M36" s="13">
        <f t="shared" si="16"/>
        <v>443.78698224852064</v>
      </c>
      <c r="N36" s="15">
        <f t="shared" si="17"/>
        <v>153.63636363636363</v>
      </c>
      <c r="O36" s="13">
        <f t="shared" si="18"/>
        <v>89109.090909090897</v>
      </c>
      <c r="P36" s="16">
        <v>0.47589999999999999</v>
      </c>
      <c r="Q36" s="17">
        <f t="shared" si="19"/>
        <v>678615</v>
      </c>
      <c r="R36" s="17">
        <f t="shared" si="20"/>
        <v>78615</v>
      </c>
      <c r="S36" s="18">
        <f t="shared" si="21"/>
        <v>-71385</v>
      </c>
    </row>
    <row r="37" spans="1:19" ht="15.75" customHeight="1" x14ac:dyDescent="0.35">
      <c r="A37" s="19">
        <v>28</v>
      </c>
      <c r="B37" s="19" t="s">
        <v>91</v>
      </c>
      <c r="C37" s="3" t="s">
        <v>92</v>
      </c>
      <c r="D37" s="2" t="s">
        <v>101</v>
      </c>
      <c r="E37" s="10">
        <v>308</v>
      </c>
      <c r="F37" s="10">
        <v>600000</v>
      </c>
      <c r="G37" s="11">
        <v>0.25</v>
      </c>
      <c r="H37" s="12">
        <f t="shared" si="11"/>
        <v>750000</v>
      </c>
      <c r="I37" s="13">
        <f t="shared" si="12"/>
        <v>150000</v>
      </c>
      <c r="J37" s="14">
        <f t="shared" si="13"/>
        <v>0.25</v>
      </c>
      <c r="K37" s="13">
        <f t="shared" si="14"/>
        <v>1948.0519480519481</v>
      </c>
      <c r="L37" s="13">
        <f t="shared" si="15"/>
        <v>2435.0649350649351</v>
      </c>
      <c r="M37" s="13">
        <f t="shared" si="16"/>
        <v>487.01298701298697</v>
      </c>
      <c r="N37" s="15">
        <f t="shared" si="17"/>
        <v>140</v>
      </c>
      <c r="O37" s="13">
        <f t="shared" si="18"/>
        <v>81200</v>
      </c>
      <c r="P37" s="16">
        <v>0.47589999999999999</v>
      </c>
      <c r="Q37" s="17">
        <f t="shared" si="19"/>
        <v>678615</v>
      </c>
      <c r="R37" s="17">
        <f t="shared" si="20"/>
        <v>78615</v>
      </c>
      <c r="S37" s="18">
        <f t="shared" si="21"/>
        <v>-71385</v>
      </c>
    </row>
    <row r="38" spans="1:19" ht="15.75" customHeight="1" x14ac:dyDescent="0.35">
      <c r="A38" s="9">
        <v>29</v>
      </c>
      <c r="B38" s="9" t="s">
        <v>91</v>
      </c>
      <c r="C38" s="5" t="s">
        <v>92</v>
      </c>
      <c r="D38" s="4" t="s">
        <v>102</v>
      </c>
      <c r="E38" s="10">
        <v>288</v>
      </c>
      <c r="F38" s="10">
        <v>600000</v>
      </c>
      <c r="G38" s="11">
        <v>0.25</v>
      </c>
      <c r="H38" s="12">
        <f t="shared" si="11"/>
        <v>750000</v>
      </c>
      <c r="I38" s="13">
        <f t="shared" si="12"/>
        <v>150000</v>
      </c>
      <c r="J38" s="14">
        <f t="shared" si="13"/>
        <v>0.25</v>
      </c>
      <c r="K38" s="13">
        <f t="shared" si="14"/>
        <v>2083.3333333333335</v>
      </c>
      <c r="L38" s="13">
        <f t="shared" si="15"/>
        <v>2604.1666666666665</v>
      </c>
      <c r="M38" s="13">
        <f t="shared" si="16"/>
        <v>520.83333333333303</v>
      </c>
      <c r="N38" s="15">
        <f t="shared" si="17"/>
        <v>130.90909090909091</v>
      </c>
      <c r="O38" s="13">
        <f t="shared" si="18"/>
        <v>75927.272727272721</v>
      </c>
      <c r="P38" s="16">
        <v>0.20860000000000001</v>
      </c>
      <c r="Q38" s="17">
        <f t="shared" si="19"/>
        <v>718710</v>
      </c>
      <c r="R38" s="17">
        <f t="shared" si="20"/>
        <v>118710</v>
      </c>
      <c r="S38" s="18">
        <f t="shared" si="21"/>
        <v>-31290</v>
      </c>
    </row>
    <row r="39" spans="1:19" ht="15.75" customHeight="1" x14ac:dyDescent="0.35">
      <c r="A39" s="19">
        <v>30</v>
      </c>
      <c r="B39" s="19" t="s">
        <v>91</v>
      </c>
      <c r="C39" s="3" t="s">
        <v>92</v>
      </c>
      <c r="D39" s="2" t="s">
        <v>103</v>
      </c>
      <c r="E39" s="10">
        <v>330</v>
      </c>
      <c r="F39" s="10">
        <v>600000</v>
      </c>
      <c r="G39" s="11">
        <v>0.25</v>
      </c>
      <c r="H39" s="12">
        <f t="shared" si="11"/>
        <v>750000</v>
      </c>
      <c r="I39" s="13">
        <f t="shared" si="12"/>
        <v>150000</v>
      </c>
      <c r="J39" s="14">
        <f t="shared" si="13"/>
        <v>0.25</v>
      </c>
      <c r="K39" s="13">
        <f t="shared" si="14"/>
        <v>1818.1818181818182</v>
      </c>
      <c r="L39" s="13">
        <f t="shared" si="15"/>
        <v>2272.7272727272725</v>
      </c>
      <c r="M39" s="13">
        <f t="shared" si="16"/>
        <v>454.54545454545428</v>
      </c>
      <c r="N39" s="15">
        <f t="shared" si="17"/>
        <v>150</v>
      </c>
      <c r="O39" s="13">
        <f t="shared" si="18"/>
        <v>87000</v>
      </c>
      <c r="P39" s="16">
        <v>0.47589999999999999</v>
      </c>
      <c r="Q39" s="17">
        <f t="shared" si="19"/>
        <v>678615</v>
      </c>
      <c r="R39" s="17">
        <f t="shared" si="20"/>
        <v>78615</v>
      </c>
      <c r="S39" s="18">
        <f t="shared" si="21"/>
        <v>-71385</v>
      </c>
    </row>
    <row r="40" spans="1:19" ht="15.75" customHeight="1" x14ac:dyDescent="0.35">
      <c r="A40" s="9">
        <v>31</v>
      </c>
      <c r="B40" s="9" t="s">
        <v>91</v>
      </c>
      <c r="C40" s="5" t="s">
        <v>92</v>
      </c>
      <c r="D40" s="4" t="s">
        <v>104</v>
      </c>
      <c r="E40" s="10">
        <v>268</v>
      </c>
      <c r="F40" s="10">
        <v>600000</v>
      </c>
      <c r="G40" s="11">
        <v>0.25</v>
      </c>
      <c r="H40" s="12">
        <f t="shared" si="11"/>
        <v>750000</v>
      </c>
      <c r="I40" s="13">
        <f t="shared" si="12"/>
        <v>150000</v>
      </c>
      <c r="J40" s="14">
        <f t="shared" si="13"/>
        <v>0.25</v>
      </c>
      <c r="K40" s="13">
        <f t="shared" si="14"/>
        <v>2238.8059701492539</v>
      </c>
      <c r="L40" s="13">
        <f t="shared" si="15"/>
        <v>2798.5074626865671</v>
      </c>
      <c r="M40" s="13">
        <f t="shared" si="16"/>
        <v>559.70149253731324</v>
      </c>
      <c r="N40" s="15">
        <f t="shared" si="17"/>
        <v>121.81818181818181</v>
      </c>
      <c r="O40" s="13">
        <f t="shared" si="18"/>
        <v>70654.545454545456</v>
      </c>
      <c r="P40" s="16">
        <v>0.47589999999999999</v>
      </c>
      <c r="Q40" s="17">
        <f t="shared" si="19"/>
        <v>678615</v>
      </c>
      <c r="R40" s="17">
        <f t="shared" si="20"/>
        <v>78615</v>
      </c>
      <c r="S40" s="18">
        <f t="shared" si="21"/>
        <v>-71385</v>
      </c>
    </row>
    <row r="41" spans="1:19" ht="15.75" customHeight="1" x14ac:dyDescent="0.35">
      <c r="A41" s="19">
        <v>32</v>
      </c>
      <c r="B41" s="19" t="s">
        <v>91</v>
      </c>
      <c r="C41" s="3" t="s">
        <v>92</v>
      </c>
      <c r="D41" s="2" t="s">
        <v>105</v>
      </c>
      <c r="E41" s="10">
        <v>250</v>
      </c>
      <c r="F41" s="10">
        <v>600000</v>
      </c>
      <c r="G41" s="11">
        <v>0.25</v>
      </c>
      <c r="H41" s="12">
        <f t="shared" si="11"/>
        <v>750000</v>
      </c>
      <c r="I41" s="13">
        <f t="shared" si="12"/>
        <v>150000</v>
      </c>
      <c r="J41" s="14">
        <f t="shared" si="13"/>
        <v>0.25</v>
      </c>
      <c r="K41" s="13">
        <f t="shared" si="14"/>
        <v>2400</v>
      </c>
      <c r="L41" s="13">
        <f t="shared" si="15"/>
        <v>3000</v>
      </c>
      <c r="M41" s="13">
        <f t="shared" si="16"/>
        <v>600</v>
      </c>
      <c r="N41" s="15">
        <f t="shared" si="17"/>
        <v>113.63636363636363</v>
      </c>
      <c r="O41" s="13">
        <f t="shared" si="18"/>
        <v>65909.090909090897</v>
      </c>
      <c r="P41" s="16">
        <v>0.47589999999999999</v>
      </c>
      <c r="Q41" s="17">
        <f t="shared" si="19"/>
        <v>678615</v>
      </c>
      <c r="R41" s="17">
        <f t="shared" si="20"/>
        <v>78615</v>
      </c>
      <c r="S41" s="18">
        <f t="shared" si="21"/>
        <v>-71385</v>
      </c>
    </row>
    <row r="42" spans="1:19" ht="15.75" customHeight="1" x14ac:dyDescent="0.35">
      <c r="A42" s="9">
        <v>33</v>
      </c>
      <c r="B42" s="9" t="s">
        <v>91</v>
      </c>
      <c r="C42" s="5" t="s">
        <v>92</v>
      </c>
      <c r="D42" s="4" t="s">
        <v>106</v>
      </c>
      <c r="E42" s="10">
        <v>232</v>
      </c>
      <c r="F42" s="10">
        <v>600000</v>
      </c>
      <c r="G42" s="11">
        <v>0.25</v>
      </c>
      <c r="H42" s="12">
        <f t="shared" si="11"/>
        <v>750000</v>
      </c>
      <c r="I42" s="13">
        <f t="shared" si="12"/>
        <v>150000</v>
      </c>
      <c r="J42" s="14">
        <f t="shared" si="13"/>
        <v>0.25</v>
      </c>
      <c r="K42" s="13">
        <f t="shared" si="14"/>
        <v>2586.2068965517242</v>
      </c>
      <c r="L42" s="13">
        <f t="shared" si="15"/>
        <v>3232.7586206896553</v>
      </c>
      <c r="M42" s="13">
        <f t="shared" si="16"/>
        <v>646.55172413793116</v>
      </c>
      <c r="N42" s="15">
        <f t="shared" si="17"/>
        <v>105.45454545454544</v>
      </c>
      <c r="O42" s="13">
        <f t="shared" si="18"/>
        <v>61163.636363636353</v>
      </c>
      <c r="P42" s="16">
        <v>0.47589999999999999</v>
      </c>
      <c r="Q42" s="17">
        <f t="shared" si="19"/>
        <v>678615</v>
      </c>
      <c r="R42" s="17">
        <f t="shared" si="20"/>
        <v>78615</v>
      </c>
      <c r="S42" s="18">
        <f t="shared" si="21"/>
        <v>-71385</v>
      </c>
    </row>
    <row r="43" spans="1:19" ht="15.75" customHeight="1" x14ac:dyDescent="0.35">
      <c r="A43" s="19">
        <v>34</v>
      </c>
      <c r="B43" s="19" t="s">
        <v>91</v>
      </c>
      <c r="C43" s="3" t="s">
        <v>92</v>
      </c>
      <c r="D43" s="2" t="s">
        <v>107</v>
      </c>
      <c r="E43" s="10">
        <v>282</v>
      </c>
      <c r="F43" s="10">
        <v>600000</v>
      </c>
      <c r="G43" s="11">
        <v>0.25</v>
      </c>
      <c r="H43" s="12">
        <f t="shared" si="11"/>
        <v>750000</v>
      </c>
      <c r="I43" s="13">
        <f t="shared" si="12"/>
        <v>150000</v>
      </c>
      <c r="J43" s="14">
        <f t="shared" si="13"/>
        <v>0.25</v>
      </c>
      <c r="K43" s="13">
        <f t="shared" si="14"/>
        <v>2127.6595744680849</v>
      </c>
      <c r="L43" s="13">
        <f t="shared" si="15"/>
        <v>2659.5744680851062</v>
      </c>
      <c r="M43" s="13">
        <f t="shared" si="16"/>
        <v>531.91489361702133</v>
      </c>
      <c r="N43" s="15">
        <f t="shared" si="17"/>
        <v>128.18181818181816</v>
      </c>
      <c r="O43" s="13">
        <f t="shared" si="18"/>
        <v>74345.45454545453</v>
      </c>
      <c r="P43" s="16">
        <v>0.47589999999999999</v>
      </c>
      <c r="Q43" s="17">
        <f t="shared" si="19"/>
        <v>678615</v>
      </c>
      <c r="R43" s="17">
        <f t="shared" si="20"/>
        <v>78615</v>
      </c>
      <c r="S43" s="18">
        <f t="shared" si="21"/>
        <v>-71385</v>
      </c>
    </row>
    <row r="44" spans="1:19" ht="15.75" customHeight="1" x14ac:dyDescent="0.35">
      <c r="A44" s="9">
        <v>35</v>
      </c>
      <c r="B44" s="9" t="s">
        <v>91</v>
      </c>
      <c r="C44" s="5" t="s">
        <v>92</v>
      </c>
      <c r="D44" s="4" t="s">
        <v>108</v>
      </c>
      <c r="E44" s="10">
        <v>267</v>
      </c>
      <c r="F44" s="10">
        <v>600000</v>
      </c>
      <c r="G44" s="11">
        <v>0.25</v>
      </c>
      <c r="H44" s="12">
        <f t="shared" si="11"/>
        <v>750000</v>
      </c>
      <c r="I44" s="13">
        <f t="shared" si="12"/>
        <v>150000</v>
      </c>
      <c r="J44" s="14">
        <f t="shared" si="13"/>
        <v>0.25</v>
      </c>
      <c r="K44" s="13">
        <f t="shared" si="14"/>
        <v>2247.1910112359551</v>
      </c>
      <c r="L44" s="13">
        <f t="shared" si="15"/>
        <v>2808.9887640449438</v>
      </c>
      <c r="M44" s="13">
        <f t="shared" si="16"/>
        <v>561.79775280898866</v>
      </c>
      <c r="N44" s="15">
        <f t="shared" si="17"/>
        <v>121.36363636363636</v>
      </c>
      <c r="O44" s="13">
        <f t="shared" si="18"/>
        <v>70390.909090909088</v>
      </c>
      <c r="P44" s="16">
        <v>0.47589999999999999</v>
      </c>
      <c r="Q44" s="17">
        <f t="shared" si="19"/>
        <v>678615</v>
      </c>
      <c r="R44" s="17">
        <f t="shared" si="20"/>
        <v>78615</v>
      </c>
      <c r="S44" s="18">
        <f t="shared" si="21"/>
        <v>-71385</v>
      </c>
    </row>
    <row r="45" spans="1:19" ht="15.75" customHeight="1" x14ac:dyDescent="0.35">
      <c r="A45" s="19">
        <v>36</v>
      </c>
      <c r="B45" s="19" t="s">
        <v>91</v>
      </c>
      <c r="C45" s="3" t="s">
        <v>92</v>
      </c>
      <c r="D45" s="2" t="s">
        <v>109</v>
      </c>
      <c r="E45" s="10">
        <v>276</v>
      </c>
      <c r="F45" s="10">
        <v>600000</v>
      </c>
      <c r="G45" s="11">
        <v>0.25</v>
      </c>
      <c r="H45" s="12">
        <f t="shared" si="11"/>
        <v>750000</v>
      </c>
      <c r="I45" s="13">
        <f t="shared" si="12"/>
        <v>150000</v>
      </c>
      <c r="J45" s="14">
        <f t="shared" si="13"/>
        <v>0.25</v>
      </c>
      <c r="K45" s="13">
        <f t="shared" si="14"/>
        <v>2173.913043478261</v>
      </c>
      <c r="L45" s="13">
        <f t="shared" si="15"/>
        <v>2717.391304347826</v>
      </c>
      <c r="M45" s="13">
        <f t="shared" si="16"/>
        <v>543.47826086956502</v>
      </c>
      <c r="N45" s="15">
        <f t="shared" si="17"/>
        <v>125.45454545454544</v>
      </c>
      <c r="O45" s="13">
        <f t="shared" si="18"/>
        <v>72763.636363636353</v>
      </c>
      <c r="P45" s="16">
        <v>0.47589999999999999</v>
      </c>
      <c r="Q45" s="17">
        <f t="shared" si="19"/>
        <v>678615</v>
      </c>
      <c r="R45" s="17">
        <f t="shared" si="20"/>
        <v>78615</v>
      </c>
      <c r="S45" s="18">
        <f t="shared" si="21"/>
        <v>-71385</v>
      </c>
    </row>
    <row r="46" spans="1:19" ht="15.75" customHeight="1" x14ac:dyDescent="0.35">
      <c r="A46" s="9">
        <v>37</v>
      </c>
      <c r="B46" s="9" t="s">
        <v>91</v>
      </c>
      <c r="C46" s="5" t="s">
        <v>92</v>
      </c>
      <c r="D46" s="4" t="s">
        <v>110</v>
      </c>
      <c r="E46" s="10">
        <v>309</v>
      </c>
      <c r="F46" s="10">
        <v>600000</v>
      </c>
      <c r="G46" s="11">
        <v>0.25</v>
      </c>
      <c r="H46" s="12">
        <f t="shared" si="11"/>
        <v>750000</v>
      </c>
      <c r="I46" s="13">
        <f t="shared" si="12"/>
        <v>150000</v>
      </c>
      <c r="J46" s="14">
        <f t="shared" si="13"/>
        <v>0.25</v>
      </c>
      <c r="K46" s="13">
        <f t="shared" si="14"/>
        <v>1941.7475728155339</v>
      </c>
      <c r="L46" s="13">
        <f t="shared" si="15"/>
        <v>2427.1844660194174</v>
      </c>
      <c r="M46" s="13">
        <f t="shared" si="16"/>
        <v>485.43689320388353</v>
      </c>
      <c r="N46" s="15">
        <f t="shared" si="17"/>
        <v>140.45454545454544</v>
      </c>
      <c r="O46" s="13">
        <f t="shared" si="18"/>
        <v>81463.636363636353</v>
      </c>
      <c r="P46" s="16">
        <v>0.47589999999999999</v>
      </c>
      <c r="Q46" s="17">
        <f t="shared" si="19"/>
        <v>678615</v>
      </c>
      <c r="R46" s="17">
        <f t="shared" si="20"/>
        <v>78615</v>
      </c>
      <c r="S46" s="18">
        <f t="shared" si="21"/>
        <v>-71385</v>
      </c>
    </row>
    <row r="47" spans="1:19" ht="15.75" customHeight="1" x14ac:dyDescent="0.35">
      <c r="A47" s="19">
        <v>38</v>
      </c>
      <c r="B47" s="19" t="s">
        <v>91</v>
      </c>
      <c r="C47" s="3" t="s">
        <v>92</v>
      </c>
      <c r="D47" s="2" t="s">
        <v>111</v>
      </c>
      <c r="E47" s="10">
        <v>346</v>
      </c>
      <c r="F47" s="10">
        <v>600000</v>
      </c>
      <c r="G47" s="11">
        <v>0.25</v>
      </c>
      <c r="H47" s="12">
        <f t="shared" si="11"/>
        <v>750000</v>
      </c>
      <c r="I47" s="13">
        <f t="shared" si="12"/>
        <v>150000</v>
      </c>
      <c r="J47" s="14">
        <f t="shared" si="13"/>
        <v>0.25</v>
      </c>
      <c r="K47" s="13">
        <f t="shared" si="14"/>
        <v>1734.1040462427745</v>
      </c>
      <c r="L47" s="13">
        <f t="shared" si="15"/>
        <v>2167.6300578034684</v>
      </c>
      <c r="M47" s="13">
        <f t="shared" si="16"/>
        <v>433.52601156069386</v>
      </c>
      <c r="N47" s="15">
        <f t="shared" si="17"/>
        <v>157.27272727272725</v>
      </c>
      <c r="O47" s="13">
        <f t="shared" si="18"/>
        <v>91218.181818181809</v>
      </c>
      <c r="P47" s="16">
        <v>0.20860000000000001</v>
      </c>
      <c r="Q47" s="17">
        <f t="shared" si="19"/>
        <v>718710</v>
      </c>
      <c r="R47" s="17">
        <f t="shared" si="20"/>
        <v>118710</v>
      </c>
      <c r="S47" s="18">
        <f t="shared" si="21"/>
        <v>-31290</v>
      </c>
    </row>
    <row r="48" spans="1:19" ht="15.75" customHeight="1" x14ac:dyDescent="0.35">
      <c r="A48" s="9">
        <v>39</v>
      </c>
      <c r="B48" s="9" t="s">
        <v>91</v>
      </c>
      <c r="C48" s="5" t="s">
        <v>92</v>
      </c>
      <c r="D48" s="4" t="s">
        <v>112</v>
      </c>
      <c r="E48" s="10">
        <v>314</v>
      </c>
      <c r="F48" s="10">
        <v>600000</v>
      </c>
      <c r="G48" s="11">
        <v>0.25</v>
      </c>
      <c r="H48" s="12">
        <f t="shared" si="11"/>
        <v>750000</v>
      </c>
      <c r="I48" s="13">
        <f t="shared" si="12"/>
        <v>150000</v>
      </c>
      <c r="J48" s="14">
        <f t="shared" si="13"/>
        <v>0.25</v>
      </c>
      <c r="K48" s="13">
        <f t="shared" si="14"/>
        <v>1910.8280254777071</v>
      </c>
      <c r="L48" s="13">
        <f t="shared" si="15"/>
        <v>2388.5350318471337</v>
      </c>
      <c r="M48" s="13">
        <f t="shared" si="16"/>
        <v>477.70700636942661</v>
      </c>
      <c r="N48" s="15">
        <f t="shared" si="17"/>
        <v>142.72727272727272</v>
      </c>
      <c r="O48" s="13">
        <f t="shared" si="18"/>
        <v>82781.818181818177</v>
      </c>
      <c r="P48" s="16">
        <v>0.47589999999999999</v>
      </c>
      <c r="Q48" s="17">
        <f t="shared" si="19"/>
        <v>678615</v>
      </c>
      <c r="R48" s="17">
        <f t="shared" si="20"/>
        <v>78615</v>
      </c>
      <c r="S48" s="18">
        <f t="shared" si="21"/>
        <v>-71385</v>
      </c>
    </row>
    <row r="49" spans="1:20" ht="15.75" customHeight="1" x14ac:dyDescent="0.35">
      <c r="A49" s="19">
        <v>40</v>
      </c>
      <c r="B49" s="19" t="s">
        <v>91</v>
      </c>
      <c r="C49" s="3" t="s">
        <v>92</v>
      </c>
      <c r="D49" s="2" t="s">
        <v>113</v>
      </c>
      <c r="E49" s="10">
        <v>329</v>
      </c>
      <c r="F49" s="10">
        <v>600000</v>
      </c>
      <c r="G49" s="11">
        <v>0.25</v>
      </c>
      <c r="H49" s="12">
        <f t="shared" si="11"/>
        <v>750000</v>
      </c>
      <c r="I49" s="13">
        <f t="shared" si="12"/>
        <v>150000</v>
      </c>
      <c r="J49" s="14">
        <f t="shared" si="13"/>
        <v>0.25</v>
      </c>
      <c r="K49" s="13">
        <f t="shared" si="14"/>
        <v>1823.70820668693</v>
      </c>
      <c r="L49" s="13">
        <f t="shared" si="15"/>
        <v>2279.6352583586627</v>
      </c>
      <c r="M49" s="13">
        <f t="shared" si="16"/>
        <v>455.92705167173267</v>
      </c>
      <c r="N49" s="15">
        <f t="shared" si="17"/>
        <v>149.54545454545453</v>
      </c>
      <c r="O49" s="13">
        <f t="shared" si="18"/>
        <v>86736.363636363632</v>
      </c>
      <c r="P49" s="16">
        <v>0.47589999999999999</v>
      </c>
      <c r="Q49" s="17">
        <f t="shared" si="19"/>
        <v>678615</v>
      </c>
      <c r="R49" s="17">
        <f t="shared" si="20"/>
        <v>78615</v>
      </c>
      <c r="S49" s="18">
        <f t="shared" si="21"/>
        <v>-71385</v>
      </c>
    </row>
    <row r="50" spans="1:20" ht="15.75" customHeight="1" x14ac:dyDescent="0.35">
      <c r="A50" s="9">
        <v>41</v>
      </c>
      <c r="B50" s="9" t="s">
        <v>91</v>
      </c>
      <c r="C50" s="5" t="s">
        <v>92</v>
      </c>
      <c r="D50" s="4" t="s">
        <v>114</v>
      </c>
      <c r="E50" s="10">
        <v>322</v>
      </c>
      <c r="F50" s="10">
        <v>600000</v>
      </c>
      <c r="G50" s="11">
        <v>0.25</v>
      </c>
      <c r="H50" s="12">
        <f t="shared" si="11"/>
        <v>750000</v>
      </c>
      <c r="I50" s="13">
        <f t="shared" si="12"/>
        <v>150000</v>
      </c>
      <c r="J50" s="14">
        <f t="shared" si="13"/>
        <v>0.25</v>
      </c>
      <c r="K50" s="13">
        <f t="shared" si="14"/>
        <v>1863.3540372670807</v>
      </c>
      <c r="L50" s="13">
        <f t="shared" si="15"/>
        <v>2329.1925465838508</v>
      </c>
      <c r="M50" s="13">
        <f t="shared" si="16"/>
        <v>465.83850931677011</v>
      </c>
      <c r="N50" s="15">
        <f t="shared" si="17"/>
        <v>146.36363636363635</v>
      </c>
      <c r="O50" s="13">
        <f t="shared" si="18"/>
        <v>84890.909090909074</v>
      </c>
      <c r="P50" s="16">
        <v>0.47589999999999999</v>
      </c>
      <c r="Q50" s="17">
        <f t="shared" si="19"/>
        <v>678615</v>
      </c>
      <c r="R50" s="17">
        <f t="shared" si="20"/>
        <v>78615</v>
      </c>
      <c r="S50" s="18">
        <f t="shared" si="21"/>
        <v>-71385</v>
      </c>
    </row>
    <row r="51" spans="1:20" ht="15.75" customHeight="1" x14ac:dyDescent="0.35">
      <c r="A51" s="19">
        <v>42</v>
      </c>
      <c r="B51" s="19" t="s">
        <v>91</v>
      </c>
      <c r="C51" s="3" t="s">
        <v>92</v>
      </c>
      <c r="D51" s="2" t="s">
        <v>115</v>
      </c>
      <c r="E51" s="10">
        <v>292</v>
      </c>
      <c r="F51" s="10">
        <v>600000</v>
      </c>
      <c r="G51" s="11">
        <v>0.25</v>
      </c>
      <c r="H51" s="12">
        <f t="shared" si="11"/>
        <v>750000</v>
      </c>
      <c r="I51" s="13">
        <f t="shared" si="12"/>
        <v>150000</v>
      </c>
      <c r="J51" s="14">
        <f t="shared" si="13"/>
        <v>0.25</v>
      </c>
      <c r="K51" s="13">
        <f t="shared" si="14"/>
        <v>2054.794520547945</v>
      </c>
      <c r="L51" s="13">
        <f t="shared" si="15"/>
        <v>2568.4931506849316</v>
      </c>
      <c r="M51" s="13">
        <f t="shared" si="16"/>
        <v>513.69863013698659</v>
      </c>
      <c r="N51" s="15">
        <f t="shared" si="17"/>
        <v>132.72727272727272</v>
      </c>
      <c r="O51" s="13">
        <f t="shared" si="18"/>
        <v>76981.818181818177</v>
      </c>
      <c r="P51" s="16">
        <v>0.47589999999999999</v>
      </c>
      <c r="Q51" s="17">
        <f t="shared" si="19"/>
        <v>678615</v>
      </c>
      <c r="R51" s="17">
        <f t="shared" si="20"/>
        <v>78615</v>
      </c>
      <c r="S51" s="18">
        <f t="shared" si="21"/>
        <v>-71385</v>
      </c>
    </row>
    <row r="52" spans="1:20" ht="15.75" customHeight="1" x14ac:dyDescent="0.35">
      <c r="A52" s="9">
        <v>43</v>
      </c>
      <c r="B52" s="9" t="s">
        <v>91</v>
      </c>
      <c r="C52" s="5" t="s">
        <v>92</v>
      </c>
      <c r="D52" s="4" t="s">
        <v>116</v>
      </c>
      <c r="E52" s="10">
        <v>290</v>
      </c>
      <c r="F52" s="10">
        <v>600000</v>
      </c>
      <c r="G52" s="11">
        <v>0.25</v>
      </c>
      <c r="H52" s="12">
        <f t="shared" si="11"/>
        <v>750000</v>
      </c>
      <c r="I52" s="13">
        <f t="shared" si="12"/>
        <v>150000</v>
      </c>
      <c r="J52" s="14">
        <f t="shared" si="13"/>
        <v>0.25</v>
      </c>
      <c r="K52" s="13">
        <f t="shared" si="14"/>
        <v>2068.9655172413795</v>
      </c>
      <c r="L52" s="13">
        <f t="shared" si="15"/>
        <v>2586.2068965517242</v>
      </c>
      <c r="M52" s="13">
        <f t="shared" si="16"/>
        <v>517.24137931034466</v>
      </c>
      <c r="N52" s="15">
        <f t="shared" si="17"/>
        <v>131.81818181818181</v>
      </c>
      <c r="O52" s="13">
        <f t="shared" si="18"/>
        <v>76454.545454545456</v>
      </c>
      <c r="P52" s="16">
        <v>0.47589999999999999</v>
      </c>
      <c r="Q52" s="17">
        <f t="shared" si="19"/>
        <v>678615</v>
      </c>
      <c r="R52" s="17">
        <f t="shared" si="20"/>
        <v>78615</v>
      </c>
      <c r="S52" s="18">
        <f t="shared" si="21"/>
        <v>-71385</v>
      </c>
    </row>
    <row r="53" spans="1:20" ht="15.75" customHeight="1" x14ac:dyDescent="0.35">
      <c r="A53" s="19">
        <v>44</v>
      </c>
      <c r="B53" s="19" t="s">
        <v>91</v>
      </c>
      <c r="C53" s="3" t="s">
        <v>92</v>
      </c>
      <c r="D53" s="2" t="s">
        <v>117</v>
      </c>
      <c r="E53" s="10">
        <v>251</v>
      </c>
      <c r="F53" s="10">
        <v>600000</v>
      </c>
      <c r="G53" s="11">
        <v>0.25</v>
      </c>
      <c r="H53" s="12">
        <f t="shared" si="11"/>
        <v>750000</v>
      </c>
      <c r="I53" s="13">
        <f t="shared" si="12"/>
        <v>150000</v>
      </c>
      <c r="J53" s="14">
        <f t="shared" si="13"/>
        <v>0.25</v>
      </c>
      <c r="K53" s="13">
        <f t="shared" si="14"/>
        <v>2390.4382470119522</v>
      </c>
      <c r="L53" s="13">
        <f t="shared" si="15"/>
        <v>2988.0478087649403</v>
      </c>
      <c r="M53" s="13">
        <f t="shared" si="16"/>
        <v>597.60956175298816</v>
      </c>
      <c r="N53" s="15">
        <f t="shared" si="17"/>
        <v>114.09090909090908</v>
      </c>
      <c r="O53" s="13">
        <f t="shared" si="18"/>
        <v>66172.727272727265</v>
      </c>
      <c r="P53" s="16">
        <v>0.47589999999999999</v>
      </c>
      <c r="Q53" s="17">
        <f t="shared" si="19"/>
        <v>678615</v>
      </c>
      <c r="R53" s="17">
        <f t="shared" si="20"/>
        <v>78615</v>
      </c>
      <c r="S53" s="18">
        <f t="shared" si="21"/>
        <v>-71385</v>
      </c>
    </row>
    <row r="54" spans="1:20" ht="18" customHeight="1" x14ac:dyDescent="0.35">
      <c r="A54" s="25" t="s">
        <v>118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7"/>
    </row>
    <row r="55" spans="1:20" ht="15.75" customHeight="1" x14ac:dyDescent="0.35">
      <c r="A55" s="19">
        <v>45</v>
      </c>
      <c r="B55" s="19" t="s">
        <v>119</v>
      </c>
      <c r="C55" s="3" t="s">
        <v>120</v>
      </c>
      <c r="D55" s="2" t="s">
        <v>121</v>
      </c>
      <c r="E55" s="10">
        <v>75</v>
      </c>
      <c r="F55" s="10">
        <v>550000</v>
      </c>
      <c r="G55" s="11">
        <v>0.25</v>
      </c>
      <c r="H55" s="12">
        <f t="shared" ref="H55:H76" si="22">F55*(1+G55)</f>
        <v>687500</v>
      </c>
      <c r="I55" s="13">
        <f t="shared" ref="I55:I76" si="23">H55-F55</f>
        <v>137500</v>
      </c>
      <c r="J55" s="14">
        <f t="shared" ref="J55:J76" si="24">I55/F55</f>
        <v>0.25</v>
      </c>
      <c r="K55" s="13">
        <f t="shared" ref="K55:K76" si="25">F55/E55</f>
        <v>7333.333333333333</v>
      </c>
      <c r="L55" s="13">
        <f t="shared" ref="L55:L76" si="26">H55/E55</f>
        <v>9166.6666666666661</v>
      </c>
      <c r="M55" s="13">
        <f t="shared" ref="M55:M76" si="27">L55-K55</f>
        <v>1833.333333333333</v>
      </c>
      <c r="N55" s="15">
        <f t="shared" ref="N55:N76" si="28">E55/2.2</f>
        <v>34.090909090909086</v>
      </c>
      <c r="O55" s="13">
        <f t="shared" ref="O55:O76" si="29">N55*580</f>
        <v>19772.727272727268</v>
      </c>
      <c r="P55" s="16">
        <v>0.47589999999999999</v>
      </c>
      <c r="Q55" s="17">
        <f t="shared" ref="Q55:Q76" si="30">+F55+R55</f>
        <v>622063.75</v>
      </c>
      <c r="R55" s="17">
        <f t="shared" ref="R55:R76" si="31">I55*(1-P55)</f>
        <v>72063.75</v>
      </c>
      <c r="S55" s="18">
        <f t="shared" ref="S55:S76" si="32">+Q55-H55</f>
        <v>-65436.25</v>
      </c>
    </row>
    <row r="56" spans="1:20" ht="15.75" customHeight="1" x14ac:dyDescent="0.35">
      <c r="A56" s="9">
        <v>46</v>
      </c>
      <c r="B56" s="9" t="s">
        <v>119</v>
      </c>
      <c r="C56" s="5" t="s">
        <v>120</v>
      </c>
      <c r="D56" s="4" t="s">
        <v>122</v>
      </c>
      <c r="E56" s="10">
        <v>125</v>
      </c>
      <c r="F56" s="10">
        <v>550000</v>
      </c>
      <c r="G56" s="11">
        <v>0.25</v>
      </c>
      <c r="H56" s="12">
        <f t="shared" si="22"/>
        <v>687500</v>
      </c>
      <c r="I56" s="13">
        <f t="shared" si="23"/>
        <v>137500</v>
      </c>
      <c r="J56" s="14">
        <f t="shared" si="24"/>
        <v>0.25</v>
      </c>
      <c r="K56" s="13">
        <f t="shared" si="25"/>
        <v>4400</v>
      </c>
      <c r="L56" s="13">
        <f t="shared" si="26"/>
        <v>5500</v>
      </c>
      <c r="M56" s="13">
        <f t="shared" si="27"/>
        <v>1100</v>
      </c>
      <c r="N56" s="15">
        <f t="shared" si="28"/>
        <v>56.818181818181813</v>
      </c>
      <c r="O56" s="13">
        <f t="shared" si="29"/>
        <v>32954.545454545449</v>
      </c>
      <c r="P56" s="16">
        <v>0.47589999999999999</v>
      </c>
      <c r="Q56" s="17">
        <f t="shared" si="30"/>
        <v>622063.75</v>
      </c>
      <c r="R56" s="17">
        <f t="shared" si="31"/>
        <v>72063.75</v>
      </c>
      <c r="S56" s="18">
        <f t="shared" si="32"/>
        <v>-65436.25</v>
      </c>
    </row>
    <row r="57" spans="1:20" ht="15.75" customHeight="1" x14ac:dyDescent="0.35">
      <c r="A57" s="19">
        <v>47</v>
      </c>
      <c r="B57" s="19" t="s">
        <v>119</v>
      </c>
      <c r="C57" s="3" t="s">
        <v>120</v>
      </c>
      <c r="D57" s="2" t="s">
        <v>123</v>
      </c>
      <c r="E57" s="10">
        <v>190</v>
      </c>
      <c r="F57" s="10">
        <v>550000</v>
      </c>
      <c r="G57" s="11">
        <v>0.25</v>
      </c>
      <c r="H57" s="12">
        <f t="shared" si="22"/>
        <v>687500</v>
      </c>
      <c r="I57" s="13">
        <f t="shared" si="23"/>
        <v>137500</v>
      </c>
      <c r="J57" s="14">
        <f t="shared" si="24"/>
        <v>0.25</v>
      </c>
      <c r="K57" s="13">
        <f t="shared" si="25"/>
        <v>2894.7368421052633</v>
      </c>
      <c r="L57" s="13">
        <f t="shared" si="26"/>
        <v>3618.4210526315787</v>
      </c>
      <c r="M57" s="13">
        <f t="shared" si="27"/>
        <v>723.68421052631538</v>
      </c>
      <c r="N57" s="15">
        <f t="shared" si="28"/>
        <v>86.36363636363636</v>
      </c>
      <c r="O57" s="13">
        <f t="shared" si="29"/>
        <v>50090.909090909088</v>
      </c>
      <c r="P57" s="16">
        <v>0.20860000000000001</v>
      </c>
      <c r="Q57" s="17">
        <f t="shared" si="30"/>
        <v>658817.5</v>
      </c>
      <c r="R57" s="17">
        <f t="shared" si="31"/>
        <v>108817.5</v>
      </c>
      <c r="S57" s="18">
        <f t="shared" si="32"/>
        <v>-28682.5</v>
      </c>
    </row>
    <row r="58" spans="1:20" ht="15.75" customHeight="1" x14ac:dyDescent="0.35">
      <c r="A58" s="9">
        <v>48</v>
      </c>
      <c r="B58" s="9" t="s">
        <v>119</v>
      </c>
      <c r="C58" s="5" t="s">
        <v>120</v>
      </c>
      <c r="D58" s="4" t="s">
        <v>124</v>
      </c>
      <c r="E58" s="10">
        <v>235</v>
      </c>
      <c r="F58" s="10">
        <v>550000</v>
      </c>
      <c r="G58" s="11">
        <v>0.25</v>
      </c>
      <c r="H58" s="12">
        <f t="shared" si="22"/>
        <v>687500</v>
      </c>
      <c r="I58" s="13">
        <f t="shared" si="23"/>
        <v>137500</v>
      </c>
      <c r="J58" s="14">
        <f t="shared" si="24"/>
        <v>0.25</v>
      </c>
      <c r="K58" s="13">
        <f t="shared" si="25"/>
        <v>2340.4255319148938</v>
      </c>
      <c r="L58" s="13">
        <f t="shared" si="26"/>
        <v>2925.5319148936169</v>
      </c>
      <c r="M58" s="13">
        <f t="shared" si="27"/>
        <v>585.1063829787231</v>
      </c>
      <c r="N58" s="15">
        <f t="shared" si="28"/>
        <v>106.81818181818181</v>
      </c>
      <c r="O58" s="13">
        <f t="shared" si="29"/>
        <v>61954.545454545449</v>
      </c>
      <c r="P58" s="16">
        <v>0.47589999999999999</v>
      </c>
      <c r="Q58" s="17">
        <f t="shared" si="30"/>
        <v>622063.75</v>
      </c>
      <c r="R58" s="17">
        <f t="shared" si="31"/>
        <v>72063.75</v>
      </c>
      <c r="S58" s="18">
        <f t="shared" si="32"/>
        <v>-65436.25</v>
      </c>
      <c r="T58" s="22"/>
    </row>
    <row r="59" spans="1:20" ht="15.75" customHeight="1" x14ac:dyDescent="0.35">
      <c r="A59" s="19">
        <v>49</v>
      </c>
      <c r="B59" s="19" t="s">
        <v>119</v>
      </c>
      <c r="C59" s="3" t="s">
        <v>120</v>
      </c>
      <c r="D59" s="2" t="s">
        <v>125</v>
      </c>
      <c r="E59" s="10">
        <v>174</v>
      </c>
      <c r="F59" s="10">
        <v>550000</v>
      </c>
      <c r="G59" s="11">
        <v>0.25</v>
      </c>
      <c r="H59" s="12">
        <f t="shared" si="22"/>
        <v>687500</v>
      </c>
      <c r="I59" s="13">
        <f t="shared" si="23"/>
        <v>137500</v>
      </c>
      <c r="J59" s="14">
        <f t="shared" si="24"/>
        <v>0.25</v>
      </c>
      <c r="K59" s="13">
        <f t="shared" si="25"/>
        <v>3160.9195402298851</v>
      </c>
      <c r="L59" s="13">
        <f t="shared" si="26"/>
        <v>3951.1494252873563</v>
      </c>
      <c r="M59" s="13">
        <f t="shared" si="27"/>
        <v>790.22988505747117</v>
      </c>
      <c r="N59" s="15">
        <f t="shared" si="28"/>
        <v>79.090909090909079</v>
      </c>
      <c r="O59" s="13">
        <f t="shared" si="29"/>
        <v>45872.727272727265</v>
      </c>
      <c r="P59" s="16">
        <v>0.47589999999999999</v>
      </c>
      <c r="Q59" s="17">
        <f t="shared" si="30"/>
        <v>622063.75</v>
      </c>
      <c r="R59" s="17">
        <f t="shared" si="31"/>
        <v>72063.75</v>
      </c>
      <c r="S59" s="18">
        <f t="shared" si="32"/>
        <v>-65436.25</v>
      </c>
    </row>
    <row r="60" spans="1:20" ht="15.75" customHeight="1" x14ac:dyDescent="0.35">
      <c r="A60" s="9">
        <v>50</v>
      </c>
      <c r="B60" s="9" t="s">
        <v>119</v>
      </c>
      <c r="C60" s="5" t="s">
        <v>120</v>
      </c>
      <c r="D60" s="4" t="s">
        <v>126</v>
      </c>
      <c r="E60" s="10">
        <v>126</v>
      </c>
      <c r="F60" s="10">
        <v>550000</v>
      </c>
      <c r="G60" s="11">
        <v>0.25</v>
      </c>
      <c r="H60" s="12">
        <f t="shared" si="22"/>
        <v>687500</v>
      </c>
      <c r="I60" s="13">
        <f t="shared" si="23"/>
        <v>137500</v>
      </c>
      <c r="J60" s="14">
        <f t="shared" si="24"/>
        <v>0.25</v>
      </c>
      <c r="K60" s="13">
        <f t="shared" si="25"/>
        <v>4365.0793650793648</v>
      </c>
      <c r="L60" s="13">
        <f t="shared" si="26"/>
        <v>5456.3492063492067</v>
      </c>
      <c r="M60" s="13">
        <f t="shared" si="27"/>
        <v>1091.2698412698419</v>
      </c>
      <c r="N60" s="15">
        <f t="shared" si="28"/>
        <v>57.272727272727266</v>
      </c>
      <c r="O60" s="13">
        <f t="shared" si="29"/>
        <v>33218.181818181816</v>
      </c>
      <c r="P60" s="16">
        <v>0.47589999999999999</v>
      </c>
      <c r="Q60" s="17">
        <f t="shared" si="30"/>
        <v>622063.75</v>
      </c>
      <c r="R60" s="17">
        <f t="shared" si="31"/>
        <v>72063.75</v>
      </c>
      <c r="S60" s="18">
        <f t="shared" si="32"/>
        <v>-65436.25</v>
      </c>
    </row>
    <row r="61" spans="1:20" ht="15.75" customHeight="1" x14ac:dyDescent="0.35">
      <c r="A61" s="19">
        <v>51</v>
      </c>
      <c r="B61" s="19" t="s">
        <v>119</v>
      </c>
      <c r="C61" s="3" t="s">
        <v>120</v>
      </c>
      <c r="D61" s="2" t="s">
        <v>160</v>
      </c>
      <c r="E61" s="10">
        <v>113</v>
      </c>
      <c r="F61" s="10">
        <v>550000</v>
      </c>
      <c r="G61" s="11">
        <v>0.25</v>
      </c>
      <c r="H61" s="12">
        <f t="shared" si="22"/>
        <v>687500</v>
      </c>
      <c r="I61" s="13">
        <f t="shared" si="23"/>
        <v>137500</v>
      </c>
      <c r="J61" s="14">
        <f t="shared" si="24"/>
        <v>0.25</v>
      </c>
      <c r="K61" s="13">
        <f t="shared" si="25"/>
        <v>4867.2566371681414</v>
      </c>
      <c r="L61" s="13">
        <f t="shared" si="26"/>
        <v>6084.070796460177</v>
      </c>
      <c r="M61" s="13">
        <f t="shared" si="27"/>
        <v>1216.8141592920356</v>
      </c>
      <c r="N61" s="15">
        <f t="shared" si="28"/>
        <v>51.36363636363636</v>
      </c>
      <c r="O61" s="13">
        <f t="shared" si="29"/>
        <v>29790.909090909088</v>
      </c>
      <c r="P61" s="16">
        <v>0.47589999999999999</v>
      </c>
      <c r="Q61" s="17">
        <f t="shared" si="30"/>
        <v>622063.75</v>
      </c>
      <c r="R61" s="17">
        <f t="shared" si="31"/>
        <v>72063.75</v>
      </c>
      <c r="S61" s="18">
        <f t="shared" si="32"/>
        <v>-65436.25</v>
      </c>
    </row>
    <row r="62" spans="1:20" ht="15.75" customHeight="1" x14ac:dyDescent="0.35">
      <c r="A62" s="9">
        <v>52</v>
      </c>
      <c r="B62" s="9" t="s">
        <v>119</v>
      </c>
      <c r="C62" s="5" t="s">
        <v>120</v>
      </c>
      <c r="D62" s="4" t="s">
        <v>128</v>
      </c>
      <c r="E62" s="10">
        <v>221</v>
      </c>
      <c r="F62" s="10">
        <v>550000</v>
      </c>
      <c r="G62" s="11">
        <v>0.25</v>
      </c>
      <c r="H62" s="12">
        <f t="shared" si="22"/>
        <v>687500</v>
      </c>
      <c r="I62" s="13">
        <f t="shared" si="23"/>
        <v>137500</v>
      </c>
      <c r="J62" s="14">
        <f t="shared" si="24"/>
        <v>0.25</v>
      </c>
      <c r="K62" s="13">
        <f t="shared" si="25"/>
        <v>2488.6877828054298</v>
      </c>
      <c r="L62" s="13">
        <f t="shared" si="26"/>
        <v>3110.8597285067872</v>
      </c>
      <c r="M62" s="13">
        <f t="shared" si="27"/>
        <v>622.17194570135734</v>
      </c>
      <c r="N62" s="15">
        <f t="shared" si="28"/>
        <v>100.45454545454545</v>
      </c>
      <c r="O62" s="13">
        <f t="shared" si="29"/>
        <v>58263.63636363636</v>
      </c>
      <c r="P62" s="16">
        <v>0.47589999999999999</v>
      </c>
      <c r="Q62" s="17">
        <f t="shared" si="30"/>
        <v>622063.75</v>
      </c>
      <c r="R62" s="17">
        <f t="shared" si="31"/>
        <v>72063.75</v>
      </c>
      <c r="S62" s="18">
        <f t="shared" si="32"/>
        <v>-65436.25</v>
      </c>
    </row>
    <row r="63" spans="1:20" ht="15.75" customHeight="1" x14ac:dyDescent="0.35">
      <c r="A63" s="19">
        <v>53</v>
      </c>
      <c r="B63" s="19" t="s">
        <v>119</v>
      </c>
      <c r="C63" s="3" t="s">
        <v>120</v>
      </c>
      <c r="D63" s="2" t="s">
        <v>129</v>
      </c>
      <c r="E63" s="10">
        <v>89</v>
      </c>
      <c r="F63" s="10">
        <v>550000</v>
      </c>
      <c r="G63" s="11">
        <v>0.25</v>
      </c>
      <c r="H63" s="12">
        <f t="shared" si="22"/>
        <v>687500</v>
      </c>
      <c r="I63" s="13">
        <f t="shared" si="23"/>
        <v>137500</v>
      </c>
      <c r="J63" s="14">
        <f t="shared" si="24"/>
        <v>0.25</v>
      </c>
      <c r="K63" s="13">
        <f t="shared" si="25"/>
        <v>6179.7752808988762</v>
      </c>
      <c r="L63" s="13">
        <f t="shared" si="26"/>
        <v>7724.7191011235955</v>
      </c>
      <c r="M63" s="13">
        <f t="shared" si="27"/>
        <v>1544.9438202247193</v>
      </c>
      <c r="N63" s="15">
        <f t="shared" si="28"/>
        <v>40.454545454545453</v>
      </c>
      <c r="O63" s="13">
        <f t="shared" si="29"/>
        <v>23463.636363636364</v>
      </c>
      <c r="P63" s="16">
        <v>0.47589999999999999</v>
      </c>
      <c r="Q63" s="17">
        <f t="shared" si="30"/>
        <v>622063.75</v>
      </c>
      <c r="R63" s="17">
        <f t="shared" si="31"/>
        <v>72063.75</v>
      </c>
      <c r="S63" s="18">
        <f t="shared" si="32"/>
        <v>-65436.25</v>
      </c>
    </row>
    <row r="64" spans="1:20" ht="15.75" customHeight="1" x14ac:dyDescent="0.35">
      <c r="A64" s="9">
        <v>54</v>
      </c>
      <c r="B64" s="9" t="s">
        <v>119</v>
      </c>
      <c r="C64" s="5" t="s">
        <v>120</v>
      </c>
      <c r="D64" s="4" t="s">
        <v>130</v>
      </c>
      <c r="E64" s="10">
        <v>178</v>
      </c>
      <c r="F64" s="10">
        <v>550000</v>
      </c>
      <c r="G64" s="11">
        <v>0.25</v>
      </c>
      <c r="H64" s="12">
        <f t="shared" si="22"/>
        <v>687500</v>
      </c>
      <c r="I64" s="13">
        <f t="shared" si="23"/>
        <v>137500</v>
      </c>
      <c r="J64" s="14">
        <f t="shared" si="24"/>
        <v>0.25</v>
      </c>
      <c r="K64" s="13">
        <f t="shared" si="25"/>
        <v>3089.8876404494381</v>
      </c>
      <c r="L64" s="13">
        <f t="shared" si="26"/>
        <v>3862.3595505617977</v>
      </c>
      <c r="M64" s="13">
        <f t="shared" si="27"/>
        <v>772.47191011235964</v>
      </c>
      <c r="N64" s="15">
        <f t="shared" si="28"/>
        <v>80.909090909090907</v>
      </c>
      <c r="O64" s="13">
        <f t="shared" si="29"/>
        <v>46927.272727272728</v>
      </c>
      <c r="P64" s="16">
        <v>0.47589999999999999</v>
      </c>
      <c r="Q64" s="17">
        <f t="shared" si="30"/>
        <v>622063.75</v>
      </c>
      <c r="R64" s="17">
        <f t="shared" si="31"/>
        <v>72063.75</v>
      </c>
      <c r="S64" s="18">
        <f t="shared" si="32"/>
        <v>-65436.25</v>
      </c>
    </row>
    <row r="65" spans="1:19" ht="15.75" customHeight="1" x14ac:dyDescent="0.35">
      <c r="A65" s="19">
        <v>55</v>
      </c>
      <c r="B65" s="19" t="s">
        <v>119</v>
      </c>
      <c r="C65" s="3" t="s">
        <v>120</v>
      </c>
      <c r="D65" s="2" t="s">
        <v>131</v>
      </c>
      <c r="E65" s="10">
        <v>161</v>
      </c>
      <c r="F65" s="10">
        <v>550000</v>
      </c>
      <c r="G65" s="11">
        <v>0.25</v>
      </c>
      <c r="H65" s="12">
        <f t="shared" si="22"/>
        <v>687500</v>
      </c>
      <c r="I65" s="13">
        <f t="shared" si="23"/>
        <v>137500</v>
      </c>
      <c r="J65" s="14">
        <f t="shared" si="24"/>
        <v>0.25</v>
      </c>
      <c r="K65" s="13">
        <f t="shared" si="25"/>
        <v>3416.1490683229813</v>
      </c>
      <c r="L65" s="13">
        <f t="shared" si="26"/>
        <v>4270.1863354037268</v>
      </c>
      <c r="M65" s="13">
        <f t="shared" si="27"/>
        <v>854.03726708074555</v>
      </c>
      <c r="N65" s="15">
        <f t="shared" si="28"/>
        <v>73.181818181818173</v>
      </c>
      <c r="O65" s="13">
        <f t="shared" si="29"/>
        <v>42445.454545454537</v>
      </c>
      <c r="P65" s="16">
        <v>0.47589999999999999</v>
      </c>
      <c r="Q65" s="17">
        <f t="shared" si="30"/>
        <v>622063.75</v>
      </c>
      <c r="R65" s="17">
        <f t="shared" si="31"/>
        <v>72063.75</v>
      </c>
      <c r="S65" s="18">
        <f t="shared" si="32"/>
        <v>-65436.25</v>
      </c>
    </row>
    <row r="66" spans="1:19" ht="15.75" customHeight="1" x14ac:dyDescent="0.35">
      <c r="A66" s="9">
        <v>56</v>
      </c>
      <c r="B66" s="9" t="s">
        <v>119</v>
      </c>
      <c r="C66" s="5" t="s">
        <v>120</v>
      </c>
      <c r="D66" s="4" t="s">
        <v>132</v>
      </c>
      <c r="E66" s="10">
        <v>233</v>
      </c>
      <c r="F66" s="10">
        <v>550000</v>
      </c>
      <c r="G66" s="11">
        <v>0.25</v>
      </c>
      <c r="H66" s="12">
        <f t="shared" si="22"/>
        <v>687500</v>
      </c>
      <c r="I66" s="13">
        <f t="shared" si="23"/>
        <v>137500</v>
      </c>
      <c r="J66" s="14">
        <f t="shared" si="24"/>
        <v>0.25</v>
      </c>
      <c r="K66" s="13">
        <f t="shared" si="25"/>
        <v>2360.5150214592277</v>
      </c>
      <c r="L66" s="13">
        <f t="shared" si="26"/>
        <v>2950.6437768240344</v>
      </c>
      <c r="M66" s="13">
        <f t="shared" si="27"/>
        <v>590.12875536480669</v>
      </c>
      <c r="N66" s="15">
        <f t="shared" si="28"/>
        <v>105.90909090909091</v>
      </c>
      <c r="O66" s="13">
        <f t="shared" si="29"/>
        <v>61427.272727272728</v>
      </c>
      <c r="P66" s="16">
        <v>0.47589999999999999</v>
      </c>
      <c r="Q66" s="17">
        <f t="shared" si="30"/>
        <v>622063.75</v>
      </c>
      <c r="R66" s="17">
        <f t="shared" si="31"/>
        <v>72063.75</v>
      </c>
      <c r="S66" s="18">
        <f t="shared" si="32"/>
        <v>-65436.25</v>
      </c>
    </row>
    <row r="67" spans="1:19" ht="15.75" customHeight="1" x14ac:dyDescent="0.35">
      <c r="A67" s="19">
        <v>57</v>
      </c>
      <c r="B67" s="19" t="s">
        <v>119</v>
      </c>
      <c r="C67" s="3" t="s">
        <v>120</v>
      </c>
      <c r="D67" s="2" t="s">
        <v>133</v>
      </c>
      <c r="E67" s="10">
        <v>101</v>
      </c>
      <c r="F67" s="10">
        <v>550000</v>
      </c>
      <c r="G67" s="11">
        <v>0.25</v>
      </c>
      <c r="H67" s="12">
        <f t="shared" si="22"/>
        <v>687500</v>
      </c>
      <c r="I67" s="13">
        <f t="shared" si="23"/>
        <v>137500</v>
      </c>
      <c r="J67" s="14">
        <f t="shared" si="24"/>
        <v>0.25</v>
      </c>
      <c r="K67" s="13">
        <f t="shared" si="25"/>
        <v>5445.5445544554459</v>
      </c>
      <c r="L67" s="13">
        <f t="shared" si="26"/>
        <v>6806.9306930693074</v>
      </c>
      <c r="M67" s="13">
        <f t="shared" si="27"/>
        <v>1361.3861386138615</v>
      </c>
      <c r="N67" s="15">
        <f t="shared" si="28"/>
        <v>45.909090909090907</v>
      </c>
      <c r="O67" s="13">
        <f t="shared" si="29"/>
        <v>26627.272727272724</v>
      </c>
      <c r="P67" s="16">
        <v>0.47589999999999999</v>
      </c>
      <c r="Q67" s="17">
        <f t="shared" si="30"/>
        <v>622063.75</v>
      </c>
      <c r="R67" s="17">
        <f t="shared" si="31"/>
        <v>72063.75</v>
      </c>
      <c r="S67" s="18">
        <f t="shared" si="32"/>
        <v>-65436.25</v>
      </c>
    </row>
    <row r="68" spans="1:19" ht="15.75" customHeight="1" x14ac:dyDescent="0.35">
      <c r="A68" s="9">
        <v>58</v>
      </c>
      <c r="B68" s="9" t="s">
        <v>119</v>
      </c>
      <c r="C68" s="5" t="s">
        <v>120</v>
      </c>
      <c r="D68" s="4" t="s">
        <v>134</v>
      </c>
      <c r="E68" s="10">
        <v>219</v>
      </c>
      <c r="F68" s="10">
        <v>550000</v>
      </c>
      <c r="G68" s="11">
        <v>0.25</v>
      </c>
      <c r="H68" s="12">
        <f t="shared" si="22"/>
        <v>687500</v>
      </c>
      <c r="I68" s="13">
        <f t="shared" si="23"/>
        <v>137500</v>
      </c>
      <c r="J68" s="14">
        <f t="shared" si="24"/>
        <v>0.25</v>
      </c>
      <c r="K68" s="13">
        <f t="shared" si="25"/>
        <v>2511.4155251141551</v>
      </c>
      <c r="L68" s="13">
        <f t="shared" si="26"/>
        <v>3139.2694063926942</v>
      </c>
      <c r="M68" s="13">
        <f t="shared" si="27"/>
        <v>627.85388127853912</v>
      </c>
      <c r="N68" s="15">
        <f t="shared" si="28"/>
        <v>99.545454545454533</v>
      </c>
      <c r="O68" s="13">
        <f t="shared" si="29"/>
        <v>57736.363636363632</v>
      </c>
      <c r="P68" s="16">
        <v>0.47589999999999999</v>
      </c>
      <c r="Q68" s="17">
        <f t="shared" si="30"/>
        <v>622063.75</v>
      </c>
      <c r="R68" s="17">
        <f t="shared" si="31"/>
        <v>72063.75</v>
      </c>
      <c r="S68" s="18">
        <f t="shared" si="32"/>
        <v>-65436.25</v>
      </c>
    </row>
    <row r="69" spans="1:19" ht="15.75" customHeight="1" x14ac:dyDescent="0.35">
      <c r="A69" s="19">
        <v>59</v>
      </c>
      <c r="B69" s="19" t="s">
        <v>119</v>
      </c>
      <c r="C69" s="3" t="s">
        <v>120</v>
      </c>
      <c r="D69" s="2" t="s">
        <v>135</v>
      </c>
      <c r="E69" s="10">
        <v>237</v>
      </c>
      <c r="F69" s="10">
        <v>550000</v>
      </c>
      <c r="G69" s="11">
        <v>0.25</v>
      </c>
      <c r="H69" s="12">
        <f t="shared" si="22"/>
        <v>687500</v>
      </c>
      <c r="I69" s="13">
        <f t="shared" si="23"/>
        <v>137500</v>
      </c>
      <c r="J69" s="14">
        <f t="shared" si="24"/>
        <v>0.25</v>
      </c>
      <c r="K69" s="13">
        <f t="shared" si="25"/>
        <v>2320.6751054852321</v>
      </c>
      <c r="L69" s="13">
        <f t="shared" si="26"/>
        <v>2900.8438818565401</v>
      </c>
      <c r="M69" s="13">
        <f t="shared" si="27"/>
        <v>580.16877637130801</v>
      </c>
      <c r="N69" s="15">
        <f t="shared" si="28"/>
        <v>107.72727272727272</v>
      </c>
      <c r="O69" s="13">
        <f t="shared" si="29"/>
        <v>62481.818181818177</v>
      </c>
      <c r="P69" s="16">
        <v>0.47589999999999999</v>
      </c>
      <c r="Q69" s="17">
        <f t="shared" si="30"/>
        <v>622063.75</v>
      </c>
      <c r="R69" s="17">
        <f t="shared" si="31"/>
        <v>72063.75</v>
      </c>
      <c r="S69" s="18">
        <f t="shared" si="32"/>
        <v>-65436.25</v>
      </c>
    </row>
    <row r="70" spans="1:19" ht="15.75" customHeight="1" x14ac:dyDescent="0.35">
      <c r="A70" s="9">
        <v>60</v>
      </c>
      <c r="B70" s="9" t="s">
        <v>119</v>
      </c>
      <c r="C70" s="5" t="s">
        <v>120</v>
      </c>
      <c r="D70" s="4" t="s">
        <v>136</v>
      </c>
      <c r="E70" s="10">
        <v>219</v>
      </c>
      <c r="F70" s="10">
        <v>550000</v>
      </c>
      <c r="G70" s="11">
        <v>0.25</v>
      </c>
      <c r="H70" s="12">
        <f t="shared" si="22"/>
        <v>687500</v>
      </c>
      <c r="I70" s="13">
        <f t="shared" si="23"/>
        <v>137500</v>
      </c>
      <c r="J70" s="14">
        <f t="shared" si="24"/>
        <v>0.25</v>
      </c>
      <c r="K70" s="13">
        <f t="shared" si="25"/>
        <v>2511.4155251141551</v>
      </c>
      <c r="L70" s="13">
        <f t="shared" si="26"/>
        <v>3139.2694063926942</v>
      </c>
      <c r="M70" s="13">
        <f t="shared" si="27"/>
        <v>627.85388127853912</v>
      </c>
      <c r="N70" s="15">
        <f t="shared" si="28"/>
        <v>99.545454545454533</v>
      </c>
      <c r="O70" s="13">
        <f t="shared" si="29"/>
        <v>57736.363636363632</v>
      </c>
      <c r="P70" s="16">
        <v>0.47589999999999999</v>
      </c>
      <c r="Q70" s="17">
        <f t="shared" si="30"/>
        <v>622063.75</v>
      </c>
      <c r="R70" s="17">
        <f t="shared" si="31"/>
        <v>72063.75</v>
      </c>
      <c r="S70" s="18">
        <f t="shared" si="32"/>
        <v>-65436.25</v>
      </c>
    </row>
    <row r="71" spans="1:19" ht="15.75" customHeight="1" x14ac:dyDescent="0.35">
      <c r="A71" s="19">
        <v>61</v>
      </c>
      <c r="B71" s="19" t="s">
        <v>119</v>
      </c>
      <c r="C71" s="3" t="s">
        <v>120</v>
      </c>
      <c r="D71" s="2" t="s">
        <v>137</v>
      </c>
      <c r="E71" s="10">
        <v>158</v>
      </c>
      <c r="F71" s="10">
        <v>550000</v>
      </c>
      <c r="G71" s="11">
        <v>0.25</v>
      </c>
      <c r="H71" s="12">
        <f t="shared" si="22"/>
        <v>687500</v>
      </c>
      <c r="I71" s="13">
        <f t="shared" si="23"/>
        <v>137500</v>
      </c>
      <c r="J71" s="14">
        <f t="shared" si="24"/>
        <v>0.25</v>
      </c>
      <c r="K71" s="13">
        <f t="shared" si="25"/>
        <v>3481.0126582278481</v>
      </c>
      <c r="L71" s="13">
        <f t="shared" si="26"/>
        <v>4351.2658227848106</v>
      </c>
      <c r="M71" s="13">
        <f t="shared" si="27"/>
        <v>870.25316455696247</v>
      </c>
      <c r="N71" s="15">
        <f t="shared" si="28"/>
        <v>71.818181818181813</v>
      </c>
      <c r="O71" s="13">
        <f t="shared" si="29"/>
        <v>41654.545454545449</v>
      </c>
      <c r="P71" s="16">
        <v>0.47589999999999999</v>
      </c>
      <c r="Q71" s="17">
        <f t="shared" si="30"/>
        <v>622063.75</v>
      </c>
      <c r="R71" s="17">
        <f t="shared" si="31"/>
        <v>72063.75</v>
      </c>
      <c r="S71" s="18">
        <f t="shared" si="32"/>
        <v>-65436.25</v>
      </c>
    </row>
    <row r="72" spans="1:19" ht="15.75" customHeight="1" x14ac:dyDescent="0.35">
      <c r="A72" s="9">
        <v>62</v>
      </c>
      <c r="B72" s="9" t="s">
        <v>119</v>
      </c>
      <c r="C72" s="5" t="s">
        <v>120</v>
      </c>
      <c r="D72" s="4" t="s">
        <v>138</v>
      </c>
      <c r="E72" s="10">
        <v>195</v>
      </c>
      <c r="F72" s="10">
        <v>550000</v>
      </c>
      <c r="G72" s="11">
        <v>0.25</v>
      </c>
      <c r="H72" s="12">
        <f t="shared" si="22"/>
        <v>687500</v>
      </c>
      <c r="I72" s="13">
        <f t="shared" si="23"/>
        <v>137500</v>
      </c>
      <c r="J72" s="14">
        <f t="shared" si="24"/>
        <v>0.25</v>
      </c>
      <c r="K72" s="13">
        <f t="shared" si="25"/>
        <v>2820.5128205128203</v>
      </c>
      <c r="L72" s="13">
        <f t="shared" si="26"/>
        <v>3525.6410256410259</v>
      </c>
      <c r="M72" s="13">
        <f t="shared" si="27"/>
        <v>705.12820512820554</v>
      </c>
      <c r="N72" s="15">
        <f t="shared" si="28"/>
        <v>88.636363636363626</v>
      </c>
      <c r="O72" s="13">
        <f t="shared" si="29"/>
        <v>51409.090909090904</v>
      </c>
      <c r="P72" s="16">
        <v>0.47589999999999999</v>
      </c>
      <c r="Q72" s="17">
        <f t="shared" si="30"/>
        <v>622063.75</v>
      </c>
      <c r="R72" s="17">
        <f t="shared" si="31"/>
        <v>72063.75</v>
      </c>
      <c r="S72" s="18">
        <f t="shared" si="32"/>
        <v>-65436.25</v>
      </c>
    </row>
    <row r="73" spans="1:19" ht="15.75" customHeight="1" x14ac:dyDescent="0.35">
      <c r="A73" s="19">
        <v>63</v>
      </c>
      <c r="B73" s="19" t="s">
        <v>119</v>
      </c>
      <c r="C73" s="3" t="s">
        <v>120</v>
      </c>
      <c r="D73" s="2" t="s">
        <v>139</v>
      </c>
      <c r="E73" s="10">
        <v>176</v>
      </c>
      <c r="F73" s="10">
        <v>550000</v>
      </c>
      <c r="G73" s="11">
        <v>0.25</v>
      </c>
      <c r="H73" s="12">
        <f t="shared" si="22"/>
        <v>687500</v>
      </c>
      <c r="I73" s="13">
        <f t="shared" si="23"/>
        <v>137500</v>
      </c>
      <c r="J73" s="14">
        <f t="shared" si="24"/>
        <v>0.25</v>
      </c>
      <c r="K73" s="13">
        <f t="shared" si="25"/>
        <v>3125</v>
      </c>
      <c r="L73" s="13">
        <f t="shared" si="26"/>
        <v>3906.25</v>
      </c>
      <c r="M73" s="13">
        <f t="shared" si="27"/>
        <v>781.25</v>
      </c>
      <c r="N73" s="15">
        <f t="shared" si="28"/>
        <v>80</v>
      </c>
      <c r="O73" s="13">
        <f t="shared" si="29"/>
        <v>46400</v>
      </c>
      <c r="P73" s="16">
        <v>0.20860000000000001</v>
      </c>
      <c r="Q73" s="17">
        <f t="shared" si="30"/>
        <v>658817.5</v>
      </c>
      <c r="R73" s="17">
        <f t="shared" si="31"/>
        <v>108817.5</v>
      </c>
      <c r="S73" s="18">
        <f t="shared" si="32"/>
        <v>-28682.5</v>
      </c>
    </row>
    <row r="74" spans="1:19" ht="15.75" customHeight="1" x14ac:dyDescent="0.35">
      <c r="A74" s="9">
        <v>64</v>
      </c>
      <c r="B74" s="9" t="s">
        <v>119</v>
      </c>
      <c r="C74" s="5" t="s">
        <v>120</v>
      </c>
      <c r="D74" s="4" t="s">
        <v>140</v>
      </c>
      <c r="E74" s="10">
        <v>252</v>
      </c>
      <c r="F74" s="10">
        <v>550000</v>
      </c>
      <c r="G74" s="11">
        <v>0.25</v>
      </c>
      <c r="H74" s="12">
        <f t="shared" si="22"/>
        <v>687500</v>
      </c>
      <c r="I74" s="13">
        <f t="shared" si="23"/>
        <v>137500</v>
      </c>
      <c r="J74" s="14">
        <f t="shared" si="24"/>
        <v>0.25</v>
      </c>
      <c r="K74" s="13">
        <f t="shared" si="25"/>
        <v>2182.5396825396824</v>
      </c>
      <c r="L74" s="13">
        <f t="shared" si="26"/>
        <v>2728.1746031746034</v>
      </c>
      <c r="M74" s="13">
        <f t="shared" si="27"/>
        <v>545.63492063492095</v>
      </c>
      <c r="N74" s="15">
        <f t="shared" si="28"/>
        <v>114.54545454545453</v>
      </c>
      <c r="O74" s="13">
        <f t="shared" si="29"/>
        <v>66436.363636363632</v>
      </c>
      <c r="P74" s="16">
        <v>0.47589999999999999</v>
      </c>
      <c r="Q74" s="17">
        <f t="shared" si="30"/>
        <v>622063.75</v>
      </c>
      <c r="R74" s="17">
        <f t="shared" si="31"/>
        <v>72063.75</v>
      </c>
      <c r="S74" s="18">
        <f t="shared" si="32"/>
        <v>-65436.25</v>
      </c>
    </row>
    <row r="75" spans="1:19" ht="15.75" customHeight="1" x14ac:dyDescent="0.35">
      <c r="A75" s="19">
        <v>65</v>
      </c>
      <c r="B75" s="19" t="s">
        <v>119</v>
      </c>
      <c r="C75" s="3" t="s">
        <v>120</v>
      </c>
      <c r="D75" s="2" t="s">
        <v>141</v>
      </c>
      <c r="E75" s="10">
        <v>143</v>
      </c>
      <c r="F75" s="10">
        <v>550000</v>
      </c>
      <c r="G75" s="11">
        <v>0.25</v>
      </c>
      <c r="H75" s="12">
        <f t="shared" si="22"/>
        <v>687500</v>
      </c>
      <c r="I75" s="13">
        <f t="shared" si="23"/>
        <v>137500</v>
      </c>
      <c r="J75" s="14">
        <f t="shared" si="24"/>
        <v>0.25</v>
      </c>
      <c r="K75" s="13">
        <f t="shared" si="25"/>
        <v>3846.1538461538462</v>
      </c>
      <c r="L75" s="13">
        <f t="shared" si="26"/>
        <v>4807.6923076923076</v>
      </c>
      <c r="M75" s="13">
        <f t="shared" si="27"/>
        <v>961.53846153846143</v>
      </c>
      <c r="N75" s="15">
        <f t="shared" si="28"/>
        <v>65</v>
      </c>
      <c r="O75" s="13">
        <f t="shared" si="29"/>
        <v>37700</v>
      </c>
      <c r="P75" s="16">
        <v>0.47589999999999999</v>
      </c>
      <c r="Q75" s="17">
        <f t="shared" si="30"/>
        <v>622063.75</v>
      </c>
      <c r="R75" s="17">
        <f t="shared" si="31"/>
        <v>72063.75</v>
      </c>
      <c r="S75" s="18">
        <f t="shared" si="32"/>
        <v>-65436.25</v>
      </c>
    </row>
    <row r="76" spans="1:19" ht="15.75" customHeight="1" x14ac:dyDescent="0.35">
      <c r="A76" s="9">
        <v>66</v>
      </c>
      <c r="B76" s="9" t="s">
        <v>119</v>
      </c>
      <c r="C76" s="5" t="s">
        <v>120</v>
      </c>
      <c r="D76" s="4" t="s">
        <v>142</v>
      </c>
      <c r="E76" s="10">
        <v>129</v>
      </c>
      <c r="F76" s="10">
        <v>550000</v>
      </c>
      <c r="G76" s="11">
        <v>0.25</v>
      </c>
      <c r="H76" s="12">
        <f t="shared" si="22"/>
        <v>687500</v>
      </c>
      <c r="I76" s="13">
        <f t="shared" si="23"/>
        <v>137500</v>
      </c>
      <c r="J76" s="14">
        <f t="shared" si="24"/>
        <v>0.25</v>
      </c>
      <c r="K76" s="13">
        <f t="shared" si="25"/>
        <v>4263.5658914728683</v>
      </c>
      <c r="L76" s="13">
        <f t="shared" si="26"/>
        <v>5329.4573643410849</v>
      </c>
      <c r="M76" s="13">
        <f t="shared" si="27"/>
        <v>1065.8914728682166</v>
      </c>
      <c r="N76" s="15">
        <f t="shared" si="28"/>
        <v>58.636363636363633</v>
      </c>
      <c r="O76" s="13">
        <f t="shared" si="29"/>
        <v>34009.090909090904</v>
      </c>
      <c r="P76" s="16">
        <v>0.47589999999999999</v>
      </c>
      <c r="Q76" s="17">
        <f t="shared" si="30"/>
        <v>622063.75</v>
      </c>
      <c r="R76" s="17">
        <f t="shared" si="31"/>
        <v>72063.75</v>
      </c>
      <c r="S76" s="18">
        <f t="shared" si="32"/>
        <v>-65436.25</v>
      </c>
    </row>
    <row r="77" spans="1:19" ht="14.25" customHeight="1" x14ac:dyDescent="0.35"/>
    <row r="78" spans="1:19" ht="14.25" customHeight="1" x14ac:dyDescent="0.35"/>
    <row r="79" spans="1:19" ht="14.25" customHeight="1" x14ac:dyDescent="0.35"/>
    <row r="80" spans="1:19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2">
    <mergeCell ref="A1:O2"/>
    <mergeCell ref="A3:O3"/>
    <mergeCell ref="E4:G4"/>
    <mergeCell ref="H4:J4"/>
    <mergeCell ref="K4:M4"/>
    <mergeCell ref="N4:O4"/>
    <mergeCell ref="A4:D4"/>
    <mergeCell ref="A8:Q8"/>
    <mergeCell ref="A9:Q9"/>
    <mergeCell ref="A28:Q28"/>
    <mergeCell ref="A54:Q54"/>
    <mergeCell ref="P4:Q4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COPIAPO</vt:lpstr>
      <vt:lpstr>CASABLANCA</vt:lpstr>
      <vt:lpstr>PENCO</vt:lpstr>
      <vt:lpstr>BULNES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Torres</cp:lastModifiedBy>
  <dcterms:created xsi:type="dcterms:W3CDTF">2026-06-16T18:37:21Z</dcterms:created>
  <dcterms:modified xsi:type="dcterms:W3CDTF">2026-07-25T19:09:09Z</dcterms:modified>
</cp:coreProperties>
</file>