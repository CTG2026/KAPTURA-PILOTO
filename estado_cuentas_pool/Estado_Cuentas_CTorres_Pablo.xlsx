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ros" sheetId="1" state="visible" r:id="rId3"/>
    <sheet name="Estado de Cuentas" sheetId="2" state="visible" r:id="rId4"/>
    <sheet name="Oct a Nov-25" sheetId="3" state="visible" r:id="rId5"/>
    <sheet name="Dic-25" sheetId="4" state="visible" r:id="rId6"/>
    <sheet name="Ene-26" sheetId="5" state="visible" r:id="rId7"/>
    <sheet name="Feb-26" sheetId="6" state="visible" r:id="rId8"/>
    <sheet name="Mar-26" sheetId="7" state="visible" r:id="rId9"/>
    <sheet name="Transferenci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<sst xmlns="http://schemas.openxmlformats.org/spreadsheetml/2006/main" count="233" uniqueCount="122">
  <si>
    <t xml:space="preserve">PARAMETROS</t>
  </si>
  <si>
    <t xml:space="preserve">Parametro</t>
  </si>
  <si>
    <t xml:space="preserve">Valor</t>
  </si>
  <si>
    <t xml:space="preserve">Total equipos pool (denominador)</t>
  </si>
  <si>
    <t xml:space="preserve">Remuneracion mensual fija CT (se descuenta de anticipos)</t>
  </si>
  <si>
    <t xml:space="preserve">ESTADO DE CUENTAS — Carlos Torres / Pablo (Pool de transporte)</t>
  </si>
  <si>
    <t xml:space="preserve">Formulas vivas. n = equipos activos de C.Torres (1 hasta sep-2026, 2 desde oct-2026). Denominador = Parametros!B4. Memoria historica (Oct-25 a Mar-26) en sus hojas originales, sin tocar.</t>
  </si>
  <si>
    <t xml:space="preserve">Mes/Año</t>
  </si>
  <si>
    <t xml:space="preserve">Utilidad Neta Mes Flota</t>
  </si>
  <si>
    <t xml:space="preserve">n (equipos activos CT)</t>
  </si>
  <si>
    <t xml:space="preserve">Participación CT (monto)</t>
  </si>
  <si>
    <t xml:space="preserve">Anticipos a CT (neto, - $500.000)</t>
  </si>
  <si>
    <t xml:space="preserve">Saldo CT (mes)</t>
  </si>
  <si>
    <t xml:space="preserve">Saldo CT (acumulado)</t>
  </si>
  <si>
    <t xml:space="preserve">Abril-2026</t>
  </si>
  <si>
    <t xml:space="preserve">PENDIENTE</t>
  </si>
  <si>
    <t xml:space="preserve">Mayo-2026</t>
  </si>
  <si>
    <t xml:space="preserve">Junio-2026</t>
  </si>
  <si>
    <t xml:space="preserve">Julio-2026</t>
  </si>
  <si>
    <t xml:space="preserve">Agosto-2026</t>
  </si>
  <si>
    <t xml:space="preserve">Septiembre-2026</t>
  </si>
  <si>
    <t xml:space="preserve">Octubre-2026</t>
  </si>
  <si>
    <t xml:space="preserve">OBSERVACIONES Y PENDIENTES</t>
  </si>
  <si>
    <t xml:space="preserve">• Abril: Utilidad Neta oficial confirmada ($11.662.351). Anticipos a CT pendientes -- falta cruce con comprobantes de WhatsApp (anterior al 5-jun).</t>
  </si>
  <si>
    <t xml:space="preserve">• Mayo: Utilidad Neta en duda -- existe oficial ($780.739) y borrador previo ($3.072.282), pendiente revisar en detalle cual es correcta. Anticipos pendientes (mismo cruce WhatsApp).</t>
  </si>
  <si>
    <t xml:space="preserve">• Junio: Sin Utilidad Neta disponible -- informe de ese mes incompleto (faltan 4 clientes sin capturar). Anticipos SI confirmados ($500.000 neto).</t>
  </si>
  <si>
    <t xml:space="preserve">• Julio: Utilidad Neta y Anticipos confirmados completos.</t>
  </si>
  <si>
    <t xml:space="preserve">• Agosto: Utilidad Neta confirmada. Anticipos con advertencia -- cartola con hueco real de 4 dias sin cruzar (01-02 y 29-31-ago).</t>
  </si>
  <si>
    <t xml:space="preserve">• Septiembre: Sin Utilidad Neta -- informe de resultados aun no construido. Anticipos SI confirmados ($400.000 neto); excluidos correctamente $797.000 (permiso circulacion) + $30.000 (locomocion), 17-sep.</t>
  </si>
  <si>
    <t xml:space="preserve">• Octubre: Sin Utilidad Neta (mes en curso). Solo 1 abono real identificado ($820, 3-oct) -- periodo muy parcial, no se aplico el descuento de $500.000 por no ser mes completo.</t>
  </si>
  <si>
    <t xml:space="preserve">• Denominador 4,5 equipos confirmado "hasta septiembre" -- no confirmado si cambia desde octubre, se mantuvo igual por defecto, PENDIENTE de confirmar.</t>
  </si>
  <si>
    <t xml:space="preserve">• n=2 equipos activos de CT desde octubre, aplicado segun lo indicado -- pendiente que la Utilidad Neta de octubre este disponible.</t>
  </si>
  <si>
    <t xml:space="preserve">Liquidación (Octubre/Noviembre 2025) </t>
  </si>
  <si>
    <t xml:space="preserve">Monto Neto Flete (Ingresos)</t>
  </si>
  <si>
    <t xml:space="preserve">Factoring</t>
  </si>
  <si>
    <t xml:space="preserve">Costo Operacionales</t>
  </si>
  <si>
    <t xml:space="preserve">    - Petróleo Equipo</t>
  </si>
  <si>
    <t xml:space="preserve">    - Base Chofer</t>
  </si>
  <si>
    <t xml:space="preserve">    - Viático</t>
  </si>
  <si>
    <t xml:space="preserve">    - Peajes</t>
  </si>
  <si>
    <t xml:space="preserve">    - Comisión Chofer (10%)</t>
  </si>
  <si>
    <t xml:space="preserve">Costos Mantención</t>
  </si>
  <si>
    <t xml:space="preserve">    - Repuestos</t>
  </si>
  <si>
    <t xml:space="preserve">    - Mano de obra</t>
  </si>
  <si>
    <t xml:space="preserve">Margen antes Comisión Op.</t>
  </si>
  <si>
    <t xml:space="preserve">Comisión Operaciones</t>
  </si>
  <si>
    <t xml:space="preserve">Abonos C. Torres a Sta Berenice</t>
  </si>
  <si>
    <t xml:space="preserve">Pago Neumaticos C. Torres</t>
  </si>
  <si>
    <t xml:space="preserve">El equipo vendio </t>
  </si>
  <si>
    <t xml:space="preserve">El equipo gasto</t>
  </si>
  <si>
    <t xml:space="preserve">C. Torres aporto a los gastos del equipo</t>
  </si>
  <si>
    <t xml:space="preserve">A favor del equipo</t>
  </si>
  <si>
    <t xml:space="preserve">Anticipos a C. Torres</t>
  </si>
  <si>
    <t xml:space="preserve">Saldo a favor de C. Torres</t>
  </si>
  <si>
    <t xml:space="preserve">Liquidación (Diciembre 2025)</t>
  </si>
  <si>
    <t xml:space="preserve">    - Petróleo Equipos</t>
  </si>
  <si>
    <t xml:space="preserve">Falta</t>
  </si>
  <si>
    <t xml:space="preserve">Permiso Circulacion Freigthliner</t>
  </si>
  <si>
    <t xml:space="preserve">Saldo a favor de C. Torres (Acumulado)</t>
  </si>
  <si>
    <t xml:space="preserve">Liquidación  (Enero 2026) GCFF12</t>
  </si>
  <si>
    <t xml:space="preserve">Liquidación  (Febrero 2026) Formato de Pool</t>
  </si>
  <si>
    <t xml:space="preserve">Ingresos Netos Pool</t>
  </si>
  <si>
    <t xml:space="preserve">Costo Fijos</t>
  </si>
  <si>
    <t xml:space="preserve">Costos variables</t>
  </si>
  <si>
    <t xml:space="preserve">Costo Financiero</t>
  </si>
  <si>
    <t xml:space="preserve">Resultado Neto</t>
  </si>
  <si>
    <t xml:space="preserve">Saldo a favor de C. Torres - 2 equipos sobre 6 = 33%</t>
  </si>
  <si>
    <t xml:space="preserve">Saldo a favor de C. Torres (Acumulado) </t>
  </si>
  <si>
    <t xml:space="preserve">Cuota 1 Parcela</t>
  </si>
  <si>
    <t xml:space="preserve">Cuota 2 Parcela</t>
  </si>
  <si>
    <t xml:space="preserve">Pagos acumulados Parcela</t>
  </si>
  <si>
    <t xml:space="preserve">FECHA</t>
  </si>
  <si>
    <t xml:space="preserve">GLOSA</t>
  </si>
  <si>
    <t xml:space="preserve">MONTO</t>
  </si>
  <si>
    <t xml:space="preserve">CATEGORIA</t>
  </si>
  <si>
    <t xml:space="preserve">12/11</t>
  </si>
  <si>
    <t xml:space="preserve">0159957802 Transf de PABLO SEBASTIAN RIQ</t>
  </si>
  <si>
    <t xml:space="preserve">COMERCIAL RIHE LTDA</t>
  </si>
  <si>
    <t xml:space="preserve">17/11</t>
  </si>
  <si>
    <t xml:space="preserve">Anticipo</t>
  </si>
  <si>
    <t xml:space="preserve">24/11</t>
  </si>
  <si>
    <t xml:space="preserve">05/12</t>
  </si>
  <si>
    <t xml:space="preserve">0774298975 Transf. SOCIEDAD DE TRANSPORTE SA</t>
  </si>
  <si>
    <t xml:space="preserve">09/12</t>
  </si>
  <si>
    <t xml:space="preserve">15/12</t>
  </si>
  <si>
    <t xml:space="preserve">16/12</t>
  </si>
  <si>
    <t xml:space="preserve"> CAREN ESTACION CENT</t>
  </si>
  <si>
    <t xml:space="preserve">22/12</t>
  </si>
  <si>
    <t xml:space="preserve">29/12</t>
  </si>
  <si>
    <t xml:space="preserve">Permiso FL</t>
  </si>
  <si>
    <t xml:space="preserve">30/12</t>
  </si>
  <si>
    <t xml:space="preserve">MERIGGI TELAS LIMIT y otros</t>
  </si>
  <si>
    <t xml:space="preserve">06/01</t>
  </si>
  <si>
    <t xml:space="preserve">Locomocion</t>
  </si>
  <si>
    <t xml:space="preserve">08/01</t>
  </si>
  <si>
    <t xml:space="preserve">COMERCIAL ECUADOR</t>
  </si>
  <si>
    <t xml:space="preserve">12/01</t>
  </si>
  <si>
    <t xml:space="preserve">20/01</t>
  </si>
  <si>
    <t xml:space="preserve">Solo aire FL</t>
  </si>
  <si>
    <t xml:space="preserve">21/01</t>
  </si>
  <si>
    <t xml:space="preserve">02/02</t>
  </si>
  <si>
    <t xml:space="preserve">Compra a Daniela</t>
  </si>
  <si>
    <t xml:space="preserve">05/02</t>
  </si>
  <si>
    <t xml:space="preserve">Cuota 1 parcela</t>
  </si>
  <si>
    <t xml:space="preserve">13/02</t>
  </si>
  <si>
    <t xml:space="preserve">cardanica</t>
  </si>
  <si>
    <t xml:space="preserve">23/02</t>
  </si>
  <si>
    <t xml:space="preserve">Remuneracion mes</t>
  </si>
  <si>
    <t xml:space="preserve">25/02</t>
  </si>
  <si>
    <t xml:space="preserve">26/02</t>
  </si>
  <si>
    <t xml:space="preserve">COMERCIAL LUSHANDY</t>
  </si>
  <si>
    <t xml:space="preserve">06-03-2026</t>
  </si>
  <si>
    <t xml:space="preserve">0774298975 TRANSF. SOCIEDAD DE TRANSPORTE SA NTA BERENICE SPA</t>
  </si>
  <si>
    <t xml:space="preserve">09-03-2026</t>
  </si>
  <si>
    <t xml:space="preserve">0159957802 TRANSF DE PABLO SEBASTIAN RIQ</t>
  </si>
  <si>
    <t xml:space="preserve">Computadores</t>
  </si>
  <si>
    <t xml:space="preserve">16-03-2026</t>
  </si>
  <si>
    <t xml:space="preserve">23-03-2026</t>
  </si>
  <si>
    <t xml:space="preserve">Repuestos</t>
  </si>
  <si>
    <t xml:space="preserve">0783031345 TRANSF. GLOBAL SOLUTIONS SPA</t>
  </si>
  <si>
    <t xml:space="preserve">Total Anticipos</t>
  </si>
  <si>
    <t xml:space="preserve">Cuotas Parcela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</si>
</sst>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#,##0"/>
    <numFmt numFmtId="167" formatCode="\$#,##0;&quot;($&quot;#,##0\);\-"/>
    <numFmt numFmtId="168" formatCode="_ \$* #,##0_ ;_ \$* \-#,##0_ ;_ \$* \-_ ;_ @_ "/>
    <numFmt numFmtId="169" formatCode="0%"/>
    <numFmt numFmtId="170" formatCode="d\-mmm"/>
    <numFmt numFmtId="171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63BA6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2" fillId="5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1F3864"/>
      <rgbColor rgb="FF63BA6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4" t="s">
        <v>3</v>
      </c>
      <c r="B4" s="5" t="n">
        <v>4.5</v>
      </c>
    </row>
    <row r="5" customFormat="false" ht="15" hidden="false" customHeight="true" outlineLevel="0" collapsed="false">
      <c r="A5" s="4" t="s">
        <v>4</v>
      </c>
      <c r="B5" s="6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7" t="s">
        <v>5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6</v>
      </c>
      <c r="B2" s="8"/>
      <c r="C2" s="8"/>
      <c r="D2" s="8"/>
      <c r="E2" s="8"/>
      <c r="F2" s="8"/>
    </row>
    <row r="4" customFormat="false" ht="23.25" hidden="false" customHeight="tru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customFormat="false" ht="15" hidden="false" customHeight="true" outlineLevel="0" collapsed="false">
      <c r="A5" s="9" t="s">
        <v>14</v>
      </c>
      <c r="B5" s="10" t="n">
        <v>11662351</v>
      </c>
      <c r="C5" s="9" t="n">
        <v>1</v>
      </c>
      <c r="D5" s="11" t="n">
        <f aca="false">B5/Parametros!$B$4*C5</f>
        <v>2591633.55555556</v>
      </c>
      <c r="E5" s="12" t="s">
        <v>15</v>
      </c>
      <c r="F5" s="12" t="s">
        <v>15</v>
      </c>
      <c r="G5" s="12" t="s">
        <v>15</v>
      </c>
    </row>
    <row r="6" customFormat="false" ht="15" hidden="false" customHeight="true" outlineLevel="0" collapsed="false">
      <c r="A6" s="9" t="s">
        <v>16</v>
      </c>
      <c r="B6" s="10" t="n">
        <v>780739</v>
      </c>
      <c r="C6" s="9" t="n">
        <v>1</v>
      </c>
      <c r="D6" s="11" t="n">
        <f aca="false">B6/Parametros!$B$4*C6</f>
        <v>173497.555555556</v>
      </c>
      <c r="E6" s="12" t="s">
        <v>15</v>
      </c>
      <c r="F6" s="12" t="s">
        <v>15</v>
      </c>
      <c r="G6" s="12" t="s">
        <v>15</v>
      </c>
    </row>
    <row r="7" customFormat="false" ht="15" hidden="false" customHeight="true" outlineLevel="0" collapsed="false">
      <c r="A7" s="9" t="s">
        <v>17</v>
      </c>
      <c r="B7" s="12" t="s">
        <v>15</v>
      </c>
      <c r="C7" s="9" t="n">
        <v>1</v>
      </c>
      <c r="D7" s="12" t="s">
        <v>15</v>
      </c>
      <c r="E7" s="10" t="n">
        <f aca="false">1000000-Parametros!$B$5</f>
        <v>500000</v>
      </c>
      <c r="F7" s="12" t="s">
        <v>15</v>
      </c>
      <c r="G7" s="12" t="s">
        <v>15</v>
      </c>
    </row>
    <row r="8" customFormat="false" ht="15" hidden="false" customHeight="true" outlineLevel="0" collapsed="false">
      <c r="A8" s="9" t="s">
        <v>18</v>
      </c>
      <c r="B8" s="10" t="n">
        <v>4612675</v>
      </c>
      <c r="C8" s="9" t="n">
        <v>1</v>
      </c>
      <c r="D8" s="11" t="n">
        <f aca="false">B8/Parametros!$B$4*C8</f>
        <v>1025038.88888889</v>
      </c>
      <c r="E8" s="10" t="n">
        <f aca="false">900000-Parametros!$B$5</f>
        <v>400000</v>
      </c>
      <c r="F8" s="11" t="n">
        <f aca="false">D8-E8</f>
        <v>625038.888888889</v>
      </c>
      <c r="G8" s="11" t="n">
        <f aca="false">F8</f>
        <v>625038.888888889</v>
      </c>
    </row>
    <row r="9" customFormat="false" ht="15" hidden="false" customHeight="true" outlineLevel="0" collapsed="false">
      <c r="A9" s="9" t="s">
        <v>19</v>
      </c>
      <c r="B9" s="10" t="n">
        <v>6138282</v>
      </c>
      <c r="C9" s="9" t="n">
        <v>1</v>
      </c>
      <c r="D9" s="11" t="n">
        <f aca="false">B9/Parametros!$B$4*C9</f>
        <v>1364062.66666667</v>
      </c>
      <c r="E9" s="10" t="n">
        <f aca="false">1080000-Parametros!$B$5</f>
        <v>580000</v>
      </c>
      <c r="F9" s="11" t="n">
        <f aca="false">D9-E9</f>
        <v>784062.666666667</v>
      </c>
      <c r="G9" s="11" t="n">
        <f aca="false">F9+G8</f>
        <v>1409101.55555556</v>
      </c>
    </row>
    <row r="10" customFormat="false" ht="15" hidden="false" customHeight="true" outlineLevel="0" collapsed="false">
      <c r="A10" s="9" t="s">
        <v>20</v>
      </c>
      <c r="B10" s="12" t="s">
        <v>15</v>
      </c>
      <c r="C10" s="9" t="n">
        <v>1</v>
      </c>
      <c r="D10" s="12" t="s">
        <v>15</v>
      </c>
      <c r="E10" s="10" t="n">
        <f aca="false">900000-Parametros!$B$5</f>
        <v>400000</v>
      </c>
      <c r="F10" s="12" t="s">
        <v>15</v>
      </c>
      <c r="G10" s="12" t="s">
        <v>15</v>
      </c>
    </row>
    <row r="11" customFormat="false" ht="15" hidden="false" customHeight="true" outlineLevel="0" collapsed="false">
      <c r="A11" s="9" t="s">
        <v>21</v>
      </c>
      <c r="B11" s="12" t="s">
        <v>15</v>
      </c>
      <c r="C11" s="9" t="n">
        <v>2</v>
      </c>
      <c r="D11" s="12" t="s">
        <v>15</v>
      </c>
      <c r="E11" s="12" t="s">
        <v>15</v>
      </c>
      <c r="F11" s="12" t="s">
        <v>15</v>
      </c>
      <c r="G11" s="12" t="s">
        <v>15</v>
      </c>
    </row>
    <row r="14" customFormat="false" ht="15" hidden="false" customHeight="true" outlineLevel="0" collapsed="false">
      <c r="A14" s="13" t="s">
        <v>22</v>
      </c>
    </row>
    <row r="15" customFormat="false" ht="27.75" hidden="false" customHeight="true" outlineLevel="0" collapsed="false">
      <c r="A15" s="14" t="s">
        <v>23</v>
      </c>
      <c r="B15" s="14"/>
      <c r="C15" s="14"/>
      <c r="D15" s="14"/>
      <c r="E15" s="14"/>
      <c r="F15" s="14"/>
      <c r="G15" s="14"/>
    </row>
    <row r="16" customFormat="false" ht="27.75" hidden="false" customHeight="true" outlineLevel="0" collapsed="false">
      <c r="A16" s="14" t="s">
        <v>24</v>
      </c>
      <c r="B16" s="14"/>
      <c r="C16" s="14"/>
      <c r="D16" s="14"/>
      <c r="E16" s="14"/>
      <c r="F16" s="14"/>
      <c r="G16" s="14"/>
    </row>
    <row r="17" customFormat="false" ht="27.75" hidden="false" customHeight="true" outlineLevel="0" collapsed="false">
      <c r="A17" s="14" t="s">
        <v>25</v>
      </c>
      <c r="B17" s="14"/>
      <c r="C17" s="14"/>
      <c r="D17" s="14"/>
      <c r="E17" s="14"/>
      <c r="F17" s="14"/>
      <c r="G17" s="14"/>
    </row>
    <row r="18" customFormat="false" ht="27.75" hidden="false" customHeight="true" outlineLevel="0" collapsed="false">
      <c r="A18" s="14" t="s">
        <v>26</v>
      </c>
      <c r="B18" s="14"/>
      <c r="C18" s="14"/>
      <c r="D18" s="14"/>
      <c r="E18" s="14"/>
      <c r="F18" s="14"/>
      <c r="G18" s="14"/>
    </row>
    <row r="19" customFormat="false" ht="27.75" hidden="false" customHeight="true" outlineLevel="0" collapsed="false">
      <c r="A19" s="14" t="s">
        <v>27</v>
      </c>
      <c r="B19" s="14"/>
      <c r="C19" s="14"/>
      <c r="D19" s="14"/>
      <c r="E19" s="14"/>
      <c r="F19" s="14"/>
      <c r="G19" s="14"/>
    </row>
    <row r="20" customFormat="false" ht="27.75" hidden="false" customHeight="true" outlineLevel="0" collapsed="false">
      <c r="A20" s="14" t="s">
        <v>28</v>
      </c>
      <c r="B20" s="14"/>
      <c r="C20" s="14"/>
      <c r="D20" s="14"/>
      <c r="E20" s="14"/>
      <c r="F20" s="14"/>
      <c r="G20" s="14"/>
    </row>
    <row r="21" customFormat="false" ht="27.75" hidden="false" customHeight="true" outlineLevel="0" collapsed="false">
      <c r="A21" s="14" t="s">
        <v>29</v>
      </c>
      <c r="B21" s="14"/>
      <c r="C21" s="14"/>
      <c r="D21" s="14"/>
      <c r="E21" s="14"/>
      <c r="F21" s="14"/>
      <c r="G21" s="14"/>
    </row>
    <row r="22" customFormat="false" ht="27.75" hidden="false" customHeight="true" outlineLevel="0" collapsed="false">
      <c r="A22" s="14" t="s">
        <v>30</v>
      </c>
      <c r="B22" s="14"/>
      <c r="C22" s="14"/>
      <c r="D22" s="14"/>
      <c r="E22" s="14"/>
      <c r="F22" s="14"/>
      <c r="G22" s="14"/>
    </row>
    <row r="23" customFormat="false" ht="27.75" hidden="false" customHeight="true" outlineLevel="0" collapsed="false">
      <c r="A23" s="14" t="s">
        <v>31</v>
      </c>
      <c r="B23" s="14"/>
      <c r="C23" s="14"/>
      <c r="D23" s="14"/>
      <c r="E23" s="14"/>
      <c r="F23" s="14"/>
      <c r="G23" s="14"/>
    </row>
  </sheetData>
  <mergeCells count="11">
    <mergeCell ref="A1:F1"/>
    <mergeCell ref="A2:F2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"/>
    <col collapsed="false" customWidth="true" hidden="false" outlineLevel="0" max="3" min="3" style="1" width="18"/>
    <col collapsed="false" customWidth="true" hidden="false" outlineLevel="0" max="4" min="4" style="1" width="9.91"/>
  </cols>
  <sheetData>
    <row r="1" customFormat="false" ht="21.75" hidden="false" customHeight="true" outlineLevel="0" collapsed="false">
      <c r="A1" s="15" t="s">
        <v>32</v>
      </c>
      <c r="B1" s="15"/>
      <c r="C1" s="15"/>
    </row>
    <row r="2" customFormat="false" ht="14.25" hidden="false" customHeight="true" outlineLevel="0" collapsed="false">
      <c r="A2" s="16" t="s">
        <v>33</v>
      </c>
      <c r="B2" s="17"/>
      <c r="C2" s="18" t="n">
        <v>6530000</v>
      </c>
    </row>
    <row r="3" customFormat="false" ht="14.25" hidden="false" customHeight="true" outlineLevel="0" collapsed="false">
      <c r="A3" s="19" t="s">
        <v>34</v>
      </c>
      <c r="B3" s="20"/>
      <c r="C3" s="21" t="n">
        <f aca="false">C2*2%</f>
        <v>130600</v>
      </c>
    </row>
    <row r="4" customFormat="false" ht="14.25" hidden="false" customHeight="true" outlineLevel="0" collapsed="false">
      <c r="A4" s="16" t="s">
        <v>35</v>
      </c>
      <c r="B4" s="17"/>
      <c r="C4" s="18" t="n">
        <f aca="false">C5+C6+C7+C8+C9</f>
        <v>3528055</v>
      </c>
      <c r="D4" s="22"/>
    </row>
    <row r="5" customFormat="false" ht="14.25" hidden="false" customHeight="true" outlineLevel="0" collapsed="false">
      <c r="A5" s="19" t="s">
        <v>36</v>
      </c>
      <c r="B5" s="20"/>
      <c r="C5" s="21" t="n">
        <v>2111055</v>
      </c>
    </row>
    <row r="6" customFormat="false" ht="14.25" hidden="false" customHeight="true" outlineLevel="0" collapsed="false">
      <c r="A6" s="19" t="s">
        <v>37</v>
      </c>
      <c r="B6" s="20"/>
      <c r="C6" s="21" t="n">
        <v>476000</v>
      </c>
    </row>
    <row r="7" customFormat="false" ht="14.25" hidden="false" customHeight="true" outlineLevel="0" collapsed="false">
      <c r="A7" s="19" t="s">
        <v>38</v>
      </c>
      <c r="B7" s="20"/>
      <c r="C7" s="21" t="n">
        <v>204000</v>
      </c>
    </row>
    <row r="8" customFormat="false" ht="14.25" hidden="false" customHeight="true" outlineLevel="0" collapsed="false">
      <c r="A8" s="19" t="s">
        <v>39</v>
      </c>
      <c r="B8" s="20"/>
      <c r="C8" s="21" t="n">
        <v>84000</v>
      </c>
    </row>
    <row r="9" customFormat="false" ht="14.25" hidden="false" customHeight="true" outlineLevel="0" collapsed="false">
      <c r="A9" s="19" t="s">
        <v>40</v>
      </c>
      <c r="B9" s="20"/>
      <c r="C9" s="21" t="n">
        <f aca="false">C2*0.1</f>
        <v>653000</v>
      </c>
    </row>
    <row r="10" customFormat="false" ht="14.25" hidden="false" customHeight="true" outlineLevel="0" collapsed="false">
      <c r="A10" s="16" t="s">
        <v>41</v>
      </c>
      <c r="B10" s="17"/>
      <c r="C10" s="18" t="n">
        <f aca="false">C11+C12</f>
        <v>3039070</v>
      </c>
    </row>
    <row r="11" customFormat="false" ht="14.25" hidden="false" customHeight="true" outlineLevel="0" collapsed="false">
      <c r="A11" s="19" t="s">
        <v>42</v>
      </c>
      <c r="B11" s="20"/>
      <c r="C11" s="21" t="n">
        <v>2679070</v>
      </c>
    </row>
    <row r="12" customFormat="false" ht="14.25" hidden="false" customHeight="true" outlineLevel="0" collapsed="false">
      <c r="A12" s="19" t="s">
        <v>43</v>
      </c>
      <c r="B12" s="20"/>
      <c r="C12" s="21" t="n">
        <v>360000</v>
      </c>
    </row>
    <row r="13" customFormat="false" ht="14.25" hidden="false" customHeight="true" outlineLevel="0" collapsed="false">
      <c r="A13" s="16" t="s">
        <v>44</v>
      </c>
      <c r="B13" s="17"/>
      <c r="C13" s="18" t="n">
        <f aca="false">C2-C4-C10</f>
        <v>-37125</v>
      </c>
    </row>
    <row r="14" customFormat="false" ht="14.25" hidden="false" customHeight="true" outlineLevel="0" collapsed="false">
      <c r="A14" s="16" t="s">
        <v>45</v>
      </c>
      <c r="B14" s="17"/>
      <c r="C14" s="18" t="n">
        <v>0</v>
      </c>
    </row>
    <row r="15" customFormat="false" ht="14.25" hidden="false" customHeight="true" outlineLevel="0" collapsed="false">
      <c r="A15" s="23"/>
      <c r="B15" s="23"/>
      <c r="C15" s="23"/>
    </row>
    <row r="16" customFormat="false" ht="14.25" hidden="false" customHeight="true" outlineLevel="0" collapsed="false">
      <c r="A16" s="24" t="s">
        <v>46</v>
      </c>
      <c r="B16" s="25"/>
      <c r="C16" s="26" t="n">
        <v>1000000</v>
      </c>
    </row>
    <row r="17" customFormat="false" ht="14.25" hidden="false" customHeight="true" outlineLevel="0" collapsed="false">
      <c r="A17" s="24" t="s">
        <v>47</v>
      </c>
      <c r="B17" s="25"/>
      <c r="C17" s="26" t="n">
        <v>279020</v>
      </c>
    </row>
    <row r="18" customFormat="false" ht="14.25" hidden="false" customHeight="true" outlineLevel="0" collapsed="false">
      <c r="A18" s="23"/>
      <c r="B18" s="23"/>
      <c r="C18" s="23"/>
    </row>
    <row r="21" customFormat="false" ht="14.25" hidden="false" customHeight="true" outlineLevel="0" collapsed="false">
      <c r="A21" s="27" t="s">
        <v>48</v>
      </c>
      <c r="B21" s="28"/>
      <c r="C21" s="29" t="n">
        <f aca="false">C2</f>
        <v>6530000</v>
      </c>
    </row>
    <row r="22" customFormat="false" ht="14.25" hidden="false" customHeight="true" outlineLevel="0" collapsed="false">
      <c r="A22" s="27" t="s">
        <v>49</v>
      </c>
      <c r="B22" s="28"/>
      <c r="C22" s="29" t="n">
        <f aca="false">C4+C10</f>
        <v>6567125</v>
      </c>
    </row>
    <row r="23" customFormat="false" ht="14.25" hidden="false" customHeight="true" outlineLevel="0" collapsed="false">
      <c r="A23" s="27" t="s">
        <v>50</v>
      </c>
      <c r="B23" s="28"/>
      <c r="C23" s="29" t="n">
        <f aca="false">C16+C17</f>
        <v>1279020</v>
      </c>
    </row>
    <row r="24" customFormat="false" ht="14.25" hidden="false" customHeight="true" outlineLevel="0" collapsed="false">
      <c r="A24" s="27" t="s">
        <v>51</v>
      </c>
      <c r="B24" s="28"/>
      <c r="C24" s="29" t="n">
        <f aca="false">C21-C22+C23</f>
        <v>1241895</v>
      </c>
    </row>
    <row r="25" customFormat="false" ht="14.25" hidden="false" customHeight="true" outlineLevel="0" collapsed="false">
      <c r="A25" s="27" t="s">
        <v>52</v>
      </c>
      <c r="B25" s="28"/>
      <c r="C25" s="29" t="n">
        <f aca="false">Transferencias!C4+Transferencias!C5</f>
        <v>1000000</v>
      </c>
    </row>
    <row r="28" customFormat="false" ht="14.25" hidden="false" customHeight="true" outlineLevel="0" collapsed="false">
      <c r="A28" s="27" t="s">
        <v>53</v>
      </c>
      <c r="B28" s="28"/>
      <c r="C28" s="29" t="n">
        <f aca="false">C24-C25</f>
        <v>241895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C25" activeCellId="0" sqref="C2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"/>
    <col collapsed="false" customWidth="true" hidden="false" outlineLevel="0" max="3" min="3" style="1" width="18"/>
  </cols>
  <sheetData>
    <row r="1" customFormat="false" ht="21.75" hidden="false" customHeight="true" outlineLevel="0" collapsed="false">
      <c r="A1" s="15" t="s">
        <v>54</v>
      </c>
      <c r="B1" s="15"/>
      <c r="C1" s="15"/>
    </row>
    <row r="2" customFormat="false" ht="14.25" hidden="false" customHeight="true" outlineLevel="0" collapsed="false">
      <c r="A2" s="16" t="s">
        <v>33</v>
      </c>
      <c r="B2" s="17"/>
      <c r="C2" s="18" t="n">
        <v>1150000</v>
      </c>
    </row>
    <row r="3" customFormat="false" ht="14.25" hidden="false" customHeight="true" outlineLevel="0" collapsed="false">
      <c r="A3" s="19" t="s">
        <v>34</v>
      </c>
      <c r="B3" s="20"/>
      <c r="C3" s="21" t="n">
        <f aca="false">C2*2%</f>
        <v>23000</v>
      </c>
    </row>
    <row r="4" customFormat="false" ht="14.25" hidden="false" customHeight="true" outlineLevel="0" collapsed="false">
      <c r="A4" s="16" t="s">
        <v>35</v>
      </c>
      <c r="B4" s="17"/>
      <c r="C4" s="18" t="n">
        <v>1034502</v>
      </c>
    </row>
    <row r="5" customFormat="false" ht="14.25" hidden="false" customHeight="true" outlineLevel="0" collapsed="false">
      <c r="A5" s="19" t="s">
        <v>55</v>
      </c>
      <c r="B5" s="20"/>
      <c r="C5" s="21" t="n">
        <v>562502</v>
      </c>
    </row>
    <row r="6" customFormat="false" ht="14.25" hidden="false" customHeight="true" outlineLevel="0" collapsed="false">
      <c r="A6" s="19" t="s">
        <v>37</v>
      </c>
      <c r="B6" s="20"/>
      <c r="C6" s="21" t="n">
        <v>231000</v>
      </c>
    </row>
    <row r="7" customFormat="false" ht="14.25" hidden="false" customHeight="true" outlineLevel="0" collapsed="false">
      <c r="A7" s="19" t="s">
        <v>38</v>
      </c>
      <c r="B7" s="20"/>
      <c r="C7" s="21" t="n">
        <v>84000</v>
      </c>
    </row>
    <row r="8" customFormat="false" ht="14.25" hidden="false" customHeight="true" outlineLevel="0" collapsed="false">
      <c r="A8" s="19" t="s">
        <v>39</v>
      </c>
      <c r="B8" s="20"/>
      <c r="C8" s="21" t="n">
        <v>42000</v>
      </c>
    </row>
    <row r="9" customFormat="false" ht="14.25" hidden="false" customHeight="true" outlineLevel="0" collapsed="false">
      <c r="A9" s="19" t="s">
        <v>40</v>
      </c>
      <c r="B9" s="20"/>
      <c r="C9" s="21" t="n">
        <v>115000</v>
      </c>
    </row>
    <row r="10" customFormat="false" ht="14.25" hidden="false" customHeight="true" outlineLevel="0" collapsed="false">
      <c r="A10" s="16" t="s">
        <v>41</v>
      </c>
      <c r="B10" s="17"/>
      <c r="C10" s="18" t="n">
        <v>811535</v>
      </c>
    </row>
    <row r="11" customFormat="false" ht="14.25" hidden="false" customHeight="true" outlineLevel="0" collapsed="false">
      <c r="A11" s="19" t="s">
        <v>42</v>
      </c>
      <c r="B11" s="20"/>
      <c r="C11" s="21" t="n">
        <v>811535</v>
      </c>
    </row>
    <row r="12" customFormat="false" ht="14.25" hidden="false" customHeight="true" outlineLevel="0" collapsed="false">
      <c r="A12" s="19" t="s">
        <v>43</v>
      </c>
      <c r="B12" s="20"/>
      <c r="C12" s="21" t="s">
        <v>56</v>
      </c>
    </row>
    <row r="13" customFormat="false" ht="14.25" hidden="false" customHeight="true" outlineLevel="0" collapsed="false">
      <c r="A13" s="16" t="s">
        <v>57</v>
      </c>
      <c r="B13" s="17"/>
      <c r="C13" s="18" t="n">
        <f aca="false">Transferencias!C11</f>
        <v>473000</v>
      </c>
    </row>
    <row r="15" customFormat="false" ht="14.25" hidden="false" customHeight="true" outlineLevel="0" collapsed="false">
      <c r="A15" s="16" t="s">
        <v>44</v>
      </c>
      <c r="B15" s="17"/>
      <c r="C15" s="18" t="n">
        <f aca="false">C2-C4-C10-C13</f>
        <v>-1169037</v>
      </c>
    </row>
    <row r="16" customFormat="false" ht="14.25" hidden="false" customHeight="true" outlineLevel="0" collapsed="false">
      <c r="A16" s="16" t="s">
        <v>45</v>
      </c>
      <c r="B16" s="17"/>
      <c r="C16" s="18" t="n">
        <v>0</v>
      </c>
    </row>
    <row r="19" customFormat="false" ht="14.25" hidden="false" customHeight="true" outlineLevel="0" collapsed="false">
      <c r="A19" s="27" t="s">
        <v>48</v>
      </c>
      <c r="B19" s="28"/>
      <c r="C19" s="29" t="n">
        <f aca="false">C2</f>
        <v>1150000</v>
      </c>
    </row>
    <row r="20" customFormat="false" ht="14.25" hidden="false" customHeight="true" outlineLevel="0" collapsed="false">
      <c r="A20" s="27" t="s">
        <v>49</v>
      </c>
      <c r="B20" s="28"/>
      <c r="C20" s="29" t="n">
        <f aca="false">C4+C10+C13</f>
        <v>2319037</v>
      </c>
    </row>
    <row r="21" customFormat="false" ht="14.25" hidden="false" customHeight="true" outlineLevel="0" collapsed="false">
      <c r="A21" s="27" t="s">
        <v>51</v>
      </c>
      <c r="B21" s="28"/>
      <c r="C21" s="29" t="n">
        <f aca="false">C19-C20</f>
        <v>-1169037</v>
      </c>
    </row>
    <row r="22" customFormat="false" ht="14.25" hidden="false" customHeight="true" outlineLevel="0" collapsed="false">
      <c r="A22" s="27" t="s">
        <v>52</v>
      </c>
      <c r="B22" s="28"/>
      <c r="C22" s="29" t="n">
        <f aca="false">Transferencias!C6+Transferencias!C7+Transferencias!C8+Transferencias!C10</f>
        <v>1150000</v>
      </c>
    </row>
    <row r="23" customFormat="false" ht="14.25" hidden="false" customHeight="true" outlineLevel="0" collapsed="false">
      <c r="A23" s="27" t="s">
        <v>53</v>
      </c>
      <c r="B23" s="28"/>
      <c r="C23" s="29" t="n">
        <f aca="false">C21-C22</f>
        <v>-2319037</v>
      </c>
    </row>
    <row r="25" customFormat="false" ht="14.25" hidden="false" customHeight="true" outlineLevel="0" collapsed="false">
      <c r="A25" s="30" t="s">
        <v>58</v>
      </c>
      <c r="B25" s="30"/>
      <c r="C25" s="31" t="n">
        <f aca="false">'Oct a Nov-25'!C28+'Dic-25'!C23</f>
        <v>-2077142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21" activeCellId="0" sqref="C2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"/>
    <col collapsed="false" customWidth="true" hidden="false" outlineLevel="0" max="3" min="3" style="1" width="18"/>
  </cols>
  <sheetData>
    <row r="1" customFormat="false" ht="21.75" hidden="false" customHeight="true" outlineLevel="0" collapsed="false">
      <c r="A1" s="15" t="s">
        <v>59</v>
      </c>
      <c r="B1" s="15"/>
      <c r="C1" s="15"/>
    </row>
    <row r="2" customFormat="false" ht="14.25" hidden="false" customHeight="true" outlineLevel="0" collapsed="false">
      <c r="A2" s="16" t="s">
        <v>33</v>
      </c>
      <c r="B2" s="17"/>
      <c r="C2" s="18" t="n">
        <v>5407312</v>
      </c>
    </row>
    <row r="3" customFormat="false" ht="14.25" hidden="false" customHeight="true" outlineLevel="0" collapsed="false">
      <c r="A3" s="19" t="s">
        <v>34</v>
      </c>
      <c r="B3" s="20"/>
      <c r="C3" s="21" t="n">
        <f aca="false">C2*2%</f>
        <v>108146.24</v>
      </c>
    </row>
    <row r="4" customFormat="false" ht="14.25" hidden="false" customHeight="true" outlineLevel="0" collapsed="false">
      <c r="A4" s="16" t="s">
        <v>35</v>
      </c>
      <c r="B4" s="17"/>
      <c r="C4" s="18" t="n">
        <v>3285728</v>
      </c>
    </row>
    <row r="5" customFormat="false" ht="14.25" hidden="false" customHeight="true" outlineLevel="0" collapsed="false">
      <c r="A5" s="19" t="s">
        <v>55</v>
      </c>
      <c r="B5" s="20"/>
      <c r="C5" s="21" t="n">
        <v>1724997</v>
      </c>
    </row>
    <row r="6" customFormat="false" ht="14.25" hidden="false" customHeight="true" outlineLevel="0" collapsed="false">
      <c r="A6" s="19" t="s">
        <v>37</v>
      </c>
      <c r="B6" s="20"/>
      <c r="C6" s="21" t="n">
        <v>660000</v>
      </c>
    </row>
    <row r="7" customFormat="false" ht="14.25" hidden="false" customHeight="true" outlineLevel="0" collapsed="false">
      <c r="A7" s="19" t="s">
        <v>38</v>
      </c>
      <c r="B7" s="20"/>
      <c r="C7" s="21" t="n">
        <v>240000</v>
      </c>
    </row>
    <row r="8" customFormat="false" ht="14.25" hidden="false" customHeight="true" outlineLevel="0" collapsed="false">
      <c r="A8" s="19" t="s">
        <v>39</v>
      </c>
      <c r="B8" s="20"/>
      <c r="C8" s="21" t="n">
        <v>120000</v>
      </c>
    </row>
    <row r="9" customFormat="false" ht="14.25" hidden="false" customHeight="true" outlineLevel="0" collapsed="false">
      <c r="A9" s="19" t="s">
        <v>40</v>
      </c>
      <c r="B9" s="20"/>
      <c r="C9" s="21" t="n">
        <v>540731</v>
      </c>
    </row>
    <row r="10" customFormat="false" ht="14.25" hidden="false" customHeight="true" outlineLevel="0" collapsed="false">
      <c r="A10" s="16" t="s">
        <v>41</v>
      </c>
      <c r="B10" s="17"/>
      <c r="C10" s="18" t="n">
        <v>1094195</v>
      </c>
    </row>
    <row r="11" customFormat="false" ht="14.25" hidden="false" customHeight="true" outlineLevel="0" collapsed="false">
      <c r="A11" s="19" t="s">
        <v>42</v>
      </c>
      <c r="B11" s="20"/>
      <c r="C11" s="21" t="n">
        <v>1094195</v>
      </c>
    </row>
    <row r="12" customFormat="false" ht="14.25" hidden="false" customHeight="true" outlineLevel="0" collapsed="false">
      <c r="A12" s="19" t="s">
        <v>43</v>
      </c>
      <c r="B12" s="20"/>
      <c r="C12" s="21" t="s">
        <v>56</v>
      </c>
    </row>
    <row r="13" customFormat="false" ht="14.25" hidden="false" customHeight="true" outlineLevel="0" collapsed="false">
      <c r="A13" s="16" t="s">
        <v>44</v>
      </c>
      <c r="B13" s="17"/>
      <c r="C13" s="18" t="n">
        <f aca="false">C2-C3-C4-C10</f>
        <v>919242.76</v>
      </c>
    </row>
    <row r="14" customFormat="false" ht="14.25" hidden="false" customHeight="true" outlineLevel="0" collapsed="false">
      <c r="A14" s="16" t="s">
        <v>45</v>
      </c>
      <c r="B14" s="17"/>
      <c r="C14" s="18" t="n">
        <f aca="false">C13*0.2</f>
        <v>183848.552</v>
      </c>
    </row>
    <row r="15" customFormat="false" ht="14.25" hidden="false" customHeight="true" outlineLevel="0" collapsed="false">
      <c r="A15" s="23"/>
      <c r="B15" s="23"/>
      <c r="C15" s="23"/>
    </row>
    <row r="17" customFormat="false" ht="14.25" hidden="false" customHeight="true" outlineLevel="0" collapsed="false">
      <c r="A17" s="27" t="s">
        <v>48</v>
      </c>
      <c r="B17" s="28"/>
      <c r="C17" s="29" t="n">
        <f aca="false">C2</f>
        <v>5407312</v>
      </c>
    </row>
    <row r="18" customFormat="false" ht="14.25" hidden="false" customHeight="true" outlineLevel="0" collapsed="false">
      <c r="A18" s="27" t="s">
        <v>49</v>
      </c>
      <c r="B18" s="28"/>
      <c r="C18" s="29" t="n">
        <f aca="false">C4+C10+C14</f>
        <v>4563771.552</v>
      </c>
    </row>
    <row r="19" customFormat="false" ht="14.25" hidden="false" customHeight="true" outlineLevel="0" collapsed="false">
      <c r="A19" s="27" t="s">
        <v>51</v>
      </c>
      <c r="B19" s="28"/>
      <c r="C19" s="29" t="n">
        <f aca="false">C17-C18</f>
        <v>843540.448</v>
      </c>
    </row>
    <row r="20" customFormat="false" ht="14.25" hidden="false" customHeight="true" outlineLevel="0" collapsed="false">
      <c r="A20" s="27" t="s">
        <v>52</v>
      </c>
      <c r="B20" s="28"/>
      <c r="C20" s="29" t="n">
        <f aca="false">Transferencias!C14+Transferencias!C16+Transferencias!C18</f>
        <v>600000</v>
      </c>
    </row>
    <row r="21" customFormat="false" ht="14.25" hidden="false" customHeight="true" outlineLevel="0" collapsed="false">
      <c r="A21" s="27" t="s">
        <v>53</v>
      </c>
      <c r="B21" s="28"/>
      <c r="C21" s="29" t="n">
        <f aca="false">C19-C20</f>
        <v>243540.448</v>
      </c>
    </row>
    <row r="23" customFormat="false" ht="14.25" hidden="false" customHeight="true" outlineLevel="0" collapsed="false">
      <c r="A23" s="16" t="s">
        <v>58</v>
      </c>
      <c r="B23" s="17"/>
      <c r="C23" s="18" t="n">
        <f aca="false">'Dic-25'!C25+'Ene-26'!C21</f>
        <v>-1833601.552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G15" activeCellId="0" sqref="G15"/>
    </sheetView>
  </sheetViews>
  <sheetFormatPr defaultColWidth="10.6796875" defaultRowHeight="14.25" zeroHeight="false" outlineLevelRow="0" outlineLevelCol="0"/>
  <cols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5" min="5" style="1" width="11.18"/>
  </cols>
  <sheetData>
    <row r="1" customFormat="false" ht="14.25" hidden="false" customHeight="true" outlineLevel="0" collapsed="false">
      <c r="B1" s="15" t="s">
        <v>60</v>
      </c>
      <c r="C1" s="15"/>
    </row>
    <row r="2" customFormat="false" ht="14.25" hidden="false" customHeight="true" outlineLevel="0" collapsed="false">
      <c r="B2" s="16" t="s">
        <v>61</v>
      </c>
      <c r="C2" s="18" t="n">
        <v>25446631</v>
      </c>
    </row>
    <row r="3" customFormat="false" ht="14.25" hidden="false" customHeight="true" outlineLevel="0" collapsed="false">
      <c r="B3" s="16" t="s">
        <v>62</v>
      </c>
      <c r="C3" s="18" t="n">
        <v>5080000</v>
      </c>
    </row>
    <row r="4" customFormat="false" ht="14.25" hidden="false" customHeight="true" outlineLevel="0" collapsed="false">
      <c r="B4" s="16" t="s">
        <v>63</v>
      </c>
      <c r="C4" s="18" t="n">
        <v>16984228</v>
      </c>
    </row>
    <row r="5" customFormat="false" ht="14.25" hidden="false" customHeight="true" outlineLevel="0" collapsed="false">
      <c r="B5" s="16" t="s">
        <v>64</v>
      </c>
      <c r="C5" s="18" t="n">
        <f aca="false">121285+95784+174653</f>
        <v>391722</v>
      </c>
      <c r="F5" s="22"/>
    </row>
    <row r="6" customFormat="false" ht="14.25" hidden="false" customHeight="true" outlineLevel="0" collapsed="false">
      <c r="B6" s="16" t="s">
        <v>65</v>
      </c>
      <c r="C6" s="18" t="n">
        <f aca="false">C2-C3-C4-C5</f>
        <v>2990681</v>
      </c>
    </row>
    <row r="8" customFormat="false" ht="14.25" hidden="false" customHeight="true" outlineLevel="0" collapsed="false">
      <c r="B8" s="32" t="s">
        <v>66</v>
      </c>
      <c r="C8" s="33" t="n">
        <f aca="false">(2/6)*C6</f>
        <v>996893.666666667</v>
      </c>
    </row>
    <row r="9" customFormat="false" ht="14.25" hidden="false" customHeight="true" outlineLevel="0" collapsed="false">
      <c r="B9" s="32"/>
      <c r="C9" s="32"/>
      <c r="E9" s="34"/>
    </row>
    <row r="10" customFormat="false" ht="14.25" hidden="false" customHeight="true" outlineLevel="0" collapsed="false">
      <c r="E10" s="35"/>
    </row>
    <row r="11" customFormat="false" ht="14.25" hidden="false" customHeight="true" outlineLevel="0" collapsed="false">
      <c r="B11" s="16" t="s">
        <v>52</v>
      </c>
      <c r="C11" s="18" t="n">
        <f aca="false">Transferencias!C19+Transferencias!C25</f>
        <v>450000</v>
      </c>
      <c r="E11" s="35"/>
    </row>
    <row r="14" customFormat="false" ht="14.25" hidden="false" customHeight="true" outlineLevel="0" collapsed="false">
      <c r="B14" s="36" t="s">
        <v>53</v>
      </c>
      <c r="C14" s="31" t="n">
        <f aca="false">C8-C11</f>
        <v>546893.666666667</v>
      </c>
      <c r="E14" s="22" t="n">
        <f aca="false">'Ene-26'!C23</f>
        <v>-1833601.552</v>
      </c>
    </row>
    <row r="15" customFormat="false" ht="14.25" hidden="false" customHeight="true" outlineLevel="0" collapsed="false">
      <c r="E15" s="22" t="n">
        <f aca="false">C14</f>
        <v>546893.666666667</v>
      </c>
    </row>
    <row r="16" customFormat="false" ht="14.25" hidden="false" customHeight="true" outlineLevel="0" collapsed="false">
      <c r="B16" s="36" t="s">
        <v>67</v>
      </c>
      <c r="C16" s="31" t="n">
        <f aca="false">'Ene-26'!C23+'Feb-26'!C14</f>
        <v>-1286707.88533333</v>
      </c>
      <c r="E16" s="22" t="n">
        <f aca="false">E14+E15</f>
        <v>-1286707.88533333</v>
      </c>
    </row>
    <row r="19" customFormat="false" ht="14.25" hidden="false" customHeight="true" outlineLevel="0" collapsed="false">
      <c r="B19" s="16" t="s">
        <v>68</v>
      </c>
      <c r="C19" s="18" t="n">
        <v>1000000</v>
      </c>
    </row>
  </sheetData>
  <mergeCells count="3">
    <mergeCell ref="B1:C1"/>
    <mergeCell ref="B8:B9"/>
    <mergeCell ref="C8:C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796875" defaultRowHeight="14.25" zeroHeight="false" outlineLevelRow="0" outlineLevelCol="0"/>
  <cols>
    <col collapsed="false" customWidth="true" hidden="false" outlineLevel="0" max="2" min="2" style="1" width="44"/>
    <col collapsed="false" customWidth="true" hidden="false" outlineLevel="0" max="3" min="3" style="1" width="18"/>
  </cols>
  <sheetData>
    <row r="1" customFormat="false" ht="14.25" hidden="false" customHeight="true" outlineLevel="0" collapsed="false">
      <c r="B1" s="15" t="s">
        <v>60</v>
      </c>
      <c r="C1" s="15"/>
    </row>
    <row r="2" customFormat="false" ht="14.25" hidden="false" customHeight="true" outlineLevel="0" collapsed="false">
      <c r="B2" s="16" t="s">
        <v>61</v>
      </c>
      <c r="C2" s="37" t="n">
        <v>0</v>
      </c>
    </row>
    <row r="3" customFormat="false" ht="14.25" hidden="false" customHeight="true" outlineLevel="0" collapsed="false">
      <c r="B3" s="16" t="s">
        <v>62</v>
      </c>
      <c r="C3" s="37" t="n">
        <v>0</v>
      </c>
    </row>
    <row r="4" customFormat="false" ht="14.25" hidden="false" customHeight="true" outlineLevel="0" collapsed="false">
      <c r="B4" s="16" t="s">
        <v>63</v>
      </c>
      <c r="C4" s="37" t="n">
        <v>0</v>
      </c>
    </row>
    <row r="5" customFormat="false" ht="14.25" hidden="false" customHeight="true" outlineLevel="0" collapsed="false">
      <c r="B5" s="16" t="s">
        <v>65</v>
      </c>
      <c r="C5" s="37" t="n">
        <v>0</v>
      </c>
    </row>
    <row r="7" customFormat="false" ht="14.25" hidden="false" customHeight="true" outlineLevel="0" collapsed="false">
      <c r="B7" s="32" t="s">
        <v>66</v>
      </c>
      <c r="C7" s="33" t="n">
        <v>0</v>
      </c>
    </row>
    <row r="8" customFormat="false" ht="14.25" hidden="false" customHeight="true" outlineLevel="0" collapsed="false">
      <c r="B8" s="32"/>
      <c r="C8" s="32"/>
    </row>
    <row r="10" customFormat="false" ht="14.25" hidden="false" customHeight="true" outlineLevel="0" collapsed="false">
      <c r="B10" s="16" t="s">
        <v>52</v>
      </c>
      <c r="C10" s="37" t="n">
        <v>0</v>
      </c>
    </row>
    <row r="13" customFormat="false" ht="14.25" hidden="false" customHeight="true" outlineLevel="0" collapsed="false">
      <c r="B13" s="36" t="s">
        <v>53</v>
      </c>
      <c r="C13" s="38" t="n">
        <v>0</v>
      </c>
    </row>
    <row r="15" customFormat="false" ht="14.25" hidden="false" customHeight="true" outlineLevel="0" collapsed="false">
      <c r="B15" s="36" t="s">
        <v>67</v>
      </c>
      <c r="C15" s="38" t="n">
        <v>0</v>
      </c>
    </row>
    <row r="18" customFormat="false" ht="14.25" hidden="false" customHeight="true" outlineLevel="0" collapsed="false">
      <c r="B18" s="16" t="s">
        <v>69</v>
      </c>
      <c r="C18" s="38" t="n">
        <v>0</v>
      </c>
    </row>
    <row r="20" customFormat="false" ht="14.25" hidden="false" customHeight="true" outlineLevel="0" collapsed="false">
      <c r="B20" s="16" t="s">
        <v>70</v>
      </c>
      <c r="C20" s="38" t="n">
        <f aca="false">'Feb-26'!C19+'Mar-26'!C18</f>
        <v>1000000</v>
      </c>
    </row>
  </sheetData>
  <mergeCells count="3">
    <mergeCell ref="B1:C1"/>
    <mergeCell ref="B7:B8"/>
    <mergeCell ref="C7:C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1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35" activeCellId="0" sqref="A3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63.36"/>
    <col collapsed="false" customWidth="true" hidden="false" outlineLevel="0" max="3" min="3" style="39" width="13.82"/>
    <col collapsed="false" customWidth="true" hidden="false" outlineLevel="0" max="4" min="4" style="39" width="39.82"/>
    <col collapsed="false" customWidth="true" hidden="false" outlineLevel="0" max="5" min="5" style="39" width="16.18"/>
    <col collapsed="false" customWidth="true" hidden="false" outlineLevel="0" max="6" min="6" style="39" width="24.27"/>
    <col collapsed="false" customWidth="true" hidden="false" outlineLevel="0" max="7" min="7" style="39" width="21.45"/>
    <col collapsed="false" customWidth="true" hidden="false" outlineLevel="0" max="8" min="8" style="1" width="10.09"/>
    <col collapsed="false" customWidth="true" hidden="false" outlineLevel="0" max="9" min="9" style="1" width="22.91"/>
  </cols>
  <sheetData>
    <row r="2" customFormat="false" ht="15" hidden="false" customHeight="true" outlineLevel="0" collapsed="false">
      <c r="A2" s="40" t="s">
        <v>71</v>
      </c>
      <c r="B2" s="40" t="s">
        <v>72</v>
      </c>
      <c r="C2" s="40" t="s">
        <v>73</v>
      </c>
      <c r="D2" s="40" t="s">
        <v>74</v>
      </c>
    </row>
    <row r="3" customFormat="false" ht="15" hidden="false" customHeight="true" outlineLevel="0" collapsed="false">
      <c r="A3" s="41" t="s">
        <v>75</v>
      </c>
      <c r="B3" s="42" t="s">
        <v>76</v>
      </c>
      <c r="C3" s="43" t="n">
        <v>109000</v>
      </c>
      <c r="D3" s="42" t="s">
        <v>77</v>
      </c>
    </row>
    <row r="4" customFormat="false" ht="15" hidden="false" customHeight="true" outlineLevel="0" collapsed="false">
      <c r="A4" s="41" t="s">
        <v>78</v>
      </c>
      <c r="B4" s="42" t="s">
        <v>76</v>
      </c>
      <c r="C4" s="43" t="n">
        <v>500000</v>
      </c>
      <c r="D4" s="44" t="s">
        <v>79</v>
      </c>
    </row>
    <row r="5" customFormat="false" ht="15" hidden="false" customHeight="true" outlineLevel="0" collapsed="false">
      <c r="A5" s="45" t="s">
        <v>80</v>
      </c>
      <c r="B5" s="42" t="s">
        <v>76</v>
      </c>
      <c r="C5" s="43" t="n">
        <v>500000</v>
      </c>
      <c r="D5" s="44" t="s">
        <v>79</v>
      </c>
    </row>
    <row r="6" customFormat="false" ht="15" hidden="false" customHeight="true" outlineLevel="0" collapsed="false">
      <c r="A6" s="45" t="s">
        <v>81</v>
      </c>
      <c r="B6" s="42" t="s">
        <v>82</v>
      </c>
      <c r="C6" s="43" t="n">
        <v>200000</v>
      </c>
      <c r="D6" s="44" t="s">
        <v>79</v>
      </c>
    </row>
    <row r="7" customFormat="false" ht="15" hidden="false" customHeight="true" outlineLevel="0" collapsed="false">
      <c r="A7" s="45" t="s">
        <v>83</v>
      </c>
      <c r="B7" s="42" t="s">
        <v>82</v>
      </c>
      <c r="C7" s="43" t="n">
        <v>300000</v>
      </c>
      <c r="D7" s="44" t="s">
        <v>79</v>
      </c>
    </row>
    <row r="8" customFormat="false" ht="15" hidden="false" customHeight="true" outlineLevel="0" collapsed="false">
      <c r="A8" s="45" t="s">
        <v>84</v>
      </c>
      <c r="B8" s="42" t="s">
        <v>76</v>
      </c>
      <c r="C8" s="43" t="n">
        <v>150000</v>
      </c>
      <c r="D8" s="44" t="s">
        <v>79</v>
      </c>
    </row>
    <row r="9" customFormat="false" ht="15" hidden="false" customHeight="true" outlineLevel="0" collapsed="false">
      <c r="A9" s="45" t="s">
        <v>85</v>
      </c>
      <c r="B9" s="42" t="s">
        <v>76</v>
      </c>
      <c r="C9" s="43" t="n">
        <v>30000</v>
      </c>
      <c r="D9" s="44" t="s">
        <v>86</v>
      </c>
    </row>
    <row r="10" customFormat="false" ht="15" hidden="false" customHeight="true" outlineLevel="0" collapsed="false">
      <c r="A10" s="45" t="s">
        <v>87</v>
      </c>
      <c r="B10" s="42" t="s">
        <v>82</v>
      </c>
      <c r="C10" s="43" t="n">
        <v>500000</v>
      </c>
      <c r="D10" s="44" t="s">
        <v>79</v>
      </c>
    </row>
    <row r="11" customFormat="false" ht="14.25" hidden="false" customHeight="true" outlineLevel="0" collapsed="false">
      <c r="A11" s="45" t="s">
        <v>88</v>
      </c>
      <c r="B11" s="42" t="s">
        <v>82</v>
      </c>
      <c r="C11" s="43" t="n">
        <v>473000</v>
      </c>
      <c r="D11" s="42" t="s">
        <v>89</v>
      </c>
    </row>
    <row r="12" customFormat="false" ht="14.25" hidden="false" customHeight="true" outlineLevel="0" collapsed="false">
      <c r="A12" s="45" t="s">
        <v>90</v>
      </c>
      <c r="B12" s="42" t="s">
        <v>76</v>
      </c>
      <c r="C12" s="43" t="n">
        <v>193000</v>
      </c>
      <c r="D12" s="42" t="s">
        <v>91</v>
      </c>
    </row>
    <row r="13" customFormat="false" ht="14.25" hidden="false" customHeight="true" outlineLevel="0" collapsed="false">
      <c r="A13" s="45" t="s">
        <v>92</v>
      </c>
      <c r="B13" s="42" t="s">
        <v>76</v>
      </c>
      <c r="C13" s="43" t="n">
        <v>30000</v>
      </c>
      <c r="D13" s="42" t="s">
        <v>93</v>
      </c>
    </row>
    <row r="14" customFormat="false" ht="15" hidden="false" customHeight="true" outlineLevel="0" collapsed="false">
      <c r="A14" s="45" t="s">
        <v>94</v>
      </c>
      <c r="B14" s="42" t="s">
        <v>76</v>
      </c>
      <c r="C14" s="43" t="n">
        <v>200000</v>
      </c>
      <c r="D14" s="44" t="s">
        <v>79</v>
      </c>
    </row>
    <row r="15" customFormat="false" ht="14.25" hidden="false" customHeight="true" outlineLevel="0" collapsed="false">
      <c r="A15" s="45" t="s">
        <v>94</v>
      </c>
      <c r="B15" s="42" t="s">
        <v>76</v>
      </c>
      <c r="C15" s="43" t="n">
        <v>40000</v>
      </c>
      <c r="D15" s="42" t="s">
        <v>95</v>
      </c>
    </row>
    <row r="16" customFormat="false" ht="15" hidden="false" customHeight="true" outlineLevel="0" collapsed="false">
      <c r="A16" s="45" t="s">
        <v>96</v>
      </c>
      <c r="B16" s="42" t="s">
        <v>82</v>
      </c>
      <c r="C16" s="43" t="n">
        <v>200000</v>
      </c>
      <c r="D16" s="44" t="s">
        <v>79</v>
      </c>
    </row>
    <row r="17" customFormat="false" ht="14.25" hidden="false" customHeight="true" outlineLevel="0" collapsed="false">
      <c r="A17" s="45" t="s">
        <v>97</v>
      </c>
      <c r="B17" s="42" t="s">
        <v>82</v>
      </c>
      <c r="C17" s="43" t="n">
        <v>510000</v>
      </c>
      <c r="D17" s="42" t="s">
        <v>98</v>
      </c>
    </row>
    <row r="18" customFormat="false" ht="15" hidden="false" customHeight="true" outlineLevel="0" collapsed="false">
      <c r="A18" s="45" t="s">
        <v>99</v>
      </c>
      <c r="B18" s="42" t="s">
        <v>82</v>
      </c>
      <c r="C18" s="43" t="n">
        <v>200000</v>
      </c>
      <c r="D18" s="44" t="s">
        <v>79</v>
      </c>
    </row>
    <row r="19" customFormat="false" ht="15" hidden="false" customHeight="true" outlineLevel="0" collapsed="false">
      <c r="A19" s="45" t="s">
        <v>100</v>
      </c>
      <c r="B19" s="42" t="s">
        <v>82</v>
      </c>
      <c r="C19" s="43" t="n">
        <v>200000</v>
      </c>
      <c r="D19" s="44" t="s">
        <v>79</v>
      </c>
    </row>
    <row r="20" customFormat="false" ht="14.25" hidden="false" customHeight="true" outlineLevel="0" collapsed="false">
      <c r="A20" s="45" t="s">
        <v>100</v>
      </c>
      <c r="B20" s="42" t="s">
        <v>82</v>
      </c>
      <c r="C20" s="43" t="n">
        <v>145000</v>
      </c>
      <c r="D20" s="42" t="s">
        <v>101</v>
      </c>
    </row>
    <row r="21" customFormat="false" ht="14.25" hidden="false" customHeight="true" outlineLevel="0" collapsed="false">
      <c r="A21" s="45" t="s">
        <v>102</v>
      </c>
      <c r="B21" s="42" t="s">
        <v>76</v>
      </c>
      <c r="C21" s="43" t="n">
        <v>1000000</v>
      </c>
      <c r="D21" s="42" t="s">
        <v>103</v>
      </c>
    </row>
    <row r="22" customFormat="false" ht="14.25" hidden="false" customHeight="true" outlineLevel="0" collapsed="false">
      <c r="A22" s="45" t="s">
        <v>104</v>
      </c>
      <c r="B22" s="42" t="s">
        <v>76</v>
      </c>
      <c r="C22" s="43" t="n">
        <v>126000</v>
      </c>
      <c r="D22" s="42" t="s">
        <v>105</v>
      </c>
    </row>
    <row r="23" customFormat="false" ht="14.25" hidden="false" customHeight="true" outlineLevel="0" collapsed="false">
      <c r="A23" s="45" t="s">
        <v>104</v>
      </c>
      <c r="B23" s="42" t="s">
        <v>76</v>
      </c>
      <c r="C23" s="43" t="n">
        <v>30000</v>
      </c>
      <c r="D23" s="42" t="s">
        <v>105</v>
      </c>
    </row>
    <row r="24" customFormat="false" ht="15" hidden="false" customHeight="true" outlineLevel="0" collapsed="false">
      <c r="A24" s="45" t="s">
        <v>106</v>
      </c>
      <c r="B24" s="42" t="s">
        <v>82</v>
      </c>
      <c r="C24" s="43" t="n">
        <v>500000</v>
      </c>
      <c r="D24" s="44" t="s">
        <v>107</v>
      </c>
    </row>
    <row r="25" customFormat="false" ht="15" hidden="false" customHeight="true" outlineLevel="0" collapsed="false">
      <c r="A25" s="45" t="s">
        <v>108</v>
      </c>
      <c r="B25" s="42" t="s">
        <v>76</v>
      </c>
      <c r="C25" s="43" t="n">
        <v>250000</v>
      </c>
      <c r="D25" s="44" t="s">
        <v>79</v>
      </c>
    </row>
    <row r="26" customFormat="false" ht="14.25" hidden="false" customHeight="true" outlineLevel="0" collapsed="false">
      <c r="A26" s="45" t="s">
        <v>109</v>
      </c>
      <c r="B26" s="42" t="s">
        <v>76</v>
      </c>
      <c r="C26" s="43" t="n">
        <v>50000</v>
      </c>
      <c r="D26" s="42" t="s">
        <v>110</v>
      </c>
    </row>
    <row r="27" customFormat="false" ht="15" hidden="false" customHeight="true" outlineLevel="0" collapsed="false">
      <c r="A27" s="46" t="s">
        <v>111</v>
      </c>
      <c r="B27" s="42" t="s">
        <v>112</v>
      </c>
      <c r="C27" s="47" t="n">
        <v>750000</v>
      </c>
      <c r="D27" s="44" t="s">
        <v>79</v>
      </c>
    </row>
    <row r="28" customFormat="false" ht="15" hidden="false" customHeight="true" outlineLevel="0" collapsed="false">
      <c r="A28" s="46" t="s">
        <v>113</v>
      </c>
      <c r="B28" s="42" t="s">
        <v>114</v>
      </c>
      <c r="C28" s="47" t="n">
        <v>800000</v>
      </c>
      <c r="D28" s="44" t="s">
        <v>115</v>
      </c>
    </row>
    <row r="29" customFormat="false" ht="15" hidden="false" customHeight="true" outlineLevel="0" collapsed="false">
      <c r="A29" s="46" t="s">
        <v>116</v>
      </c>
      <c r="B29" s="42" t="s">
        <v>112</v>
      </c>
      <c r="C29" s="47" t="n">
        <v>250000</v>
      </c>
      <c r="D29" s="44" t="s">
        <v>79</v>
      </c>
    </row>
    <row r="30" customFormat="false" ht="15" hidden="false" customHeight="true" outlineLevel="0" collapsed="false">
      <c r="A30" s="46" t="s">
        <v>117</v>
      </c>
      <c r="B30" s="42" t="s">
        <v>112</v>
      </c>
      <c r="C30" s="47" t="n">
        <v>500000</v>
      </c>
      <c r="D30" s="44" t="s">
        <v>79</v>
      </c>
    </row>
    <row r="31" customFormat="false" ht="15" hidden="false" customHeight="true" outlineLevel="0" collapsed="false">
      <c r="A31" s="46" t="s">
        <v>117</v>
      </c>
      <c r="B31" s="42" t="s">
        <v>112</v>
      </c>
      <c r="C31" s="47" t="n">
        <v>57705</v>
      </c>
      <c r="D31" s="44" t="s">
        <v>118</v>
      </c>
    </row>
    <row r="32" customFormat="false" ht="15" hidden="false" customHeight="true" outlineLevel="0" collapsed="false">
      <c r="A32" s="46" t="s">
        <v>117</v>
      </c>
      <c r="B32" s="42" t="s">
        <v>119</v>
      </c>
      <c r="C32" s="47" t="n">
        <v>20844</v>
      </c>
      <c r="D32" s="44" t="s">
        <v>118</v>
      </c>
    </row>
    <row r="33" customFormat="false" ht="15" hidden="false" customHeight="true" outlineLevel="0" collapsed="false">
      <c r="B33" s="39"/>
    </row>
    <row r="34" customFormat="false" ht="15" hidden="false" customHeight="true" outlineLevel="0" collapsed="false">
      <c r="B34" s="39"/>
    </row>
    <row r="35" customFormat="false" ht="15" hidden="false" customHeight="true" outlineLevel="0" collapsed="false">
      <c r="A35" s="48" t="s">
        <v>120</v>
      </c>
      <c r="B35" s="39"/>
      <c r="C35" s="49" t="n">
        <f aca="false">(C4+C5+C6+C7+C8+C10+C14+C16+C18+C19+C24+C25+C27+C29+C30)</f>
        <v>5200000</v>
      </c>
    </row>
    <row r="36" customFormat="false" ht="15" hidden="false" customHeight="true" outlineLevel="0" collapsed="false">
      <c r="A36" s="48" t="s">
        <v>121</v>
      </c>
      <c r="B36" s="39"/>
      <c r="C36" s="49" t="n">
        <f aca="false">+C21</f>
        <v>1000000</v>
      </c>
    </row>
    <row r="41" customFormat="false" ht="15" hidden="false" customHeight="true" outlineLevel="0" collapsed="false">
      <c r="C41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2026-03-22T18:21:38Z</dcterms:created>
  <dc:creator>openpyxl</dc:creator>
  <dc:description/>
  <dc:language>en-US</dc:language>
  <cp:lastModifiedBy>Carlos Torres</cp:lastModifiedBy>
  <dcterms:modified xsi:type="dcterms:W3CDTF">2026-10-04T21:44:50Z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