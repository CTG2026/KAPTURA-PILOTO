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gosto" sheetId="1" state="visible" r:id="rId3"/>
    <sheet name="Septiembre" sheetId="2" state="visible" r:id="rId4"/>
    <sheet name="Conciliación_Junio" sheetId="3" state="visible" r:id="rId5"/>
    <sheet name="Conciliación_Julio" sheetId="4" state="visible" r:id="rId6"/>
    <sheet name="Real_vs_Presupuesto" sheetId="5" state="visible" r:id="rId7"/>
    <sheet name="Resumen_Ejecutivo"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<sst xmlns="http://schemas.openxmlformats.org/spreadsheetml/2006/main" count="1763" uniqueCount="513">
  <si>
    <t xml:space="preserve">PRESUPUESTO Y FLUJO DE CAJA — AGOSTO 2026 (3 equipos)</t>
  </si>
  <si>
    <t xml:space="preserve">PRESUPUESTO MENSUAL (con IVA incluido)</t>
  </si>
  <si>
    <t xml:space="preserve">Concepto</t>
  </si>
  <si>
    <t xml:space="preserve">Monto</t>
  </si>
  <si>
    <t xml:space="preserve">Ingreso facturado (bruto)</t>
  </si>
  <si>
    <t xml:space="preserve">Combustible</t>
  </si>
  <si>
    <t xml:space="preserve">Viáticos</t>
  </si>
  <si>
    <t xml:space="preserve">Sueldo conductor - anticipo quincena</t>
  </si>
  <si>
    <t xml:space="preserve">Sueldo conductor - liquidación + comisión (paga 05-sep)</t>
  </si>
  <si>
    <t xml:space="preserve">Mantención Programada</t>
  </si>
  <si>
    <t xml:space="preserve">Costo Cuenta Corriente Bancaria</t>
  </si>
  <si>
    <t xml:space="preserve">Provisión Fondo de Reserva</t>
  </si>
  <si>
    <t xml:space="preserve">Costo fijo estructural</t>
  </si>
  <si>
    <t xml:space="preserve">IVA de julio a pagar (vence 12-ago)</t>
  </si>
  <si>
    <t xml:space="preserve">FLUJO DE CAJA PROYECTADO — POR SEMANA (calendario real)</t>
  </si>
  <si>
    <t xml:space="preserve">Semana</t>
  </si>
  <si>
    <t xml:space="preserve">Ingreso</t>
  </si>
  <si>
    <t xml:space="preserve">Egreso</t>
  </si>
  <si>
    <t xml:space="preserve">Saldo Semana</t>
  </si>
  <si>
    <t xml:space="preserve">Acumulado</t>
  </si>
  <si>
    <t xml:space="preserve">S0 (01-02 ago)</t>
  </si>
  <si>
    <t xml:space="preserve">S1 (03-09 ago)</t>
  </si>
  <si>
    <t xml:space="preserve">S2 (10-16 ago)</t>
  </si>
  <si>
    <t xml:space="preserve">S3 (17-23 ago)</t>
  </si>
  <si>
    <t xml:space="preserve">S4 (24-30 ago)</t>
  </si>
  <si>
    <t xml:space="preserve">S5 (31 ago)</t>
  </si>
  <si>
    <t xml:space="preserve">TOTAL MES</t>
  </si>
  <si>
    <t xml:space="preserve">MEMORIA DE CÁLCULO Y SUPUESTOS</t>
  </si>
  <si>
    <t xml:space="preserve">Variable</t>
  </si>
  <si>
    <t xml:space="preserve">Supuesto / Cálculo / Fuente</t>
  </si>
  <si>
    <t xml:space="preserve">Equipos operando</t>
  </si>
  <si>
    <t xml:space="preserve">3 equipos</t>
  </si>
  <si>
    <t xml:space="preserve">Servicios por equipo</t>
  </si>
  <si>
    <t xml:space="preserve">1 servicio cada 1,5 días → 13 servicios/mes/equipo (39 total): 2 con Sollem y 1 con TRAST por ciclo</t>
  </si>
  <si>
    <t xml:space="preserve">Km por servicio</t>
  </si>
  <si>
    <t xml:space="preserve">500 km promedio (ruta tipo Casablanca + Cristalerías/Vidrierías Chile)</t>
  </si>
  <si>
    <t xml:space="preserve">Km totales del mes</t>
  </si>
  <si>
    <t xml:space="preserve">19.500 km (39 servicios × 500 km)</t>
  </si>
  <si>
    <t xml:space="preserve">Tarifa neta por servicio</t>
  </si>
  <si>
    <t xml:space="preserve">$668.800 (promedio real de 3 servicios reales Casablanca: $747.200, $747.200, $512.000 — Rendiciones de Julio Sollem, no un supuesto genérico)</t>
  </si>
  <si>
    <t xml:space="preserve">Ingreso bruto (con IVA)</t>
  </si>
  <si>
    <t xml:space="preserve">39 × $668.800 × 1,19 = $31.038.998</t>
  </si>
  <si>
    <t xml:space="preserve">Rendimiento combustible</t>
  </si>
  <si>
    <t xml:space="preserve">2,5 km/lt promedio (confirmado por el usuario)</t>
  </si>
  <si>
    <t xml:space="preserve">Precio combustible</t>
  </si>
  <si>
    <t xml:space="preserve">$1.200/litro</t>
  </si>
  <si>
    <t xml:space="preserve">Combustible mensual</t>
  </si>
  <si>
    <t xml:space="preserve">19.500km ÷ 2,5 = 7.800 lt × $1.200 = $9.360.000 (con IVA)</t>
  </si>
  <si>
    <t xml:space="preserve">Peaje por servicio</t>
  </si>
  <si>
    <t xml:space="preserve">$40.000 (dato real dado por el usuario: Coltauco↔Casablanca ida y vuelta)</t>
  </si>
  <si>
    <t xml:space="preserve">Peajes mensual</t>
  </si>
  <si>
    <t xml:space="preserve">$40.000 × 39 servicios = $1.560.000</t>
  </si>
  <si>
    <t xml:space="preserve">Viático diario</t>
  </si>
  <si>
    <t xml:space="preserve">$12.000/día × 20 días hábiles del mes × 3 conductores = $720.000 (CORREGIDO: el conductor recibe viático todos los días hábiles trabajados en el mes, no solo los días de servicio asignados)</t>
  </si>
  <si>
    <t xml:space="preserve">Sueldo conductor fijo</t>
  </si>
  <si>
    <t xml:space="preserve">$660.000/mes/conductor</t>
  </si>
  <si>
    <t xml:space="preserve">Comisión conductor</t>
  </si>
  <si>
    <t xml:space="preserve">8% del ingreso neto de sus servicios</t>
  </si>
  <si>
    <t xml:space="preserve">19.500km × $25/km (mant_costo $250.000 ÷ mant_km 10.000) = $487.500</t>
  </si>
  <si>
    <t xml:space="preserve">$500.000/equipo/mes × 3 equipos = $1.500.000</t>
  </si>
  <si>
    <t xml:space="preserve">Coordinador $1.900.000 + Mantenedor $900.000 + Controller $500.000 + Arriendo $450.000 + Contabilidad $50.000 + Gastos comunes $100.000 + GPS $40.000 (5 equipos × $8.000, estimado) = $3.940.000</t>
  </si>
  <si>
    <t xml:space="preserve">AD Blue</t>
  </si>
  <si>
    <t xml:space="preserve">PENDIENTE definir costo por km con Pablo — no incluido ($0)</t>
  </si>
  <si>
    <t xml:space="preserve">TAG mensual (cargo fijo)</t>
  </si>
  <si>
    <t xml:space="preserve">PENDIENTE definir con Pablo — no incluido ($0)</t>
  </si>
  <si>
    <t xml:space="preserve">IVA a pagar (de julio, vence 12-ago)</t>
  </si>
  <si>
    <t xml:space="preserve">Débito 19%×ingreso neto − Crédito 19%×(combustible+peajes+mantención+reserva neto) − recuperación diésel 31% = $2.653.147 (ver supuesto AD Blue abajo)</t>
  </si>
  <si>
    <t xml:space="preserve">Recuperación Impuesto Específico Diésel</t>
  </si>
  <si>
    <t xml:space="preserve">31% (Ley 21.811, restricción transitoria vigente desde 26-03-2026, reemplaza el tramo normal por ingresos). Impuesto específico estimado en ~$100/litro — APROXIMADO, pendiente confirmar con factura real de combustible.</t>
  </si>
  <si>
    <t xml:space="preserve">Calendario de pagos</t>
  </si>
  <si>
    <t xml:space="preserve">Liquidación sueldo julio: 05-ago. IVA de julio: 12-ago. Anticipo quincena: ~14-ago. Peajes y Fondo Reserva: fin de mes.</t>
  </si>
  <si>
    <t xml:space="preserve">Asumido pagado completo al inicio del mes (semana 1).</t>
  </si>
  <si>
    <t xml:space="preserve">$9.000/mes (cargo fijo del banco, NUEVO - agregado 22-07-2026)</t>
  </si>
  <si>
    <t xml:space="preserve">PRESUPUESTO Y FLUJO DE CAJA — SEPTIEMBRE 2026 (4 equipos)</t>
  </si>
  <si>
    <t xml:space="preserve">Peajes</t>
  </si>
  <si>
    <t xml:space="preserve">Sueldo conductor - liquidación + comisión (paga 05-oct)</t>
  </si>
  <si>
    <t xml:space="preserve">Provisión Fondo de Reserva (4 equipos)</t>
  </si>
  <si>
    <t xml:space="preserve">IVA de agosto a pagar (vence 12-sep)</t>
  </si>
  <si>
    <t xml:space="preserve">S0 (01-06 sep)</t>
  </si>
  <si>
    <t xml:space="preserve">S1 (07-13 sep)</t>
  </si>
  <si>
    <t xml:space="preserve">S2 (14-20 sep)</t>
  </si>
  <si>
    <t xml:space="preserve">S3 (21-27 sep)</t>
  </si>
  <si>
    <t xml:space="preserve">S4 (28-30 sep)</t>
  </si>
  <si>
    <t xml:space="preserve">4 equipos (sube de 3 a 4 respecto de agosto)</t>
  </si>
  <si>
    <t xml:space="preserve">1 servicio cada 1,5 días → 13 servicios/mes/equipo (52 total)</t>
  </si>
  <si>
    <t xml:space="preserve">500 km promedio (mismo supuesto que agosto)</t>
  </si>
  <si>
    <t xml:space="preserve">26.000 km (52 servicios × 500 km)</t>
  </si>
  <si>
    <t xml:space="preserve">$668.800 (mismo dato real de agosto, no recalculado para septiembre)</t>
  </si>
  <si>
    <t xml:space="preserve">52 × $668.800 × 1,19 = $41.385.344</t>
  </si>
  <si>
    <t xml:space="preserve">2,5 km/lt (confirmado por el usuario, mismo supuesto de agosto)</t>
  </si>
  <si>
    <t xml:space="preserve">26.000km ÷ 2,5 = 10.400 lt × $1.200 = $12.480.000 (con IVA)</t>
  </si>
  <si>
    <t xml:space="preserve">$40.000 × 52 servicios = $2.080.000</t>
  </si>
  <si>
    <t xml:space="preserve">$12.000 × 20 días hábiles × 4 conductores = $960.000 (CORREGIDO, mismo criterio que agosto)</t>
  </si>
  <si>
    <t xml:space="preserve">$660.000 × 4 conductores = $2.640.000/mes (mismo criterio que agosto)</t>
  </si>
  <si>
    <t xml:space="preserve">26.000km × $25/km = $650.000</t>
  </si>
  <si>
    <t xml:space="preserve">$500.000/equipo × 4 equipos = $2.000.000</t>
  </si>
  <si>
    <t xml:space="preserve">Mismo monto que agosto ($3.940.000) — el 4to equipo NO agrega coordinador/controller nuevo, solo costos variables</t>
  </si>
  <si>
    <t xml:space="preserve">AD Blue / TAG</t>
  </si>
  <si>
    <t xml:space="preserve">Mismos pendientes que agosto, no incluidos ($0)</t>
  </si>
  <si>
    <t xml:space="preserve">IVA a pagar (de agosto, vence 12-sep)</t>
  </si>
  <si>
    <t xml:space="preserve">Estimado con la misma metodología de agosto, escalado a 4 equipos: ≈$3.153.147</t>
  </si>
  <si>
    <t xml:space="preserve">Mismo supuesto de agosto: 31% (Ley 21.811), impuesto específico aprox. $100/litro</t>
  </si>
  <si>
    <t xml:space="preserve">Liquidación sueldo agosto: 05-sep. IVA de agosto: 12-sep. Anticipo quincena: ~14-sep. Peajes y Fondo Reserva: fin de mes.</t>
  </si>
  <si>
    <t xml:space="preserve">Diferencia clave vs. agosto</t>
  </si>
  <si>
    <t xml:space="preserve">Septiembre arranca más pesado en caja: la liquidación de agosto (05-sep) ya refleja el costo de 4 equipos trabajando, mientras el ingreso extra del 4° equipo recién se empieza a ver ese mismo mes — hay un desfase de un mes entre el costo nuevo y el ingreso nuevo.</t>
  </si>
  <si>
    <t xml:space="preserve">$9.000/mes (mismo cargo fijo que agosto, NUEVO)</t>
  </si>
  <si>
    <t xml:space="preserve">CONCILIACIÓN BANCARIA — JUNIO 2026 (Global Solutions SPA, cuenta 0-000-3776731-0)</t>
  </si>
  <si>
    <t xml:space="preserve">Fuente: Cartola histórica N°2 (29/05 al 30/06/2026) + RCV Compra/Venta SII período 202606. Cruce por monto exacto, ventana de fecha más cercana.</t>
  </si>
  <si>
    <t xml:space="preserve">A) VENTAS (RCV) vs ABONOS EN CARTOLA</t>
  </si>
  <si>
    <t xml:space="preserve">Cliente</t>
  </si>
  <si>
    <t xml:space="preserve">Folio</t>
  </si>
  <si>
    <t xml:space="preserve">Fecha Factura</t>
  </si>
  <si>
    <t xml:space="preserve">Monto Neto</t>
  </si>
  <si>
    <t xml:space="preserve">IVA</t>
  </si>
  <si>
    <t xml:space="preserve">Monto Total</t>
  </si>
  <si>
    <t xml:space="preserve">Estado</t>
  </si>
  <si>
    <t xml:space="preserve">Observación</t>
  </si>
  <si>
    <t xml:space="preserve">SOLLEM SPA</t>
  </si>
  <si>
    <t xml:space="preserve">1</t>
  </si>
  <si>
    <t xml:space="preserve">02-06-2026</t>
  </si>
  <si>
    <t xml:space="preserve">Sin identificar</t>
  </si>
  <si>
    <t xml:space="preserve">No hay abono directo por este monto en la cartola. Posible factoring u otro medio de pago — requiere confirmar con administración.</t>
  </si>
  <si>
    <t xml:space="preserve">TECNOLOGIA Y SERVICIOS LOSKO LIMITADA</t>
  </si>
  <si>
    <t xml:space="preserve">2</t>
  </si>
  <si>
    <t xml:space="preserve">06-06-2026</t>
  </si>
  <si>
    <t xml:space="preserve">3</t>
  </si>
  <si>
    <t xml:space="preserve">09-06-2026</t>
  </si>
  <si>
    <t xml:space="preserve">SERVICIOS LOGISTICOS INTEGRALES SPA</t>
  </si>
  <si>
    <t xml:space="preserve">4</t>
  </si>
  <si>
    <t xml:space="preserve">AGRICOLA Y PACKING CACHAPOAL S A</t>
  </si>
  <si>
    <t xml:space="preserve">5</t>
  </si>
  <si>
    <t xml:space="preserve">15-06-2026</t>
  </si>
  <si>
    <t xml:space="preserve">AGRICOLA GEORUCA SPA</t>
  </si>
  <si>
    <t xml:space="preserve">7</t>
  </si>
  <si>
    <t xml:space="preserve">8</t>
  </si>
  <si>
    <t xml:space="preserve">INVERSIONES Y ASESORIAS CITRUS LIMITADA</t>
  </si>
  <si>
    <t xml:space="preserve">9</t>
  </si>
  <si>
    <t xml:space="preserve">ANDONI LUCIANO SANDOVAL PAVEZ</t>
  </si>
  <si>
    <t xml:space="preserve">11</t>
  </si>
  <si>
    <t xml:space="preserve">22-06-2026</t>
  </si>
  <si>
    <t xml:space="preserve">AGRICOLA Y COMERCIAL EL ENANO SPA</t>
  </si>
  <si>
    <t xml:space="preserve">12</t>
  </si>
  <si>
    <t xml:space="preserve">13</t>
  </si>
  <si>
    <t xml:space="preserve">24-06-2026</t>
  </si>
  <si>
    <t xml:space="preserve">SOCIEDAD DE TRANSPORTE  SANTA BERENICE SPA</t>
  </si>
  <si>
    <t xml:space="preserve">15</t>
  </si>
  <si>
    <t xml:space="preserve">26-06-2026</t>
  </si>
  <si>
    <t xml:space="preserve">18</t>
  </si>
  <si>
    <t xml:space="preserve">30-06-2026</t>
  </si>
  <si>
    <t xml:space="preserve">TOTAL VENTAS RCV</t>
  </si>
  <si>
    <t xml:space="preserve">Identificado: 0 de 14 ($0 de $16,410,814)</t>
  </si>
  <si>
    <t xml:space="preserve">B) COMPRAS (RCV) vs CARGOS EN CARTOLA</t>
  </si>
  <si>
    <t xml:space="preserve">Proveedor (RUT)</t>
  </si>
  <si>
    <t xml:space="preserve">79588870-5</t>
  </si>
  <si>
    <t xml:space="preserve">2733997</t>
  </si>
  <si>
    <t xml:space="preserve">01-06-2026</t>
  </si>
  <si>
    <t xml:space="preserve">Pagada</t>
  </si>
  <si>
    <t xml:space="preserve">Cargo cartola 01-06-2026 — PAGO EN LINEA ESMAX</t>
  </si>
  <si>
    <t xml:space="preserve">77400268-5</t>
  </si>
  <si>
    <t xml:space="preserve">2446</t>
  </si>
  <si>
    <t xml:space="preserve">29-05-2026</t>
  </si>
  <si>
    <t xml:space="preserve">No hay cargo por este monto exacto en la cartola — revisar si se pagó en otra fecha/cuenta o si sigue pendiente.</t>
  </si>
  <si>
    <t xml:space="preserve">77398220-1</t>
  </si>
  <si>
    <t xml:space="preserve">13690952</t>
  </si>
  <si>
    <t xml:space="preserve">96907830-9</t>
  </si>
  <si>
    <t xml:space="preserve">1844288</t>
  </si>
  <si>
    <t xml:space="preserve">76197149-2</t>
  </si>
  <si>
    <t xml:space="preserve">731182</t>
  </si>
  <si>
    <t xml:space="preserve">Cargo cartola 02-06-2026 — 0142013436 Transf a Felipe Madaria</t>
  </si>
  <si>
    <t xml:space="preserve">96511460-2</t>
  </si>
  <si>
    <t xml:space="preserve">22769192</t>
  </si>
  <si>
    <t xml:space="preserve">03-06-2026</t>
  </si>
  <si>
    <t xml:space="preserve">2480</t>
  </si>
  <si>
    <t xml:space="preserve">2491</t>
  </si>
  <si>
    <t xml:space="preserve">04-06-2026</t>
  </si>
  <si>
    <t xml:space="preserve">2494</t>
  </si>
  <si>
    <t xml:space="preserve">05-06-2026</t>
  </si>
  <si>
    <t xml:space="preserve">9094801-6</t>
  </si>
  <si>
    <t xml:space="preserve">10619</t>
  </si>
  <si>
    <t xml:space="preserve">2511</t>
  </si>
  <si>
    <t xml:space="preserve">08-06-2026</t>
  </si>
  <si>
    <t xml:space="preserve">2510</t>
  </si>
  <si>
    <t xml:space="preserve">99520000-7</t>
  </si>
  <si>
    <t xml:space="preserve">32008006</t>
  </si>
  <si>
    <t xml:space="preserve">Cargo cartola 12-06-2026 — 0142013436 Transf a Felipe Madaria</t>
  </si>
  <si>
    <t xml:space="preserve">2738246</t>
  </si>
  <si>
    <t xml:space="preserve">Cargo cartola 08-06-2026 — PAGO EN LINEA ESMAX</t>
  </si>
  <si>
    <t xml:space="preserve">2516</t>
  </si>
  <si>
    <t xml:space="preserve">77268975-6</t>
  </si>
  <si>
    <t xml:space="preserve">357</t>
  </si>
  <si>
    <t xml:space="preserve">Cargo cartola 09-06-2026 — Compra Nacional MD SOCIEDAD DE SER</t>
  </si>
  <si>
    <t xml:space="preserve">77460910-5</t>
  </si>
  <si>
    <t xml:space="preserve">550309</t>
  </si>
  <si>
    <t xml:space="preserve">78924030-2</t>
  </si>
  <si>
    <t xml:space="preserve">6652259</t>
  </si>
  <si>
    <t xml:space="preserve">Cargo cartola 11-06-2026 — Compra Nacional MD IMPLEMENTOS S.A</t>
  </si>
  <si>
    <t xml:space="preserve">77658344-8</t>
  </si>
  <si>
    <t xml:space="preserve">81</t>
  </si>
  <si>
    <t xml:space="preserve">10-06-2026</t>
  </si>
  <si>
    <t xml:space="preserve">550379</t>
  </si>
  <si>
    <t xml:space="preserve">2545</t>
  </si>
  <si>
    <t xml:space="preserve">11-06-2026</t>
  </si>
  <si>
    <t xml:space="preserve">2546</t>
  </si>
  <si>
    <t xml:space="preserve">6652465</t>
  </si>
  <si>
    <t xml:space="preserve">2739034</t>
  </si>
  <si>
    <t xml:space="preserve">Cargo cartola 12-06-2026 — PAGO EN LINEA ESMAX</t>
  </si>
  <si>
    <t xml:space="preserve">76111900-1</t>
  </si>
  <si>
    <t xml:space="preserve">620219</t>
  </si>
  <si>
    <t xml:space="preserve">12-06-2026</t>
  </si>
  <si>
    <t xml:space="preserve">2550</t>
  </si>
  <si>
    <t xml:space="preserve">2554</t>
  </si>
  <si>
    <t xml:space="preserve">Cargo cartola 12-06-2026 — Compra Nacional MD RedGloba*PCY LT</t>
  </si>
  <si>
    <t xml:space="preserve">76186213-8</t>
  </si>
  <si>
    <t xml:space="preserve">400454</t>
  </si>
  <si>
    <t xml:space="preserve">13-06-2026</t>
  </si>
  <si>
    <t xml:space="preserve">Cargo cartola 15-06-2026 — 0153706123 Transf a Francisco Manc</t>
  </si>
  <si>
    <t xml:space="preserve">86617300-1</t>
  </si>
  <si>
    <t xml:space="preserve">1075571</t>
  </si>
  <si>
    <t xml:space="preserve">Cargo cartola 15-06-2026 — Compra Nacional MD RACO SANTIAGO</t>
  </si>
  <si>
    <t xml:space="preserve">7253395-K</t>
  </si>
  <si>
    <t xml:space="preserve">829874</t>
  </si>
  <si>
    <t xml:space="preserve">Cargo cartola 15-06-2026 — Compra Nacional MD COMERCIAL ECUAD</t>
  </si>
  <si>
    <t xml:space="preserve">9593813-2</t>
  </si>
  <si>
    <t xml:space="preserve">13675</t>
  </si>
  <si>
    <t xml:space="preserve">Cargo cartola 12-06-2026 — 0153706123 Transf a Francisco Manc</t>
  </si>
  <si>
    <t xml:space="preserve">77698239-3</t>
  </si>
  <si>
    <t xml:space="preserve">265</t>
  </si>
  <si>
    <t xml:space="preserve">Cargo cartola 10-06-2026 — 0175018409 Transf a Felipe Vidal</t>
  </si>
  <si>
    <t xml:space="preserve">19724422-4</t>
  </si>
  <si>
    <t xml:space="preserve">3265</t>
  </si>
  <si>
    <t xml:space="preserve">76610718-4</t>
  </si>
  <si>
    <t xml:space="preserve">86656</t>
  </si>
  <si>
    <t xml:space="preserve">16-06-2026</t>
  </si>
  <si>
    <t xml:space="preserve">2573</t>
  </si>
  <si>
    <t xml:space="preserve">2574</t>
  </si>
  <si>
    <t xml:space="preserve">79703410-K</t>
  </si>
  <si>
    <t xml:space="preserve">298107</t>
  </si>
  <si>
    <t xml:space="preserve">Cargo cartola 17-06-2026 — Compra Nacional MD COMERCIAL RIHE</t>
  </si>
  <si>
    <t xml:space="preserve">298108</t>
  </si>
  <si>
    <t xml:space="preserve">8662116-9</t>
  </si>
  <si>
    <t xml:space="preserve">33404</t>
  </si>
  <si>
    <t xml:space="preserve">Cargo cartola 17-06-2026 — Compra Nacional MD GIL FRENOS DE A</t>
  </si>
  <si>
    <t xml:space="preserve">92475000-6</t>
  </si>
  <si>
    <t xml:space="preserve">7059897</t>
  </si>
  <si>
    <t xml:space="preserve">17-06-2026</t>
  </si>
  <si>
    <t xml:space="preserve">84634200-1</t>
  </si>
  <si>
    <t xml:space="preserve">1059063</t>
  </si>
  <si>
    <t xml:space="preserve">2585</t>
  </si>
  <si>
    <t xml:space="preserve">2589</t>
  </si>
  <si>
    <t xml:space="preserve">2597</t>
  </si>
  <si>
    <t xml:space="preserve">18-06-2026</t>
  </si>
  <si>
    <t xml:space="preserve">22822096</t>
  </si>
  <si>
    <t xml:space="preserve">19-06-2026</t>
  </si>
  <si>
    <t xml:space="preserve">76004297-8</t>
  </si>
  <si>
    <t xml:space="preserve">92752</t>
  </si>
  <si>
    <t xml:space="preserve">20-06-2026</t>
  </si>
  <si>
    <t xml:space="preserve">Cargo cartola 22-06-2026 — Compra Nacional MD SOCIEDAD COMERC</t>
  </si>
  <si>
    <t xml:space="preserve">2743406</t>
  </si>
  <si>
    <t xml:space="preserve">Cargo cartola 23-06-2026 — PAGO EN LINEA ESMAX</t>
  </si>
  <si>
    <t xml:space="preserve">2609</t>
  </si>
  <si>
    <t xml:space="preserve">2608</t>
  </si>
  <si>
    <t xml:space="preserve">2611</t>
  </si>
  <si>
    <t xml:space="preserve">77890722-4</t>
  </si>
  <si>
    <t xml:space="preserve">35093</t>
  </si>
  <si>
    <t xml:space="preserve">23-06-2026</t>
  </si>
  <si>
    <t xml:space="preserve">Cargo cartola 23-06-2026 — 0142013436 Transf a Felipe Madaria</t>
  </si>
  <si>
    <t xml:space="preserve">2622</t>
  </si>
  <si>
    <t xml:space="preserve">273</t>
  </si>
  <si>
    <t xml:space="preserve">Cargo cartola 24-06-2026 — 0153706123 Transf a Francisco Manc</t>
  </si>
  <si>
    <t xml:space="preserve">78854730-7</t>
  </si>
  <si>
    <t xml:space="preserve">6242</t>
  </si>
  <si>
    <t xml:space="preserve">Cargo cartola 23-06-2026 — 0153706123 Transf a Francisco Manc</t>
  </si>
  <si>
    <t xml:space="preserve">2743991</t>
  </si>
  <si>
    <t xml:space="preserve">Cargo cartola 25-06-2026 — PAGO EN LINEA ESMAX</t>
  </si>
  <si>
    <t xml:space="preserve">2628</t>
  </si>
  <si>
    <t xml:space="preserve">81756300-7</t>
  </si>
  <si>
    <t xml:space="preserve">4781943</t>
  </si>
  <si>
    <t xml:space="preserve">25-06-2026</t>
  </si>
  <si>
    <t xml:space="preserve">35276</t>
  </si>
  <si>
    <t xml:space="preserve">Cargo cartola 08-06-2026 — 0145516471 Transf a Mario Vargas p</t>
  </si>
  <si>
    <t xml:space="preserve">8614218-K</t>
  </si>
  <si>
    <t xml:space="preserve">9001</t>
  </si>
  <si>
    <t xml:space="preserve">2645</t>
  </si>
  <si>
    <t xml:space="preserve">2647</t>
  </si>
  <si>
    <t xml:space="preserve">32085885</t>
  </si>
  <si>
    <t xml:space="preserve">830941</t>
  </si>
  <si>
    <t xml:space="preserve">27-06-2026</t>
  </si>
  <si>
    <t xml:space="preserve">299301</t>
  </si>
  <si>
    <t xml:space="preserve">78050538-9</t>
  </si>
  <si>
    <t xml:space="preserve">293</t>
  </si>
  <si>
    <t xml:space="preserve">6690195</t>
  </si>
  <si>
    <t xml:space="preserve">Cargo cartola 30-06-2026 — Compra Nacional MD IMPLEMENTOS S.A</t>
  </si>
  <si>
    <t xml:space="preserve">32092444</t>
  </si>
  <si>
    <t xml:space="preserve">29-06-2026</t>
  </si>
  <si>
    <t xml:space="preserve">Cargo cartola 30-06-2026 — 0153706123 Transf a Francisco Manc</t>
  </si>
  <si>
    <t xml:space="preserve">77190692-3</t>
  </si>
  <si>
    <t xml:space="preserve">6024095</t>
  </si>
  <si>
    <t xml:space="preserve">328</t>
  </si>
  <si>
    <t xml:space="preserve">13973319</t>
  </si>
  <si>
    <t xml:space="preserve">TOTAL COMPRAS RCV</t>
  </si>
  <si>
    <t xml:space="preserve">Identificado: 25 de 70 ($8,568,601)</t>
  </si>
  <si>
    <t xml:space="preserve">C) MOVIMIENTOS DE CARTOLA SIN FACTURA RCV ASOCIADA (clasificados)</t>
  </si>
  <si>
    <t xml:space="preserve">Fecha</t>
  </si>
  <si>
    <t xml:space="preserve">Descripción</t>
  </si>
  <si>
    <t xml:space="preserve">Cargo/Abono</t>
  </si>
  <si>
    <t xml:space="preserve">Clasificación</t>
  </si>
  <si>
    <t xml:space="preserve">0783031345 Transf. GLOBAL SOLUTION</t>
  </si>
  <si>
    <t xml:space="preserve">A</t>
  </si>
  <si>
    <t xml:space="preserve">Transferencia interna Global Solutions</t>
  </si>
  <si>
    <t xml:space="preserve">Abono Ventas GETNET 29/05/26 CIERR</t>
  </si>
  <si>
    <t xml:space="preserve">Venta POS/Tarjeta (no es factura RCV)</t>
  </si>
  <si>
    <t xml:space="preserve">0175018409 Transf a Felipe Vidal</t>
  </si>
  <si>
    <t xml:space="preserve">C</t>
  </si>
  <si>
    <t xml:space="preserve">Transferencia conductor/personal</t>
  </si>
  <si>
    <t xml:space="preserve">0153706123 Transf a Francisco Manc</t>
  </si>
  <si>
    <t xml:space="preserve">0159957802 Transf a RIQUELME OLEA</t>
  </si>
  <si>
    <t xml:space="preserve">0966265701 Transf. INCOFIN S A</t>
  </si>
  <si>
    <t xml:space="preserve">Posible factoring (no confirmado)</t>
  </si>
  <si>
    <t xml:space="preserve">0142013436 Transf a Felipe Madaria</t>
  </si>
  <si>
    <t xml:space="preserve">0125155197 Transf a Manuel Madrid</t>
  </si>
  <si>
    <t xml:space="preserve">Compra Nacional MD TUU*comercialEs</t>
  </si>
  <si>
    <t xml:space="preserve">Compra con tarjeta (gasto operativo menor)</t>
  </si>
  <si>
    <t xml:space="preserve">019592435K Transf a GONZALEZ BALCA</t>
  </si>
  <si>
    <t xml:space="preserve">Abono Ventas GETNET 05/06/26 CIERR</t>
  </si>
  <si>
    <t xml:space="preserve">Compra Nacional MD MERCADOPAGO *RA</t>
  </si>
  <si>
    <t xml:space="preserve">Cobro Servicio GETNET</t>
  </si>
  <si>
    <t xml:space="preserve">Abono Ventas GETNET 11/06/26 CIERR</t>
  </si>
  <si>
    <t xml:space="preserve">0038458213 Transf a Marta Zúñiga</t>
  </si>
  <si>
    <t xml:space="preserve">Compra Nacional MD MERCADOPAGO *CA</t>
  </si>
  <si>
    <t xml:space="preserve">Compra Nacional MD RedGloba*COMERC</t>
  </si>
  <si>
    <t xml:space="preserve">Compra Nacional MD TUU*COMERCIAL E</t>
  </si>
  <si>
    <t xml:space="preserve">0168844255 Transf a Sebastián Zúñi</t>
  </si>
  <si>
    <t xml:space="preserve">0142954591 Transf a Marcelo Lira</t>
  </si>
  <si>
    <t xml:space="preserve">0776497649 Transf.</t>
  </si>
  <si>
    <t xml:space="preserve">Otro / revisar manualmente</t>
  </si>
  <si>
    <t xml:space="preserve">0159957802 Transf de PABLO SEBASTI</t>
  </si>
  <si>
    <t xml:space="preserve">0038458213 Transf. ZUNIGA ZUNIGA M</t>
  </si>
  <si>
    <t xml:space="preserve">0080234333 Transf a Héctor Silva A</t>
  </si>
  <si>
    <t xml:space="preserve">Compra Nacional MD MERCADOPAGO *PR</t>
  </si>
  <si>
    <t xml:space="preserve">Compra Nacional MD ARAMCO</t>
  </si>
  <si>
    <t xml:space="preserve">Compra Nacional MD PATITA S</t>
  </si>
  <si>
    <t xml:space="preserve">Compra Nacional MD MERCADOPAGO *LO</t>
  </si>
  <si>
    <t xml:space="preserve">Compra Nacional MD GOGO</t>
  </si>
  <si>
    <t xml:space="preserve">0186584856 Transf. Andoni Luciano</t>
  </si>
  <si>
    <t xml:space="preserve">0783031345 Transf a Global Solutio</t>
  </si>
  <si>
    <t xml:space="preserve">0772906366 Transf. SERVICIOS EL EN</t>
  </si>
  <si>
    <t xml:space="preserve">D) CUADRE DE SALDO (control matemático de la cartola)</t>
  </si>
  <si>
    <t xml:space="preserve">VENTAS SII</t>
  </si>
  <si>
    <t xml:space="preserve">DIFERENCIA</t>
  </si>
  <si>
    <t xml:space="preserve">Saldo Inicial</t>
  </si>
  <si>
    <t xml:space="preserve">+ Abonos</t>
  </si>
  <si>
    <t xml:space="preserve">- Cargos</t>
  </si>
  <si>
    <t xml:space="preserve">SALDO FINAL (calculado)</t>
  </si>
  <si>
    <t xml:space="preserve">SALDO FINAL (según cartola banco)</t>
  </si>
  <si>
    <t xml:space="preserve">Diferencia (debe ser $0)</t>
  </si>
  <si>
    <t xml:space="preserve">Nota columnas VENTAS SII / DIFERENCIA: comparación agregada (no factura por factura, esa está en la sección A) entre el total de Abonos reales de la cartola y el total facturado en Ventas RCV del mismo mes. La diferencia refleja: costo de factoring descontado, ingresos no facturados (ej. GETNET), facturas aún no cobradas, y/o pagos recibidos en la cuenta antigua (Santa Berenice) — pendiente de confirmar esto último.</t>
  </si>
  <si>
    <t xml:space="preserve">CONCILIACIÓN BANCARIA — JULIO 2026 (Global Solutions SPA, cartola PROVISORIA al 25-07-2026)</t>
  </si>
  <si>
    <t xml:space="preserve">Fuente: Cartola provisoria N°3 (30/06 al 25/07/2026, incluye algunos movimientos con fecha posterior al corte) + RCV Compra/Venta SII período 202607. Mes en curso — no cerrado, se debe repetir el cruce con la cartola definitiva de fin de mes.</t>
  </si>
  <si>
    <t xml:space="preserve">LOGÍSTICA Y TRANSPORTES ALFA JAM SPA</t>
  </si>
  <si>
    <t xml:space="preserve">19</t>
  </si>
  <si>
    <t xml:space="preserve">01-07-2026</t>
  </si>
  <si>
    <t xml:space="preserve">Abono cartola 09-07-2026 — 0780993812 Transf. LOGISTICA Y TRA</t>
  </si>
  <si>
    <t xml:space="preserve">20</t>
  </si>
  <si>
    <t xml:space="preserve">15-07-2026</t>
  </si>
  <si>
    <t xml:space="preserve">22</t>
  </si>
  <si>
    <t xml:space="preserve">21-07-2026</t>
  </si>
  <si>
    <t xml:space="preserve">DANILO ENRIQUE NUNEZ OSORIO</t>
  </si>
  <si>
    <t xml:space="preserve">24</t>
  </si>
  <si>
    <t xml:space="preserve">25-07-2026</t>
  </si>
  <si>
    <t xml:space="preserve">Identificado: 1 de 5 ($440,300 de $6,122,312)</t>
  </si>
  <si>
    <t xml:space="preserve">76307389-0</t>
  </si>
  <si>
    <t xml:space="preserve">319591</t>
  </si>
  <si>
    <t xml:space="preserve">319592</t>
  </si>
  <si>
    <t xml:space="preserve">2745962</t>
  </si>
  <si>
    <t xml:space="preserve">Cargo cartola 01-07-2026 — PAGO EN LINEA ESMAX</t>
  </si>
  <si>
    <t xml:space="preserve">76630639-K</t>
  </si>
  <si>
    <t xml:space="preserve">4071</t>
  </si>
  <si>
    <t xml:space="preserve">02-07-2026</t>
  </si>
  <si>
    <t xml:space="preserve">Cargo cartola 02-07-2026 — 076630639K Transf a Servicios inte</t>
  </si>
  <si>
    <t xml:space="preserve">2666</t>
  </si>
  <si>
    <t xml:space="preserve">299681</t>
  </si>
  <si>
    <t xml:space="preserve">Cargo cartola 03-07-2026 — COMERCIAL RIHE LTDA</t>
  </si>
  <si>
    <t xml:space="preserve">299686</t>
  </si>
  <si>
    <t xml:space="preserve">552096</t>
  </si>
  <si>
    <t xml:space="preserve">Cargo cartola 03-07-2026 — Compra Nacional MD VALPAR LTDA.</t>
  </si>
  <si>
    <t xml:space="preserve">6711841</t>
  </si>
  <si>
    <t xml:space="preserve">Cargo cartola 03-07-2026 — IMPLEMENTOS S.A.</t>
  </si>
  <si>
    <t xml:space="preserve">99581430-7</t>
  </si>
  <si>
    <t xml:space="preserve">1150357</t>
  </si>
  <si>
    <t xml:space="preserve">32107271</t>
  </si>
  <si>
    <t xml:space="preserve">32124365</t>
  </si>
  <si>
    <t xml:space="preserve">03-07-2026</t>
  </si>
  <si>
    <t xml:space="preserve">32124410</t>
  </si>
  <si>
    <t xml:space="preserve">Cargo cartola 06-07-2026 — 0153706123 Transf a Francisco Manc</t>
  </si>
  <si>
    <t xml:space="preserve">32133874</t>
  </si>
  <si>
    <t xml:space="preserve">06-07-2026</t>
  </si>
  <si>
    <t xml:space="preserve">2683</t>
  </si>
  <si>
    <t xml:space="preserve">07-07-2026</t>
  </si>
  <si>
    <t xml:space="preserve">831704</t>
  </si>
  <si>
    <t xml:space="preserve">08-07-2026</t>
  </si>
  <si>
    <t xml:space="preserve">Cargo cartola 09-07-2026 — COMERCIAL ECUADOR SPA</t>
  </si>
  <si>
    <t xml:space="preserve">300297</t>
  </si>
  <si>
    <t xml:space="preserve">300298</t>
  </si>
  <si>
    <t xml:space="preserve">32142210</t>
  </si>
  <si>
    <t xml:space="preserve">Cargo cartola 13-07-2026 — 0142013436 Transf a Felipe Madaria</t>
  </si>
  <si>
    <t xml:space="preserve">96815130-4</t>
  </si>
  <si>
    <t xml:space="preserve">350990</t>
  </si>
  <si>
    <t xml:space="preserve">Cargo cartola 09-07-2026 — TTP S.A RANCAGUA</t>
  </si>
  <si>
    <t xml:space="preserve">6729429</t>
  </si>
  <si>
    <t xml:space="preserve">09-07-2026</t>
  </si>
  <si>
    <t xml:space="preserve">Cargo cartola 10-07-2026 — Compra Nacional MD IMPLEMENTOS S.A</t>
  </si>
  <si>
    <t xml:space="preserve">2701</t>
  </si>
  <si>
    <t xml:space="preserve">32154215</t>
  </si>
  <si>
    <t xml:space="preserve">11-07-2026</t>
  </si>
  <si>
    <t xml:space="preserve">Cargo cartola 13-07-2026 — 0153706123 Transf a Francisco Manc</t>
  </si>
  <si>
    <t xml:space="preserve">2706</t>
  </si>
  <si>
    <t xml:space="preserve">10-07-2026</t>
  </si>
  <si>
    <t xml:space="preserve">36094</t>
  </si>
  <si>
    <t xml:space="preserve">Cargo cartola 13-07-2026 — Compra Nacional MD ARAMCO</t>
  </si>
  <si>
    <t xml:space="preserve">2750776</t>
  </si>
  <si>
    <t xml:space="preserve">12-07-2026</t>
  </si>
  <si>
    <t xml:space="preserve">Cargo cartola 13-07-2026 — PAGO EN LINEA ESMAX</t>
  </si>
  <si>
    <t xml:space="preserve">22889011</t>
  </si>
  <si>
    <t xml:space="preserve">13-07-2026</t>
  </si>
  <si>
    <t xml:space="preserve">32162084</t>
  </si>
  <si>
    <t xml:space="preserve">77264074-9</t>
  </si>
  <si>
    <t xml:space="preserve">6475</t>
  </si>
  <si>
    <t xml:space="preserve">14-07-2026</t>
  </si>
  <si>
    <t xml:space="preserve">Cargo cartola 13-07-2026 — 0772640749 Transf a Fijasur</t>
  </si>
  <si>
    <t xml:space="preserve">32166690</t>
  </si>
  <si>
    <t xml:space="preserve">Cargo cartola 09-07-2026 — 0153706123 Transf a Francisco Manc</t>
  </si>
  <si>
    <t xml:space="preserve">36566</t>
  </si>
  <si>
    <t xml:space="preserve">17-07-2026</t>
  </si>
  <si>
    <t xml:space="preserve">Cargo cartola 20-07-2026 — Compra Nacional MD ARAMCO</t>
  </si>
  <si>
    <t xml:space="preserve">14260930</t>
  </si>
  <si>
    <t xml:space="preserve">18-07-2026</t>
  </si>
  <si>
    <t xml:space="preserve">14260932</t>
  </si>
  <si>
    <t xml:space="preserve">2751869</t>
  </si>
  <si>
    <t xml:space="preserve">20-07-2026</t>
  </si>
  <si>
    <t xml:space="preserve">Cargo cartola 20-07-2026 — 0967985503 Transf a Multiaceros SA</t>
  </si>
  <si>
    <t xml:space="preserve">96798550-3</t>
  </si>
  <si>
    <t xml:space="preserve">869217</t>
  </si>
  <si>
    <t xml:space="preserve">96882280-2</t>
  </si>
  <si>
    <t xml:space="preserve">678717</t>
  </si>
  <si>
    <t xml:space="preserve">Cargo cartola 20-07-2026 — TRANSAGRO RANCAGUA</t>
  </si>
  <si>
    <t xml:space="preserve">32186742</t>
  </si>
  <si>
    <t xml:space="preserve">Cargo cartola 21-07-2026 — 0142013436 Transf a Felipe Madaria</t>
  </si>
  <si>
    <t xml:space="preserve">2754792</t>
  </si>
  <si>
    <t xml:space="preserve">22-07-2026</t>
  </si>
  <si>
    <t xml:space="preserve">Cargo cartola 22-07-2026 — PAGO EN LINEA ESMAX</t>
  </si>
  <si>
    <t xml:space="preserve">2754805</t>
  </si>
  <si>
    <t xml:space="preserve">2754887</t>
  </si>
  <si>
    <t xml:space="preserve">Cargo cartola 23-07-2026 — PAGO EN LINEA ESMAX</t>
  </si>
  <si>
    <t xml:space="preserve">32198037</t>
  </si>
  <si>
    <t xml:space="preserve">23-07-2026</t>
  </si>
  <si>
    <t xml:space="preserve">Cargo cartola 23-07-2026 — 0783031345 Transf a Global Solutio</t>
  </si>
  <si>
    <t xml:space="preserve">301679</t>
  </si>
  <si>
    <t xml:space="preserve">24-07-2026</t>
  </si>
  <si>
    <t xml:space="preserve">Cargo cartola 24-07-2026 — COMERCIAL RIHE LTDA</t>
  </si>
  <si>
    <t xml:space="preserve">301680</t>
  </si>
  <si>
    <t xml:space="preserve">32203513</t>
  </si>
  <si>
    <t xml:space="preserve">Cargo cartola 27-07-2026 — 0783031345 Transf a Global Solutio</t>
  </si>
  <si>
    <t xml:space="preserve">22908735</t>
  </si>
  <si>
    <t xml:space="preserve">Cargo cartola 27-07-2026 — CONSTRU-MART RANCAGUA</t>
  </si>
  <si>
    <t xml:space="preserve">32204802</t>
  </si>
  <si>
    <t xml:space="preserve">76575460-7</t>
  </si>
  <si>
    <t xml:space="preserve">89054</t>
  </si>
  <si>
    <t xml:space="preserve">20435</t>
  </si>
  <si>
    <t xml:space="preserve">Identificado: 28 de 49 ($6,200,514)</t>
  </si>
  <si>
    <t xml:space="preserve">0175020268 Transf a Nicolás Carval</t>
  </si>
  <si>
    <t xml:space="preserve">0119944848 Transf a José Acevedo</t>
  </si>
  <si>
    <t xml:space="preserve">TUU*COMERCIAL ESCORPIO</t>
  </si>
  <si>
    <t xml:space="preserve">0197068833 Transf a Felipe Tapia D</t>
  </si>
  <si>
    <t xml:space="preserve">019591141K Transf. Nicolas Matias</t>
  </si>
  <si>
    <t xml:space="preserve">TUU*comercialEscorpion</t>
  </si>
  <si>
    <t xml:space="preserve">40574-SBX ROSARIO 100</t>
  </si>
  <si>
    <t xml:space="preserve">EL PALACIO DEL POROTO</t>
  </si>
  <si>
    <t xml:space="preserve">COMERCIAL RIHE LTDA</t>
  </si>
  <si>
    <t xml:space="preserve">0761971018 Transf. Financia Capita</t>
  </si>
  <si>
    <t xml:space="preserve">PAGO EN LINEA ESMAX</t>
  </si>
  <si>
    <t xml:space="preserve">PAGO EN LINEA S.I.I.</t>
  </si>
  <si>
    <t xml:space="preserve">RedGloba*PCY LTDA</t>
  </si>
  <si>
    <t xml:space="preserve">Compra Nacional MD VULKO</t>
  </si>
  <si>
    <t xml:space="preserve">Compra Nacional MD PROSERCOM SPA</t>
  </si>
  <si>
    <t xml:space="preserve">0771337724 PAGO PROVEEDOR Agricol</t>
  </si>
  <si>
    <t xml:space="preserve">27-07-2026</t>
  </si>
  <si>
    <t xml:space="preserve">Compra Nacional MD SOLMET SPA</t>
  </si>
  <si>
    <t xml:space="preserve">0140569097 Transf. ANDREA CLEMENTI</t>
  </si>
  <si>
    <t xml:space="preserve">CONTROL DE CUMPLIMIENTO — REAL vs. PRESUPUESTO Y FLUJO DE CAJA</t>
  </si>
  <si>
    <t xml:space="preserve">Plantilla de control semanal. Las columnas "Proyectado" están vinculadas por fórmula a las hojas Agosto/Septiembre (se actualizan solas si cambia el presupuesto). Las columnas "Real" (fondo amarillo) se completan cada semana con el resultado de la conciliación bancaria de esa semana. Aún no hay datos reales que cargar: agosto y septiembre 2026 todavía no comienzan (hoy: 25-07-2026). Junio y julio (hojas de Conciliación aparte) no son comparables porque el presupuesto solo cubre agosto-septiembre.</t>
  </si>
  <si>
    <t xml:space="preserve">CONTROL SEMANAL — AGOSTO</t>
  </si>
  <si>
    <t xml:space="preserve">Ingreso
Proyectado</t>
  </si>
  <si>
    <t xml:space="preserve">Ingreso
Real</t>
  </si>
  <si>
    <t xml:space="preserve">Diferencia
Ingreso</t>
  </si>
  <si>
    <t xml:space="preserve">Egreso
Proyectado</t>
  </si>
  <si>
    <t xml:space="preserve">Egreso
Real</t>
  </si>
  <si>
    <t xml:space="preserve">Diferencia
Egreso</t>
  </si>
  <si>
    <t xml:space="preserve">Saldo
Proyectado</t>
  </si>
  <si>
    <t xml:space="preserve">Saldo
Real</t>
  </si>
  <si>
    <t xml:space="preserve">¿Cumplió?</t>
  </si>
  <si>
    <t xml:space="preserve">Causa (si no cumplió) / Corrección propuesta</t>
  </si>
  <si>
    <t xml:space="preserve">CONTROL SEMANAL — SEPTIEMBRE</t>
  </si>
  <si>
    <t xml:space="preserve">RESUMEN EJECUTIVO — CUMPLIMIENTO DE PRESUPUESTO Y FLUJO DE CAJA</t>
  </si>
  <si>
    <t xml:space="preserve">La "foto financiera" completa: lo planeado (Presupuesto) vs. lo que va ocurriendo semana a semana (Real, tomado de la hoja Real_vs_Presupuesto, que a su vez sale del cruce SII+Cartola de la Conciliación) vs. la Reproyección de fin de mes = Real acumulado a la fecha + Presupuesto de las semanas que aún no tienen dato real (supuesto: lo que falta del mes se cumple según lo planeado, hasta que se reemplace con datos reales semana a semana). Se actualiza solo a medida que se llena la columna "Real" en Real_vs_Presupuesto — no hay que tocar nada acá.</t>
  </si>
  <si>
    <t xml:space="preserve">AGOSTO 2026</t>
  </si>
  <si>
    <t xml:space="preserve">Presupuesto
Mensual</t>
  </si>
  <si>
    <t xml:space="preserve">Real
Acumulado</t>
  </si>
  <si>
    <t xml:space="preserve">Semanas
con dato real</t>
  </si>
  <si>
    <t xml:space="preserve">Presupuesto
de lo que falta</t>
  </si>
  <si>
    <t xml:space="preserve">Reproyección
Fin de Mes</t>
  </si>
  <si>
    <t xml:space="preserve">% Cumplimiento
(Reproyección/Presup.)</t>
  </si>
  <si>
    <t xml:space="preserve">Saldo (Ingreso − Egreso)</t>
  </si>
  <si>
    <t xml:space="preserve">SEPTIEMBRE 2026</t>
  </si>
</sst>
</file>

<file path=xl/styles.xml><?xml version="1.0" encoding="utf-8"?>
<styleSheet xmlns="http://schemas.openxmlformats.org/spreadsheetml/2006/main">
  <numFmts count="4">
    <numFmt numFmtId="164" formatCode="General"/>
    <numFmt numFmtId="165" formatCode="#,##0"/>
    <numFmt numFmtId="166" formatCode="\$#,##0;&quot;($&quot;#,##0\);\-"/>
    <numFmt numFmtId="167" formatCode="0.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2"/>
      <charset val="1"/>
    </font>
    <font>
      <b val="true"/>
      <sz val="11"/>
      <color rgb="FF1F3864"/>
      <name val="Arial"/>
      <family val="2"/>
      <charset val="1"/>
    </font>
    <font>
      <b val="true"/>
      <sz val="11"/>
      <color rgb="FFFFFFFF"/>
      <name val="Arial"/>
      <family val="2"/>
      <charset val="1"/>
    </font>
    <font>
      <b val="true"/>
      <sz val="11"/>
      <name val="Cambria"/>
      <family val="1"/>
      <charset val="1"/>
    </font>
    <font>
      <b val="true"/>
      <sz val="13"/>
      <name val="Arial"/>
      <family val="0"/>
      <charset val="1"/>
    </font>
    <font>
      <i val="true"/>
      <sz val="9"/>
      <color rgb="FF595959"/>
      <name val="Arial"/>
      <family val="0"/>
      <charset val="1"/>
    </font>
    <font>
      <b val="true"/>
      <sz val="11"/>
      <name val="Arial"/>
      <family val="0"/>
      <charset val="1"/>
    </font>
    <font>
      <b val="true"/>
      <sz val="11"/>
      <color rgb="FFFFFFFF"/>
      <name val="Arial"/>
      <family val="0"/>
      <charset val="1"/>
    </font>
    <font>
      <sz val="10"/>
      <color rgb="FF000000"/>
      <name val="Arial"/>
      <family val="0"/>
      <charset val="1"/>
    </font>
    <font>
      <b val="true"/>
      <sz val="9"/>
      <name val="Arial"/>
      <family val="0"/>
      <charset val="1"/>
    </font>
    <font>
      <sz val="10"/>
      <color rgb="FF008000"/>
      <name val="Arial"/>
      <family val="0"/>
      <charset val="1"/>
    </font>
  </fonts>
  <fills count="8">
    <fill>
      <patternFill patternType="none"/>
    </fill>
    <fill>
      <patternFill patternType="gray125"/>
    </fill>
    <fill>
      <patternFill patternType="solid">
        <fgColor rgb="FF1F3864"/>
        <bgColor rgb="FF1F4E78"/>
      </patternFill>
    </fill>
    <fill>
      <patternFill patternType="solid">
        <fgColor rgb="FFFCE4E4"/>
        <bgColor rgb="FFE2EFDA"/>
      </patternFill>
    </fill>
    <fill>
      <patternFill patternType="solid">
        <fgColor rgb="FFE2EFDA"/>
        <bgColor rgb="FFD9E1F2"/>
      </patternFill>
    </fill>
    <fill>
      <patternFill patternType="solid">
        <fgColor rgb="FFD9E1F2"/>
        <bgColor rgb="FFE2EFDA"/>
      </patternFill>
    </fill>
    <fill>
      <patternFill patternType="solid">
        <fgColor rgb="FF1F4E78"/>
        <bgColor rgb="FF1F3864"/>
      </patternFill>
    </fill>
    <fill>
      <patternFill patternType="solid">
        <fgColor rgb="FFFFFF00"/>
        <bgColor rgb="FFFFFF00"/>
      </patternFill>
    </fill>
  </fills>
  <borders count="5">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style="thin">
        <color rgb="FFCCCCCC"/>
      </left>
      <right/>
      <top style="thin">
        <color rgb="FFCCCCCC"/>
      </top>
      <bottom style="thin">
        <color rgb="FFCCCCCC"/>
      </bottom>
      <diagonal/>
    </border>
    <border diagonalUp="false" diagonalDown="false">
      <left/>
      <right/>
      <top style="thin">
        <color rgb="FFCCCCCC"/>
      </top>
      <bottom style="thin">
        <color rgb="FFCCCCCC"/>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5" fontId="0" fillId="3" borderId="1" xfId="0" applyFont="false" applyBorder="true" applyAlignment="true" applyProtection="false">
      <alignment horizontal="general" vertical="bottom" textRotation="0" wrapText="false" indent="0" shrinkToFit="false"/>
      <protection locked="true" hidden="false"/>
    </xf>
    <xf numFmtId="165" fontId="0" fillId="4" borderId="1" xfId="0" applyFont="fals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0" fillId="0" borderId="2" xfId="0" applyFont="true" applyBorder="true" applyAlignment="true" applyProtection="false">
      <alignment horizontal="general" vertical="top" textRotation="0" wrapText="tru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10" fillId="5" borderId="0" xfId="0" applyFont="true" applyBorder="true" applyAlignment="true" applyProtection="false">
      <alignment horizontal="left" vertical="center" textRotation="0" wrapText="false" indent="0" shrinkToFit="false"/>
      <protection locked="true" hidden="false"/>
    </xf>
    <xf numFmtId="164" fontId="11" fillId="6" borderId="4" xfId="0" applyFont="true" applyBorder="true" applyAlignment="true" applyProtection="false">
      <alignment horizontal="center" vertical="center" textRotation="0" wrapText="true" indent="0" shrinkToFit="false"/>
      <protection locked="true" hidden="false"/>
    </xf>
    <xf numFmtId="164" fontId="12" fillId="0" borderId="4" xfId="0" applyFont="true" applyBorder="true" applyAlignment="false" applyProtection="false">
      <alignment horizontal="general" vertical="bottom" textRotation="0" wrapText="false" indent="0" shrinkToFit="false"/>
      <protection locked="true" hidden="false"/>
    </xf>
    <xf numFmtId="166" fontId="12" fillId="0" borderId="4" xfId="0" applyFont="true" applyBorder="true" applyAlignment="false" applyProtection="false">
      <alignment horizontal="general" vertical="bottom" textRotation="0" wrapText="false" indent="0" shrinkToFit="false"/>
      <protection locked="true" hidden="false"/>
    </xf>
    <xf numFmtId="164" fontId="10" fillId="0" borderId="4" xfId="0" applyFont="true" applyBorder="true" applyAlignment="false" applyProtection="false">
      <alignment horizontal="general" vertical="bottom" textRotation="0" wrapText="false" indent="0" shrinkToFit="false"/>
      <protection locked="true" hidden="false"/>
    </xf>
    <xf numFmtId="166" fontId="10" fillId="0" borderId="4" xfId="0" applyFont="true" applyBorder="true" applyAlignment="false" applyProtection="false">
      <alignment horizontal="general" vertical="bottom" textRotation="0" wrapText="false" indent="0" shrinkToFit="false"/>
      <protection locked="true" hidden="false"/>
    </xf>
    <xf numFmtId="164" fontId="13" fillId="0" borderId="4" xfId="0" applyFont="true" applyBorder="true" applyAlignment="false" applyProtection="false">
      <alignment horizontal="general" vertical="bottom" textRotation="0" wrapText="false" indent="0" shrinkToFit="false"/>
      <protection locked="true" hidden="false"/>
    </xf>
    <xf numFmtId="164" fontId="11" fillId="6" borderId="4" xfId="0" applyFont="true" applyBorder="true" applyAlignment="false" applyProtection="false">
      <alignment horizontal="general" vertical="bottom" textRotation="0" wrapText="false" indent="0" shrinkToFit="false"/>
      <protection locked="true" hidden="false"/>
    </xf>
    <xf numFmtId="166" fontId="12" fillId="7" borderId="4"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4" fillId="0" borderId="4" xfId="0" applyFont="true" applyBorder="true" applyAlignment="false" applyProtection="false">
      <alignment horizontal="general" vertical="bottom" textRotation="0" wrapText="false" indent="0" shrinkToFit="false"/>
      <protection locked="true" hidden="false"/>
    </xf>
    <xf numFmtId="166" fontId="14" fillId="0" borderId="4" xfId="0" applyFont="true" applyBorder="true" applyAlignment="false" applyProtection="false">
      <alignment horizontal="general" vertical="bottom" textRotation="0" wrapText="false" indent="0" shrinkToFit="false"/>
      <protection locked="true" hidden="false"/>
    </xf>
    <xf numFmtId="166" fontId="0" fillId="7" borderId="4" xfId="0" applyFont="false" applyBorder="true" applyAlignment="false" applyProtection="false">
      <alignment horizontal="general" vertical="bottom" textRotation="0" wrapText="false" indent="0" shrinkToFit="false"/>
      <protection locked="true" hidden="false"/>
    </xf>
    <xf numFmtId="164" fontId="12" fillId="0" borderId="4" xfId="0" applyFont="true" applyBorder="true" applyAlignment="true" applyProtection="false">
      <alignment horizontal="center" vertical="bottom" textRotation="0" wrapText="false" indent="0" shrinkToFit="false"/>
      <protection locked="true" hidden="false"/>
    </xf>
    <xf numFmtId="164" fontId="12" fillId="7" borderId="4" xfId="0" applyFont="true" applyBorder="true" applyAlignment="true" applyProtection="false">
      <alignment horizontal="general" vertical="top" textRotation="0" wrapText="true" indent="0" shrinkToFit="false"/>
      <protection locked="true" hidden="false"/>
    </xf>
    <xf numFmtId="167" fontId="10" fillId="0" borderId="4"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E4"/>
      <rgbColor rgb="FFD9E1F2"/>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3"/>
  <sheetViews>
    <sheetView showFormulas="false" showGridLines="true" showRowColHeaders="true" showZeros="true" rightToLeft="false" tabSelected="true" showOutlineSymbols="true" defaultGridColor="true" view="normal" topLeftCell="A14" colorId="64" zoomScale="100" zoomScaleNormal="100" zoomScalePageLayoutView="100" workbookViewId="0">
      <selection pane="topLeft" activeCell="A14" activeCellId="0" sqref="A14"/>
    </sheetView>
  </sheetViews>
  <sheetFormatPr defaultColWidth="8.6328125" defaultRowHeight="14.25" zeroHeight="false" outlineLevelRow="0" outlineLevelCol="0"/>
  <cols>
    <col collapsed="false" customWidth="true" hidden="false" outlineLevel="0" max="1" min="1" style="1" width="34"/>
    <col collapsed="false" customWidth="true" hidden="false" outlineLevel="0" max="4" min="2" style="1" width="16"/>
    <col collapsed="false" customWidth="true" hidden="false" outlineLevel="0" max="5" min="5" style="1" width="18"/>
  </cols>
  <sheetData>
    <row r="1" customFormat="false" ht="17.25" hidden="false" customHeight="true" outlineLevel="0" collapsed="false">
      <c r="A1" s="2" t="s">
        <v>0</v>
      </c>
      <c r="B1" s="2"/>
      <c r="C1" s="2"/>
      <c r="D1" s="2"/>
      <c r="E1" s="2"/>
    </row>
    <row r="3" customFormat="false" ht="15" hidden="false" customHeight="true" outlineLevel="0" collapsed="false">
      <c r="A3" s="3" t="s">
        <v>1</v>
      </c>
      <c r="B3" s="3"/>
      <c r="C3" s="3"/>
      <c r="D3" s="3"/>
      <c r="E3" s="3"/>
    </row>
    <row r="4" customFormat="false" ht="15" hidden="false" customHeight="true" outlineLevel="0" collapsed="false">
      <c r="A4" s="4" t="s">
        <v>2</v>
      </c>
      <c r="B4" s="4" t="s">
        <v>3</v>
      </c>
    </row>
    <row r="5" customFormat="false" ht="15" hidden="false" customHeight="true" outlineLevel="0" collapsed="false">
      <c r="A5" s="5" t="s">
        <v>4</v>
      </c>
      <c r="B5" s="6" t="n">
        <v>31038998</v>
      </c>
    </row>
    <row r="6" customFormat="false" ht="15" hidden="false" customHeight="true" outlineLevel="0" collapsed="false">
      <c r="A6" s="5" t="s">
        <v>5</v>
      </c>
      <c r="B6" s="6" t="n">
        <v>9360000</v>
      </c>
    </row>
    <row r="7" customFormat="false" ht="15" hidden="false" customHeight="true" outlineLevel="0" collapsed="false">
      <c r="A7" s="5" t="s">
        <v>6</v>
      </c>
      <c r="B7" s="6" t="n">
        <v>720000</v>
      </c>
    </row>
    <row r="8" customFormat="false" ht="15" hidden="false" customHeight="true" outlineLevel="0" collapsed="false">
      <c r="A8" s="5" t="s">
        <v>6</v>
      </c>
      <c r="B8" s="6" t="n">
        <v>468000</v>
      </c>
    </row>
    <row r="9" customFormat="false" ht="15" hidden="false" customHeight="true" outlineLevel="0" collapsed="false">
      <c r="A9" s="5" t="s">
        <v>7</v>
      </c>
      <c r="B9" s="6" t="n">
        <v>990000</v>
      </c>
    </row>
    <row r="10" customFormat="false" ht="15" hidden="false" customHeight="true" outlineLevel="0" collapsed="false">
      <c r="A10" s="5" t="s">
        <v>8</v>
      </c>
      <c r="B10" s="6" t="n">
        <v>4066656</v>
      </c>
    </row>
    <row r="11" customFormat="false" ht="15" hidden="false" customHeight="true" outlineLevel="0" collapsed="false">
      <c r="A11" s="5" t="s">
        <v>9</v>
      </c>
      <c r="B11" s="6" t="n">
        <v>487500</v>
      </c>
    </row>
    <row r="12" customFormat="false" ht="15" hidden="false" customHeight="true" outlineLevel="0" collapsed="false">
      <c r="A12" s="5" t="s">
        <v>10</v>
      </c>
      <c r="B12" s="6" t="n">
        <v>9000</v>
      </c>
    </row>
    <row r="13" customFormat="false" ht="15" hidden="false" customHeight="true" outlineLevel="0" collapsed="false">
      <c r="A13" s="5" t="s">
        <v>11</v>
      </c>
      <c r="B13" s="6" t="n">
        <v>1500000</v>
      </c>
    </row>
    <row r="14" customFormat="false" ht="15" hidden="false" customHeight="true" outlineLevel="0" collapsed="false">
      <c r="A14" s="5" t="s">
        <v>12</v>
      </c>
      <c r="B14" s="6" t="n">
        <v>3940000</v>
      </c>
    </row>
    <row r="15" customFormat="false" ht="14.25" hidden="false" customHeight="true" outlineLevel="0" collapsed="false">
      <c r="A15" s="5" t="s">
        <v>13</v>
      </c>
      <c r="B15" s="6" t="n">
        <v>2653147</v>
      </c>
    </row>
    <row r="17" customFormat="false" ht="15" hidden="false" customHeight="true" outlineLevel="0" collapsed="false">
      <c r="A17" s="7"/>
      <c r="B17" s="7"/>
      <c r="C17" s="7"/>
      <c r="D17" s="7"/>
      <c r="E17" s="7"/>
    </row>
    <row r="18" customFormat="false" ht="15" hidden="false" customHeight="true" outlineLevel="0" collapsed="false">
      <c r="A18" s="8" t="s">
        <v>14</v>
      </c>
    </row>
    <row r="19" customFormat="false" ht="15" hidden="false" customHeight="true" outlineLevel="0" collapsed="false">
      <c r="A19" s="9" t="s">
        <v>15</v>
      </c>
      <c r="B19" s="9" t="s">
        <v>16</v>
      </c>
      <c r="C19" s="9" t="s">
        <v>17</v>
      </c>
      <c r="D19" s="9" t="s">
        <v>18</v>
      </c>
      <c r="E19" s="9" t="s">
        <v>19</v>
      </c>
    </row>
    <row r="20" customFormat="false" ht="15" hidden="false" customHeight="true" outlineLevel="0" collapsed="false">
      <c r="A20" s="5" t="s">
        <v>20</v>
      </c>
      <c r="B20" s="6" t="n">
        <v>0</v>
      </c>
      <c r="C20" s="6" t="n">
        <v>3949000</v>
      </c>
      <c r="D20" s="10" t="n">
        <v>-3949000</v>
      </c>
      <c r="E20" s="10" t="n">
        <v>-3949000</v>
      </c>
    </row>
    <row r="21" customFormat="false" ht="15" hidden="false" customHeight="true" outlineLevel="0" collapsed="false">
      <c r="A21" s="5" t="s">
        <v>21</v>
      </c>
      <c r="B21" s="6" t="n">
        <v>7390238</v>
      </c>
      <c r="C21" s="6" t="n">
        <v>6466656</v>
      </c>
      <c r="D21" s="11" t="n">
        <v>923582</v>
      </c>
      <c r="E21" s="10" t="n">
        <v>-3025418</v>
      </c>
    </row>
    <row r="22" customFormat="false" ht="15" hidden="false" customHeight="true" outlineLevel="0" collapsed="false">
      <c r="A22" s="5" t="s">
        <v>22</v>
      </c>
      <c r="B22" s="6" t="n">
        <v>7390238</v>
      </c>
      <c r="C22" s="6" t="n">
        <v>5053147</v>
      </c>
      <c r="D22" s="11" t="n">
        <v>2337091</v>
      </c>
      <c r="E22" s="10" t="n">
        <v>-688327</v>
      </c>
    </row>
    <row r="23" customFormat="false" ht="15" hidden="false" customHeight="true" outlineLevel="0" collapsed="false">
      <c r="A23" s="5" t="s">
        <v>23</v>
      </c>
      <c r="B23" s="6" t="n">
        <v>7390238</v>
      </c>
      <c r="C23" s="6" t="n">
        <v>3390000</v>
      </c>
      <c r="D23" s="11" t="n">
        <v>4000238</v>
      </c>
      <c r="E23" s="11" t="n">
        <v>3311911</v>
      </c>
    </row>
    <row r="24" customFormat="false" ht="15" hidden="false" customHeight="true" outlineLevel="0" collapsed="false">
      <c r="A24" s="5" t="s">
        <v>24</v>
      </c>
      <c r="B24" s="6" t="n">
        <v>7390238</v>
      </c>
      <c r="C24" s="6" t="n">
        <v>2887500</v>
      </c>
      <c r="D24" s="11" t="n">
        <v>4502738</v>
      </c>
      <c r="E24" s="11" t="n">
        <v>7814649</v>
      </c>
    </row>
    <row r="25" customFormat="false" ht="15" hidden="false" customHeight="true" outlineLevel="0" collapsed="false">
      <c r="A25" s="5" t="s">
        <v>25</v>
      </c>
      <c r="B25" s="6" t="n">
        <v>1478048</v>
      </c>
      <c r="C25" s="6" t="n">
        <v>3540000</v>
      </c>
      <c r="D25" s="10" t="n">
        <v>-2061952</v>
      </c>
      <c r="E25" s="11" t="n">
        <v>5752697</v>
      </c>
    </row>
    <row r="26" customFormat="false" ht="14.25" hidden="false" customHeight="true" outlineLevel="0" collapsed="false">
      <c r="A26" s="12" t="s">
        <v>26</v>
      </c>
      <c r="B26" s="13" t="n">
        <v>31039000</v>
      </c>
      <c r="C26" s="13" t="n">
        <v>25286303</v>
      </c>
      <c r="D26" s="13" t="n">
        <v>5752697</v>
      </c>
    </row>
    <row r="27" customFormat="false" ht="14.25" hidden="false" customHeight="true" outlineLevel="0" collapsed="false">
      <c r="A27" s="7"/>
      <c r="B27" s="7"/>
      <c r="C27" s="7"/>
      <c r="D27" s="7"/>
      <c r="E27" s="7"/>
    </row>
    <row r="28" customFormat="false" ht="14.25" hidden="false" customHeight="true" outlineLevel="0" collapsed="false">
      <c r="A28" s="8" t="s">
        <v>27</v>
      </c>
      <c r="B28" s="7"/>
      <c r="C28" s="7"/>
      <c r="D28" s="7"/>
      <c r="E28" s="7"/>
    </row>
    <row r="29" customFormat="false" ht="30" hidden="false" customHeight="true" outlineLevel="0" collapsed="false">
      <c r="A29" s="4" t="s">
        <v>28</v>
      </c>
      <c r="B29" s="14" t="s">
        <v>29</v>
      </c>
      <c r="C29" s="14"/>
      <c r="D29" s="14"/>
      <c r="E29" s="14"/>
    </row>
    <row r="30" customFormat="false" ht="30" hidden="false" customHeight="true" outlineLevel="0" collapsed="false">
      <c r="A30" s="15" t="s">
        <v>30</v>
      </c>
      <c r="B30" s="16" t="s">
        <v>31</v>
      </c>
      <c r="C30" s="16"/>
      <c r="D30" s="16"/>
      <c r="E30" s="16"/>
    </row>
    <row r="31" customFormat="false" ht="30" hidden="false" customHeight="true" outlineLevel="0" collapsed="false">
      <c r="A31" s="15" t="s">
        <v>32</v>
      </c>
      <c r="B31" s="16" t="s">
        <v>33</v>
      </c>
      <c r="C31" s="16"/>
      <c r="D31" s="16"/>
      <c r="E31" s="16"/>
    </row>
    <row r="32" customFormat="false" ht="30" hidden="false" customHeight="true" outlineLevel="0" collapsed="false">
      <c r="A32" s="15" t="s">
        <v>34</v>
      </c>
      <c r="B32" s="16" t="s">
        <v>35</v>
      </c>
      <c r="C32" s="16"/>
      <c r="D32" s="16"/>
      <c r="E32" s="16"/>
    </row>
    <row r="33" customFormat="false" ht="30" hidden="false" customHeight="true" outlineLevel="0" collapsed="false">
      <c r="A33" s="15" t="s">
        <v>36</v>
      </c>
      <c r="B33" s="16" t="s">
        <v>37</v>
      </c>
      <c r="C33" s="16"/>
      <c r="D33" s="16"/>
      <c r="E33" s="16"/>
    </row>
    <row r="34" customFormat="false" ht="30" hidden="false" customHeight="true" outlineLevel="0" collapsed="false">
      <c r="A34" s="15" t="s">
        <v>38</v>
      </c>
      <c r="B34" s="16" t="s">
        <v>39</v>
      </c>
      <c r="C34" s="16"/>
      <c r="D34" s="16"/>
      <c r="E34" s="16"/>
    </row>
    <row r="35" customFormat="false" ht="30" hidden="false" customHeight="true" outlineLevel="0" collapsed="false">
      <c r="A35" s="15" t="s">
        <v>40</v>
      </c>
      <c r="B35" s="16" t="s">
        <v>41</v>
      </c>
      <c r="C35" s="16"/>
      <c r="D35" s="16"/>
      <c r="E35" s="16"/>
    </row>
    <row r="36" customFormat="false" ht="30" hidden="false" customHeight="true" outlineLevel="0" collapsed="false">
      <c r="A36" s="15" t="s">
        <v>42</v>
      </c>
      <c r="B36" s="16" t="s">
        <v>43</v>
      </c>
      <c r="C36" s="16"/>
      <c r="D36" s="16"/>
      <c r="E36" s="16"/>
    </row>
    <row r="37" customFormat="false" ht="30" hidden="false" customHeight="true" outlineLevel="0" collapsed="false">
      <c r="A37" s="15" t="s">
        <v>44</v>
      </c>
      <c r="B37" s="16" t="s">
        <v>45</v>
      </c>
      <c r="C37" s="16"/>
      <c r="D37" s="16"/>
      <c r="E37" s="16"/>
    </row>
    <row r="38" customFormat="false" ht="30" hidden="false" customHeight="true" outlineLevel="0" collapsed="false">
      <c r="A38" s="15" t="s">
        <v>46</v>
      </c>
      <c r="B38" s="16" t="s">
        <v>47</v>
      </c>
      <c r="C38" s="16"/>
      <c r="D38" s="16"/>
      <c r="E38" s="16"/>
    </row>
    <row r="39" customFormat="false" ht="30" hidden="false" customHeight="true" outlineLevel="0" collapsed="false">
      <c r="A39" s="15" t="s">
        <v>48</v>
      </c>
      <c r="B39" s="16" t="s">
        <v>49</v>
      </c>
      <c r="C39" s="16"/>
      <c r="D39" s="16"/>
      <c r="E39" s="16"/>
    </row>
    <row r="40" customFormat="false" ht="30" hidden="false" customHeight="true" outlineLevel="0" collapsed="false">
      <c r="A40" s="15" t="s">
        <v>50</v>
      </c>
      <c r="B40" s="16" t="s">
        <v>51</v>
      </c>
      <c r="C40" s="16"/>
      <c r="D40" s="16"/>
      <c r="E40" s="16"/>
    </row>
    <row r="41" customFormat="false" ht="30" hidden="false" customHeight="true" outlineLevel="0" collapsed="false">
      <c r="A41" s="15" t="s">
        <v>52</v>
      </c>
      <c r="B41" s="16" t="s">
        <v>53</v>
      </c>
      <c r="C41" s="16"/>
      <c r="D41" s="16"/>
      <c r="E41" s="16"/>
    </row>
    <row r="42" customFormat="false" ht="30" hidden="false" customHeight="true" outlineLevel="0" collapsed="false">
      <c r="A42" s="15" t="s">
        <v>54</v>
      </c>
      <c r="B42" s="16" t="s">
        <v>55</v>
      </c>
      <c r="C42" s="16"/>
      <c r="D42" s="16"/>
      <c r="E42" s="16"/>
    </row>
    <row r="43" customFormat="false" ht="30" hidden="false" customHeight="true" outlineLevel="0" collapsed="false">
      <c r="A43" s="15" t="s">
        <v>56</v>
      </c>
      <c r="B43" s="16" t="s">
        <v>57</v>
      </c>
      <c r="C43" s="16"/>
      <c r="D43" s="16"/>
      <c r="E43" s="16"/>
    </row>
    <row r="44" customFormat="false" ht="30" hidden="false" customHeight="true" outlineLevel="0" collapsed="false">
      <c r="A44" s="15" t="s">
        <v>9</v>
      </c>
      <c r="B44" s="16" t="s">
        <v>58</v>
      </c>
      <c r="C44" s="16"/>
      <c r="D44" s="16"/>
      <c r="E44" s="16"/>
    </row>
    <row r="45" customFormat="false" ht="48.75" hidden="false" customHeight="true" outlineLevel="0" collapsed="false">
      <c r="A45" s="15" t="s">
        <v>11</v>
      </c>
      <c r="B45" s="16" t="s">
        <v>59</v>
      </c>
      <c r="C45" s="16"/>
      <c r="D45" s="16"/>
      <c r="E45" s="16"/>
    </row>
    <row r="46" customFormat="false" ht="30" hidden="false" customHeight="true" outlineLevel="0" collapsed="false">
      <c r="A46" s="15" t="s">
        <v>12</v>
      </c>
      <c r="B46" s="16" t="s">
        <v>60</v>
      </c>
      <c r="C46" s="16"/>
      <c r="D46" s="16"/>
      <c r="E46" s="16"/>
    </row>
    <row r="47" customFormat="false" ht="30" hidden="false" customHeight="true" outlineLevel="0" collapsed="false">
      <c r="A47" s="15" t="s">
        <v>61</v>
      </c>
      <c r="B47" s="16" t="s">
        <v>62</v>
      </c>
      <c r="C47" s="16"/>
      <c r="D47" s="16"/>
      <c r="E47" s="16"/>
    </row>
    <row r="48" customFormat="false" ht="50.25" hidden="false" customHeight="true" outlineLevel="0" collapsed="false">
      <c r="A48" s="15" t="s">
        <v>63</v>
      </c>
      <c r="B48" s="16" t="s">
        <v>64</v>
      </c>
      <c r="C48" s="16"/>
      <c r="D48" s="16"/>
      <c r="E48" s="16"/>
    </row>
    <row r="49" customFormat="false" ht="52.5" hidden="false" customHeight="true" outlineLevel="0" collapsed="false">
      <c r="A49" s="15" t="s">
        <v>65</v>
      </c>
      <c r="B49" s="16" t="s">
        <v>66</v>
      </c>
      <c r="C49" s="16"/>
      <c r="D49" s="16"/>
      <c r="E49" s="16"/>
    </row>
    <row r="50" customFormat="false" ht="38.25" hidden="false" customHeight="true" outlineLevel="0" collapsed="false">
      <c r="A50" s="15" t="s">
        <v>67</v>
      </c>
      <c r="B50" s="16" t="s">
        <v>68</v>
      </c>
      <c r="C50" s="16"/>
      <c r="D50" s="16"/>
      <c r="E50" s="16"/>
    </row>
    <row r="51" customFormat="false" ht="30" hidden="false" customHeight="true" outlineLevel="0" collapsed="false">
      <c r="A51" s="15" t="s">
        <v>69</v>
      </c>
      <c r="B51" s="16" t="s">
        <v>70</v>
      </c>
      <c r="C51" s="16"/>
      <c r="D51" s="16"/>
      <c r="E51" s="16"/>
    </row>
    <row r="52" customFormat="false" ht="54.75" hidden="false" customHeight="true" outlineLevel="0" collapsed="false">
      <c r="A52" s="15" t="s">
        <v>12</v>
      </c>
      <c r="B52" s="16" t="s">
        <v>71</v>
      </c>
      <c r="C52" s="17"/>
      <c r="D52" s="17"/>
      <c r="E52" s="17"/>
    </row>
    <row r="53" customFormat="false" ht="14.25" hidden="false" customHeight="true" outlineLevel="0" collapsed="false">
      <c r="A53" s="1" t="s">
        <v>10</v>
      </c>
      <c r="B53" s="7" t="s">
        <v>72</v>
      </c>
      <c r="C53" s="7"/>
      <c r="D53" s="7"/>
      <c r="E53" s="7"/>
    </row>
  </sheetData>
  <mergeCells count="29">
    <mergeCell ref="A1:E1"/>
    <mergeCell ref="A3:E3"/>
    <mergeCell ref="A17:E17"/>
    <mergeCell ref="A27:E27"/>
    <mergeCell ref="B28:E28"/>
    <mergeCell ref="B29:E29"/>
    <mergeCell ref="B30:E30"/>
    <mergeCell ref="B31:E31"/>
    <mergeCell ref="B32:E32"/>
    <mergeCell ref="B33:E33"/>
    <mergeCell ref="B34:E34"/>
    <mergeCell ref="B35:E35"/>
    <mergeCell ref="B36:E36"/>
    <mergeCell ref="B37:E37"/>
    <mergeCell ref="B38:E38"/>
    <mergeCell ref="B39:E39"/>
    <mergeCell ref="B40:E40"/>
    <mergeCell ref="B41:E41"/>
    <mergeCell ref="B42:E42"/>
    <mergeCell ref="B43:E43"/>
    <mergeCell ref="B44:E44"/>
    <mergeCell ref="B45:E45"/>
    <mergeCell ref="B46:E46"/>
    <mergeCell ref="B47:E47"/>
    <mergeCell ref="B48:E48"/>
    <mergeCell ref="B49:E49"/>
    <mergeCell ref="B50:E50"/>
    <mergeCell ref="B51:E51"/>
    <mergeCell ref="B53:E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8" topLeftCell="A19" activePane="bottomLeft" state="frozen"/>
      <selection pane="topLeft" activeCell="A1" activeCellId="0" sqref="A1"/>
      <selection pane="bottomLeft" activeCell="A1" activeCellId="0" sqref="A1"/>
    </sheetView>
  </sheetViews>
  <sheetFormatPr defaultColWidth="8.6328125" defaultRowHeight="14.25" zeroHeight="false" outlineLevelRow="0" outlineLevelCol="0"/>
  <cols>
    <col collapsed="false" customWidth="true" hidden="false" outlineLevel="0" max="1" min="1" style="1" width="34"/>
    <col collapsed="false" customWidth="true" hidden="false" outlineLevel="0" max="4" min="2" style="1" width="16"/>
    <col collapsed="false" customWidth="true" hidden="false" outlineLevel="0" max="5" min="5" style="1" width="18"/>
  </cols>
  <sheetData>
    <row r="1" customFormat="false" ht="17.25" hidden="false" customHeight="true" outlineLevel="0" collapsed="false">
      <c r="A1" s="2" t="s">
        <v>73</v>
      </c>
      <c r="B1" s="2"/>
      <c r="C1" s="2"/>
      <c r="D1" s="2"/>
      <c r="E1" s="2"/>
    </row>
    <row r="3" customFormat="false" ht="15" hidden="false" customHeight="true" outlineLevel="0" collapsed="false">
      <c r="A3" s="3" t="s">
        <v>1</v>
      </c>
      <c r="B3" s="3"/>
      <c r="C3" s="3"/>
      <c r="D3" s="3"/>
      <c r="E3" s="3"/>
    </row>
    <row r="4" customFormat="false" ht="15" hidden="false" customHeight="true" outlineLevel="0" collapsed="false">
      <c r="A4" s="4" t="s">
        <v>2</v>
      </c>
      <c r="B4" s="4" t="s">
        <v>3</v>
      </c>
    </row>
    <row r="5" customFormat="false" ht="15" hidden="false" customHeight="true" outlineLevel="0" collapsed="false">
      <c r="A5" s="5" t="s">
        <v>4</v>
      </c>
      <c r="B5" s="6" t="n">
        <v>41385344</v>
      </c>
    </row>
    <row r="6" customFormat="false" ht="15" hidden="false" customHeight="true" outlineLevel="0" collapsed="false">
      <c r="A6" s="5" t="s">
        <v>5</v>
      </c>
      <c r="B6" s="6" t="n">
        <v>12480000</v>
      </c>
    </row>
    <row r="7" customFormat="false" ht="15" hidden="false" customHeight="true" outlineLevel="0" collapsed="false">
      <c r="A7" s="5" t="s">
        <v>74</v>
      </c>
      <c r="B7" s="6" t="n">
        <v>2080000</v>
      </c>
    </row>
    <row r="8" customFormat="false" ht="15" hidden="false" customHeight="true" outlineLevel="0" collapsed="false">
      <c r="A8" s="5" t="s">
        <v>6</v>
      </c>
      <c r="B8" s="6" t="n">
        <v>960000</v>
      </c>
    </row>
    <row r="9" customFormat="false" ht="15" hidden="false" customHeight="true" outlineLevel="0" collapsed="false">
      <c r="A9" s="5" t="s">
        <v>7</v>
      </c>
      <c r="B9" s="6" t="n">
        <v>1320000</v>
      </c>
    </row>
    <row r="10" customFormat="false" ht="15" hidden="false" customHeight="true" outlineLevel="0" collapsed="false">
      <c r="A10" s="5" t="s">
        <v>75</v>
      </c>
      <c r="B10" s="6" t="n">
        <v>5422208</v>
      </c>
    </row>
    <row r="11" customFormat="false" ht="15" hidden="false" customHeight="true" outlineLevel="0" collapsed="false">
      <c r="A11" s="5" t="s">
        <v>9</v>
      </c>
      <c r="B11" s="6" t="n">
        <v>650000</v>
      </c>
    </row>
    <row r="12" customFormat="false" ht="15" hidden="false" customHeight="true" outlineLevel="0" collapsed="false">
      <c r="A12" s="5" t="s">
        <v>76</v>
      </c>
      <c r="B12" s="6" t="n">
        <v>2000000</v>
      </c>
    </row>
    <row r="13" customFormat="false" ht="15" hidden="false" customHeight="true" outlineLevel="0" collapsed="false">
      <c r="A13" s="5" t="s">
        <v>12</v>
      </c>
      <c r="B13" s="6" t="n">
        <v>3940000</v>
      </c>
    </row>
    <row r="14" customFormat="false" ht="15" hidden="false" customHeight="true" outlineLevel="0" collapsed="false">
      <c r="A14" s="1" t="s">
        <v>10</v>
      </c>
      <c r="B14" s="18" t="n">
        <v>9000</v>
      </c>
    </row>
    <row r="15" customFormat="false" ht="14.25" hidden="false" customHeight="true" outlineLevel="0" collapsed="false">
      <c r="A15" s="5" t="s">
        <v>77</v>
      </c>
      <c r="B15" s="6" t="n">
        <v>3153147</v>
      </c>
    </row>
    <row r="17" customFormat="false" ht="15" hidden="false" customHeight="true" outlineLevel="0" collapsed="false">
      <c r="A17" s="7"/>
      <c r="B17" s="7"/>
      <c r="C17" s="7"/>
      <c r="D17" s="7"/>
      <c r="E17" s="7"/>
    </row>
    <row r="18" customFormat="false" ht="15" hidden="false" customHeight="true" outlineLevel="0" collapsed="false">
      <c r="A18" s="8" t="s">
        <v>14</v>
      </c>
    </row>
    <row r="19" customFormat="false" ht="15" hidden="false" customHeight="true" outlineLevel="0" collapsed="false">
      <c r="A19" s="9" t="s">
        <v>15</v>
      </c>
      <c r="B19" s="9" t="s">
        <v>16</v>
      </c>
      <c r="C19" s="9" t="s">
        <v>17</v>
      </c>
      <c r="D19" s="9" t="s">
        <v>18</v>
      </c>
      <c r="E19" s="9" t="s">
        <v>19</v>
      </c>
    </row>
    <row r="20" customFormat="false" ht="15" hidden="false" customHeight="true" outlineLevel="0" collapsed="false">
      <c r="A20" s="5" t="s">
        <v>78</v>
      </c>
      <c r="B20" s="6" t="n">
        <v>7524608</v>
      </c>
      <c r="C20" s="6" t="n">
        <v>11814844</v>
      </c>
      <c r="D20" s="10" t="n">
        <v>-4290236</v>
      </c>
      <c r="E20" s="10" t="n">
        <v>-4290236</v>
      </c>
    </row>
    <row r="21" customFormat="false" ht="15" hidden="false" customHeight="true" outlineLevel="0" collapsed="false">
      <c r="A21" s="5" t="s">
        <v>79</v>
      </c>
      <c r="B21" s="6" t="n">
        <v>9405760</v>
      </c>
      <c r="C21" s="6" t="n">
        <v>6207692</v>
      </c>
      <c r="D21" s="11" t="n">
        <v>3198068</v>
      </c>
      <c r="E21" s="10" t="n">
        <v>-1092168</v>
      </c>
    </row>
    <row r="22" customFormat="false" ht="15" hidden="false" customHeight="true" outlineLevel="0" collapsed="false">
      <c r="A22" s="5" t="s">
        <v>80</v>
      </c>
      <c r="B22" s="6" t="n">
        <v>9405760</v>
      </c>
      <c r="C22" s="6" t="n">
        <v>4374545</v>
      </c>
      <c r="D22" s="11" t="n">
        <v>5031215</v>
      </c>
      <c r="E22" s="11" t="n">
        <v>3939047</v>
      </c>
    </row>
    <row r="23" customFormat="false" ht="15" hidden="false" customHeight="true" outlineLevel="0" collapsed="false">
      <c r="A23" s="5" t="s">
        <v>81</v>
      </c>
      <c r="B23" s="6" t="n">
        <v>9405760</v>
      </c>
      <c r="C23" s="6" t="n">
        <v>3704545</v>
      </c>
      <c r="D23" s="11" t="n">
        <v>5701215</v>
      </c>
      <c r="E23" s="11" t="n">
        <v>9640262</v>
      </c>
    </row>
    <row r="24" customFormat="false" ht="15" hidden="false" customHeight="true" outlineLevel="0" collapsed="false">
      <c r="A24" s="5" t="s">
        <v>82</v>
      </c>
      <c r="B24" s="6" t="n">
        <v>5643456</v>
      </c>
      <c r="C24" s="6" t="n">
        <v>5912727</v>
      </c>
      <c r="D24" s="10" t="n">
        <v>-269271</v>
      </c>
      <c r="E24" s="11" t="n">
        <v>9370991</v>
      </c>
    </row>
    <row r="25" customFormat="false" ht="14.25" hidden="false" customHeight="true" outlineLevel="0" collapsed="false">
      <c r="A25" s="12" t="s">
        <v>26</v>
      </c>
      <c r="B25" s="13" t="n">
        <v>41385344</v>
      </c>
      <c r="C25" s="13" t="n">
        <v>32014353</v>
      </c>
      <c r="D25" s="13" t="n">
        <v>9370991</v>
      </c>
    </row>
    <row r="26" customFormat="false" ht="14.25" hidden="false" customHeight="true" outlineLevel="0" collapsed="false">
      <c r="A26" s="7"/>
      <c r="B26" s="7"/>
      <c r="C26" s="7"/>
      <c r="D26" s="7"/>
      <c r="E26" s="7"/>
    </row>
    <row r="27" customFormat="false" ht="14.25" hidden="false" customHeight="true" outlineLevel="0" collapsed="false">
      <c r="A27" s="8" t="s">
        <v>27</v>
      </c>
      <c r="B27" s="7"/>
      <c r="C27" s="7"/>
      <c r="D27" s="7"/>
      <c r="E27" s="7"/>
    </row>
    <row r="28" customFormat="false" ht="30" hidden="false" customHeight="true" outlineLevel="0" collapsed="false">
      <c r="A28" s="4" t="s">
        <v>28</v>
      </c>
      <c r="B28" s="14" t="s">
        <v>29</v>
      </c>
      <c r="C28" s="14"/>
      <c r="D28" s="14"/>
      <c r="E28" s="14"/>
    </row>
    <row r="29" customFormat="false" ht="30" hidden="false" customHeight="true" outlineLevel="0" collapsed="false">
      <c r="A29" s="15" t="s">
        <v>30</v>
      </c>
      <c r="B29" s="16" t="s">
        <v>83</v>
      </c>
      <c r="C29" s="16"/>
      <c r="D29" s="16"/>
      <c r="E29" s="16"/>
    </row>
    <row r="30" customFormat="false" ht="30" hidden="false" customHeight="true" outlineLevel="0" collapsed="false">
      <c r="A30" s="15" t="s">
        <v>32</v>
      </c>
      <c r="B30" s="16" t="s">
        <v>84</v>
      </c>
      <c r="C30" s="16"/>
      <c r="D30" s="16"/>
      <c r="E30" s="16"/>
    </row>
    <row r="31" customFormat="false" ht="30" hidden="false" customHeight="true" outlineLevel="0" collapsed="false">
      <c r="A31" s="15" t="s">
        <v>34</v>
      </c>
      <c r="B31" s="16" t="s">
        <v>85</v>
      </c>
      <c r="C31" s="16"/>
      <c r="D31" s="16"/>
      <c r="E31" s="16"/>
    </row>
    <row r="32" customFormat="false" ht="30" hidden="false" customHeight="true" outlineLevel="0" collapsed="false">
      <c r="A32" s="15" t="s">
        <v>36</v>
      </c>
      <c r="B32" s="16" t="s">
        <v>86</v>
      </c>
      <c r="C32" s="16"/>
      <c r="D32" s="16"/>
      <c r="E32" s="16"/>
    </row>
    <row r="33" customFormat="false" ht="30" hidden="false" customHeight="true" outlineLevel="0" collapsed="false">
      <c r="A33" s="15" t="s">
        <v>38</v>
      </c>
      <c r="B33" s="16" t="s">
        <v>87</v>
      </c>
      <c r="C33" s="16"/>
      <c r="D33" s="16"/>
      <c r="E33" s="16"/>
    </row>
    <row r="34" customFormat="false" ht="30" hidden="false" customHeight="true" outlineLevel="0" collapsed="false">
      <c r="A34" s="15" t="s">
        <v>40</v>
      </c>
      <c r="B34" s="16" t="s">
        <v>88</v>
      </c>
      <c r="C34" s="16"/>
      <c r="D34" s="16"/>
      <c r="E34" s="16"/>
    </row>
    <row r="35" customFormat="false" ht="30" hidden="false" customHeight="true" outlineLevel="0" collapsed="false">
      <c r="A35" s="15" t="s">
        <v>42</v>
      </c>
      <c r="B35" s="16" t="s">
        <v>89</v>
      </c>
      <c r="C35" s="16"/>
      <c r="D35" s="16"/>
      <c r="E35" s="16"/>
    </row>
    <row r="36" customFormat="false" ht="30" hidden="false" customHeight="true" outlineLevel="0" collapsed="false">
      <c r="A36" s="15" t="s">
        <v>46</v>
      </c>
      <c r="B36" s="16" t="s">
        <v>90</v>
      </c>
      <c r="C36" s="16"/>
      <c r="D36" s="16"/>
      <c r="E36" s="16"/>
    </row>
    <row r="37" customFormat="false" ht="30" hidden="false" customHeight="true" outlineLevel="0" collapsed="false">
      <c r="A37" s="15" t="s">
        <v>50</v>
      </c>
      <c r="B37" s="16" t="s">
        <v>91</v>
      </c>
      <c r="C37" s="16"/>
      <c r="D37" s="16"/>
      <c r="E37" s="16"/>
    </row>
    <row r="38" customFormat="false" ht="30" hidden="false" customHeight="true" outlineLevel="0" collapsed="false">
      <c r="A38" s="15" t="s">
        <v>6</v>
      </c>
      <c r="B38" s="16" t="s">
        <v>92</v>
      </c>
      <c r="C38" s="16"/>
      <c r="D38" s="16"/>
      <c r="E38" s="16"/>
    </row>
    <row r="39" customFormat="false" ht="30" hidden="false" customHeight="true" outlineLevel="0" collapsed="false">
      <c r="A39" s="15" t="s">
        <v>54</v>
      </c>
      <c r="B39" s="16" t="s">
        <v>93</v>
      </c>
      <c r="C39" s="16"/>
      <c r="D39" s="16"/>
      <c r="E39" s="16"/>
    </row>
    <row r="40" customFormat="false" ht="30" hidden="false" customHeight="true" outlineLevel="0" collapsed="false">
      <c r="A40" s="15" t="s">
        <v>56</v>
      </c>
      <c r="B40" s="16" t="s">
        <v>57</v>
      </c>
      <c r="C40" s="16"/>
      <c r="D40" s="16"/>
      <c r="E40" s="16"/>
    </row>
    <row r="41" customFormat="false" ht="30" hidden="false" customHeight="true" outlineLevel="0" collapsed="false">
      <c r="A41" s="15" t="s">
        <v>9</v>
      </c>
      <c r="B41" s="16" t="s">
        <v>94</v>
      </c>
      <c r="C41" s="16"/>
      <c r="D41" s="16"/>
      <c r="E41" s="16"/>
    </row>
    <row r="42" customFormat="false" ht="30" hidden="false" customHeight="true" outlineLevel="0" collapsed="false">
      <c r="A42" s="15" t="s">
        <v>11</v>
      </c>
      <c r="B42" s="16" t="s">
        <v>95</v>
      </c>
      <c r="C42" s="16"/>
      <c r="D42" s="16"/>
      <c r="E42" s="16"/>
    </row>
    <row r="43" customFormat="false" ht="30" hidden="false" customHeight="true" outlineLevel="0" collapsed="false">
      <c r="A43" s="15" t="s">
        <v>12</v>
      </c>
      <c r="B43" s="16" t="s">
        <v>96</v>
      </c>
      <c r="C43" s="16"/>
      <c r="D43" s="16"/>
      <c r="E43" s="16"/>
    </row>
    <row r="44" customFormat="false" ht="30" hidden="false" customHeight="true" outlineLevel="0" collapsed="false">
      <c r="A44" s="15" t="s">
        <v>97</v>
      </c>
      <c r="B44" s="16" t="s">
        <v>98</v>
      </c>
      <c r="C44" s="16"/>
      <c r="D44" s="16"/>
      <c r="E44" s="16"/>
    </row>
    <row r="45" customFormat="false" ht="30" hidden="false" customHeight="true" outlineLevel="0" collapsed="false">
      <c r="A45" s="15" t="s">
        <v>99</v>
      </c>
      <c r="B45" s="16" t="s">
        <v>100</v>
      </c>
      <c r="C45" s="16"/>
      <c r="D45" s="16"/>
      <c r="E45" s="16"/>
    </row>
    <row r="46" customFormat="false" ht="30" hidden="false" customHeight="true" outlineLevel="0" collapsed="false">
      <c r="A46" s="15" t="s">
        <v>67</v>
      </c>
      <c r="B46" s="16" t="s">
        <v>101</v>
      </c>
      <c r="C46" s="16"/>
      <c r="D46" s="16"/>
      <c r="E46" s="16"/>
    </row>
    <row r="47" customFormat="false" ht="30" hidden="false" customHeight="true" outlineLevel="0" collapsed="false">
      <c r="A47" s="15" t="s">
        <v>69</v>
      </c>
      <c r="B47" s="16" t="s">
        <v>102</v>
      </c>
      <c r="C47" s="16"/>
      <c r="D47" s="16"/>
      <c r="E47" s="16"/>
    </row>
    <row r="48" customFormat="false" ht="229.5" hidden="false" customHeight="true" outlineLevel="0" collapsed="false">
      <c r="A48" s="15" t="s">
        <v>103</v>
      </c>
      <c r="B48" s="16" t="s">
        <v>104</v>
      </c>
      <c r="C48" s="17"/>
      <c r="D48" s="17"/>
      <c r="E48" s="17"/>
    </row>
    <row r="49" customFormat="false" ht="14.25" hidden="false" customHeight="true" outlineLevel="0" collapsed="false">
      <c r="A49" s="1" t="s">
        <v>10</v>
      </c>
      <c r="B49" s="7" t="s">
        <v>105</v>
      </c>
      <c r="C49" s="7"/>
      <c r="D49" s="7"/>
      <c r="E49" s="7"/>
    </row>
  </sheetData>
  <mergeCells count="26">
    <mergeCell ref="A1:E1"/>
    <mergeCell ref="A3:E3"/>
    <mergeCell ref="A17:E17"/>
    <mergeCell ref="A26:E26"/>
    <mergeCell ref="B27:E27"/>
    <mergeCell ref="B28:E28"/>
    <mergeCell ref="B29:E29"/>
    <mergeCell ref="B30:E30"/>
    <mergeCell ref="B31:E31"/>
    <mergeCell ref="B32:E32"/>
    <mergeCell ref="B33:E33"/>
    <mergeCell ref="B34:E34"/>
    <mergeCell ref="B35:E35"/>
    <mergeCell ref="B36:E36"/>
    <mergeCell ref="B37:E37"/>
    <mergeCell ref="B38:E38"/>
    <mergeCell ref="B39:E39"/>
    <mergeCell ref="B40:E40"/>
    <mergeCell ref="B41:E41"/>
    <mergeCell ref="B42:E42"/>
    <mergeCell ref="B43:E43"/>
    <mergeCell ref="B44:E44"/>
    <mergeCell ref="B45:E45"/>
    <mergeCell ref="B46:E46"/>
    <mergeCell ref="B47:E47"/>
    <mergeCell ref="B49:E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6" min="2"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6.15" hidden="false" customHeight="false" outlineLevel="0" collapsed="false">
      <c r="A1" s="19" t="s">
        <v>106</v>
      </c>
      <c r="B1" s="19"/>
      <c r="C1" s="19"/>
      <c r="D1" s="19"/>
      <c r="E1" s="19"/>
      <c r="F1" s="19"/>
      <c r="G1" s="19"/>
      <c r="H1" s="19"/>
      <c r="I1" s="19"/>
    </row>
    <row r="2" customFormat="false" ht="15" hidden="false" customHeight="false" outlineLevel="0" collapsed="false">
      <c r="A2" s="20" t="s">
        <v>107</v>
      </c>
      <c r="B2" s="20"/>
      <c r="C2" s="20"/>
      <c r="D2" s="20"/>
      <c r="E2" s="20"/>
      <c r="F2" s="20"/>
      <c r="G2" s="20"/>
      <c r="H2" s="20"/>
      <c r="I2" s="20"/>
    </row>
    <row r="4" customFormat="false" ht="15" hidden="false" customHeight="false" outlineLevel="0" collapsed="false">
      <c r="A4" s="21" t="s">
        <v>108</v>
      </c>
      <c r="B4" s="21"/>
      <c r="C4" s="21"/>
      <c r="D4" s="21"/>
      <c r="E4" s="21"/>
      <c r="F4" s="21"/>
      <c r="G4" s="21"/>
      <c r="H4" s="21"/>
      <c r="I4" s="21"/>
    </row>
    <row r="5" customFormat="false" ht="15" hidden="false" customHeight="false" outlineLevel="0" collapsed="false">
      <c r="A5" s="22" t="s">
        <v>109</v>
      </c>
      <c r="B5" s="22" t="s">
        <v>110</v>
      </c>
      <c r="C5" s="22" t="s">
        <v>111</v>
      </c>
      <c r="D5" s="22" t="s">
        <v>112</v>
      </c>
      <c r="E5" s="22" t="s">
        <v>113</v>
      </c>
      <c r="F5" s="22" t="s">
        <v>114</v>
      </c>
      <c r="G5" s="22" t="s">
        <v>115</v>
      </c>
      <c r="H5" s="22" t="s">
        <v>116</v>
      </c>
    </row>
    <row r="6" customFormat="false" ht="15" hidden="false" customHeight="false" outlineLevel="0" collapsed="false">
      <c r="A6" s="23" t="s">
        <v>117</v>
      </c>
      <c r="B6" s="23" t="s">
        <v>118</v>
      </c>
      <c r="C6" s="23" t="s">
        <v>119</v>
      </c>
      <c r="D6" s="24" t="n">
        <v>1868400</v>
      </c>
      <c r="E6" s="24" t="n">
        <v>354996</v>
      </c>
      <c r="F6" s="24" t="n">
        <v>2223396</v>
      </c>
      <c r="G6" s="23" t="s">
        <v>120</v>
      </c>
      <c r="H6" s="23" t="s">
        <v>121</v>
      </c>
    </row>
    <row r="7" customFormat="false" ht="15" hidden="false" customHeight="false" outlineLevel="0" collapsed="false">
      <c r="A7" s="23" t="s">
        <v>122</v>
      </c>
      <c r="B7" s="23" t="s">
        <v>123</v>
      </c>
      <c r="C7" s="23" t="s">
        <v>124</v>
      </c>
      <c r="D7" s="24" t="n">
        <v>280000</v>
      </c>
      <c r="E7" s="24" t="n">
        <v>53200</v>
      </c>
      <c r="F7" s="24" t="n">
        <v>333200</v>
      </c>
      <c r="G7" s="23" t="s">
        <v>120</v>
      </c>
      <c r="H7" s="23" t="s">
        <v>121</v>
      </c>
    </row>
    <row r="8" customFormat="false" ht="15" hidden="false" customHeight="false" outlineLevel="0" collapsed="false">
      <c r="A8" s="23" t="s">
        <v>117</v>
      </c>
      <c r="B8" s="23" t="s">
        <v>125</v>
      </c>
      <c r="C8" s="23" t="s">
        <v>126</v>
      </c>
      <c r="D8" s="24" t="n">
        <v>3550400</v>
      </c>
      <c r="E8" s="24" t="n">
        <v>674576</v>
      </c>
      <c r="F8" s="24" t="n">
        <v>4224976</v>
      </c>
      <c r="G8" s="23" t="s">
        <v>120</v>
      </c>
      <c r="H8" s="23" t="s">
        <v>121</v>
      </c>
    </row>
    <row r="9" customFormat="false" ht="15" hidden="false" customHeight="false" outlineLevel="0" collapsed="false">
      <c r="A9" s="23" t="s">
        <v>127</v>
      </c>
      <c r="B9" s="23" t="s">
        <v>128</v>
      </c>
      <c r="C9" s="23" t="s">
        <v>126</v>
      </c>
      <c r="D9" s="24" t="n">
        <v>991200</v>
      </c>
      <c r="E9" s="24" t="n">
        <v>188328</v>
      </c>
      <c r="F9" s="24" t="n">
        <v>1179528</v>
      </c>
      <c r="G9" s="23" t="s">
        <v>120</v>
      </c>
      <c r="H9" s="23" t="s">
        <v>121</v>
      </c>
    </row>
    <row r="10" customFormat="false" ht="15" hidden="false" customHeight="false" outlineLevel="0" collapsed="false">
      <c r="A10" s="23" t="s">
        <v>129</v>
      </c>
      <c r="B10" s="23" t="s">
        <v>130</v>
      </c>
      <c r="C10" s="23" t="s">
        <v>131</v>
      </c>
      <c r="D10" s="24" t="n">
        <v>324000</v>
      </c>
      <c r="E10" s="24" t="n">
        <v>61560</v>
      </c>
      <c r="F10" s="24" t="n">
        <v>385560</v>
      </c>
      <c r="G10" s="23" t="s">
        <v>120</v>
      </c>
      <c r="H10" s="23" t="s">
        <v>121</v>
      </c>
    </row>
    <row r="11" customFormat="false" ht="15" hidden="false" customHeight="false" outlineLevel="0" collapsed="false">
      <c r="A11" s="23" t="s">
        <v>132</v>
      </c>
      <c r="B11" s="23" t="s">
        <v>133</v>
      </c>
      <c r="C11" s="23" t="s">
        <v>131</v>
      </c>
      <c r="D11" s="24" t="n">
        <v>300000</v>
      </c>
      <c r="E11" s="24" t="n">
        <v>57000</v>
      </c>
      <c r="F11" s="24" t="n">
        <v>357000</v>
      </c>
      <c r="G11" s="23" t="s">
        <v>120</v>
      </c>
      <c r="H11" s="23" t="s">
        <v>121</v>
      </c>
    </row>
    <row r="12" customFormat="false" ht="15" hidden="false" customHeight="false" outlineLevel="0" collapsed="false">
      <c r="A12" s="23" t="s">
        <v>127</v>
      </c>
      <c r="B12" s="23" t="s">
        <v>134</v>
      </c>
      <c r="C12" s="23" t="s">
        <v>131</v>
      </c>
      <c r="D12" s="24" t="n">
        <v>330400</v>
      </c>
      <c r="E12" s="24" t="n">
        <v>62776</v>
      </c>
      <c r="F12" s="24" t="n">
        <v>393176</v>
      </c>
      <c r="G12" s="23" t="s">
        <v>120</v>
      </c>
      <c r="H12" s="23" t="s">
        <v>121</v>
      </c>
    </row>
    <row r="13" customFormat="false" ht="15" hidden="false" customHeight="false" outlineLevel="0" collapsed="false">
      <c r="A13" s="23" t="s">
        <v>135</v>
      </c>
      <c r="B13" s="23" t="s">
        <v>136</v>
      </c>
      <c r="C13" s="23" t="s">
        <v>131</v>
      </c>
      <c r="D13" s="24" t="n">
        <v>660800</v>
      </c>
      <c r="E13" s="24" t="n">
        <v>125552</v>
      </c>
      <c r="F13" s="24" t="n">
        <v>786352</v>
      </c>
      <c r="G13" s="23" t="s">
        <v>120</v>
      </c>
      <c r="H13" s="23" t="s">
        <v>121</v>
      </c>
    </row>
    <row r="14" customFormat="false" ht="15" hidden="false" customHeight="false" outlineLevel="0" collapsed="false">
      <c r="A14" s="23" t="s">
        <v>137</v>
      </c>
      <c r="B14" s="23" t="s">
        <v>138</v>
      </c>
      <c r="C14" s="23" t="s">
        <v>139</v>
      </c>
      <c r="D14" s="24" t="n">
        <v>600000</v>
      </c>
      <c r="E14" s="24" t="n">
        <v>114000</v>
      </c>
      <c r="F14" s="24" t="n">
        <v>714000</v>
      </c>
      <c r="G14" s="23" t="s">
        <v>120</v>
      </c>
      <c r="H14" s="23" t="s">
        <v>121</v>
      </c>
    </row>
    <row r="15" customFormat="false" ht="15" hidden="false" customHeight="false" outlineLevel="0" collapsed="false">
      <c r="A15" s="23" t="s">
        <v>140</v>
      </c>
      <c r="B15" s="23" t="s">
        <v>141</v>
      </c>
      <c r="C15" s="23" t="s">
        <v>139</v>
      </c>
      <c r="D15" s="24" t="n">
        <v>490000</v>
      </c>
      <c r="E15" s="24" t="n">
        <v>93100</v>
      </c>
      <c r="F15" s="24" t="n">
        <v>583100</v>
      </c>
      <c r="G15" s="23" t="s">
        <v>120</v>
      </c>
      <c r="H15" s="23" t="s">
        <v>121</v>
      </c>
    </row>
    <row r="16" customFormat="false" ht="15" hidden="false" customHeight="false" outlineLevel="0" collapsed="false">
      <c r="A16" s="23" t="s">
        <v>117</v>
      </c>
      <c r="B16" s="23" t="s">
        <v>142</v>
      </c>
      <c r="C16" s="23" t="s">
        <v>143</v>
      </c>
      <c r="D16" s="24" t="n">
        <v>2355000</v>
      </c>
      <c r="E16" s="24" t="n">
        <v>447450</v>
      </c>
      <c r="F16" s="24" t="n">
        <v>2802450</v>
      </c>
      <c r="G16" s="23" t="s">
        <v>120</v>
      </c>
      <c r="H16" s="23" t="s">
        <v>121</v>
      </c>
    </row>
    <row r="17" customFormat="false" ht="15" hidden="false" customHeight="false" outlineLevel="0" collapsed="false">
      <c r="A17" s="23" t="s">
        <v>144</v>
      </c>
      <c r="B17" s="23" t="s">
        <v>145</v>
      </c>
      <c r="C17" s="23" t="s">
        <v>146</v>
      </c>
      <c r="D17" s="24" t="n">
        <v>370000</v>
      </c>
      <c r="E17" s="24" t="n">
        <v>70300</v>
      </c>
      <c r="F17" s="24" t="n">
        <v>440300</v>
      </c>
      <c r="G17" s="23" t="s">
        <v>120</v>
      </c>
      <c r="H17" s="23" t="s">
        <v>121</v>
      </c>
    </row>
    <row r="18" customFormat="false" ht="15" hidden="false" customHeight="false" outlineLevel="0" collapsed="false">
      <c r="A18" s="23" t="s">
        <v>117</v>
      </c>
      <c r="B18" s="23" t="s">
        <v>147</v>
      </c>
      <c r="C18" s="23" t="s">
        <v>148</v>
      </c>
      <c r="D18" s="24" t="n">
        <v>679200</v>
      </c>
      <c r="E18" s="24" t="n">
        <v>129048</v>
      </c>
      <c r="F18" s="24" t="n">
        <v>808248</v>
      </c>
      <c r="G18" s="23" t="s">
        <v>120</v>
      </c>
      <c r="H18" s="23" t="s">
        <v>121</v>
      </c>
    </row>
    <row r="19" customFormat="false" ht="15" hidden="false" customHeight="false" outlineLevel="0" collapsed="false">
      <c r="A19" s="23" t="s">
        <v>127</v>
      </c>
      <c r="B19" s="23" t="s">
        <v>118</v>
      </c>
      <c r="C19" s="23" t="s">
        <v>131</v>
      </c>
      <c r="D19" s="24" t="n">
        <v>991200</v>
      </c>
      <c r="E19" s="24" t="n">
        <v>188328</v>
      </c>
      <c r="F19" s="24" t="n">
        <v>1179528</v>
      </c>
      <c r="G19" s="23" t="s">
        <v>120</v>
      </c>
      <c r="H19" s="23" t="s">
        <v>121</v>
      </c>
    </row>
    <row r="20" customFormat="false" ht="15" hidden="false" customHeight="false" outlineLevel="0" collapsed="false">
      <c r="A20" s="25" t="s">
        <v>149</v>
      </c>
      <c r="F20" s="26" t="n">
        <v>16410814</v>
      </c>
      <c r="G20" s="27" t="s">
        <v>150</v>
      </c>
    </row>
    <row r="22" customFormat="false" ht="15" hidden="false" customHeight="false" outlineLevel="0" collapsed="false">
      <c r="A22" s="21" t="s">
        <v>151</v>
      </c>
      <c r="B22" s="21"/>
      <c r="C22" s="21"/>
      <c r="D22" s="21"/>
      <c r="E22" s="21"/>
      <c r="F22" s="21"/>
      <c r="G22" s="21"/>
      <c r="H22" s="21"/>
      <c r="I22" s="21"/>
    </row>
    <row r="23" customFormat="false" ht="15" hidden="false" customHeight="false" outlineLevel="0" collapsed="false">
      <c r="A23" s="22" t="s">
        <v>152</v>
      </c>
      <c r="B23" s="22" t="s">
        <v>110</v>
      </c>
      <c r="C23" s="22" t="s">
        <v>111</v>
      </c>
      <c r="D23" s="22" t="s">
        <v>112</v>
      </c>
      <c r="E23" s="22" t="s">
        <v>113</v>
      </c>
      <c r="F23" s="22" t="s">
        <v>114</v>
      </c>
      <c r="G23" s="22" t="s">
        <v>115</v>
      </c>
      <c r="H23" s="22" t="s">
        <v>116</v>
      </c>
    </row>
    <row r="24" customFormat="false" ht="15" hidden="false" customHeight="false" outlineLevel="0" collapsed="false">
      <c r="A24" s="23" t="s">
        <v>153</v>
      </c>
      <c r="B24" s="23" t="s">
        <v>154</v>
      </c>
      <c r="C24" s="23" t="s">
        <v>155</v>
      </c>
      <c r="D24" s="24" t="n">
        <v>1528427</v>
      </c>
      <c r="E24" s="24" t="n">
        <v>290401</v>
      </c>
      <c r="F24" s="24" t="n">
        <v>2000000</v>
      </c>
      <c r="G24" s="23" t="s">
        <v>156</v>
      </c>
      <c r="H24" s="23" t="s">
        <v>157</v>
      </c>
    </row>
    <row r="25" customFormat="false" ht="15" hidden="false" customHeight="false" outlineLevel="0" collapsed="false">
      <c r="A25" s="23" t="s">
        <v>158</v>
      </c>
      <c r="B25" s="23" t="s">
        <v>159</v>
      </c>
      <c r="C25" s="23" t="s">
        <v>160</v>
      </c>
      <c r="D25" s="24" t="n">
        <v>6050</v>
      </c>
      <c r="E25" s="24" t="n">
        <v>1150</v>
      </c>
      <c r="F25" s="24" t="n">
        <v>7200</v>
      </c>
      <c r="G25" s="23" t="s">
        <v>120</v>
      </c>
      <c r="H25" s="23" t="s">
        <v>161</v>
      </c>
    </row>
    <row r="26" customFormat="false" ht="15" hidden="false" customHeight="false" outlineLevel="0" collapsed="false">
      <c r="A26" s="23" t="s">
        <v>162</v>
      </c>
      <c r="B26" s="23" t="s">
        <v>163</v>
      </c>
      <c r="C26" s="23" t="s">
        <v>155</v>
      </c>
      <c r="D26" s="24" t="n">
        <v>25538</v>
      </c>
      <c r="E26" s="24" t="n">
        <v>4852</v>
      </c>
      <c r="F26" s="24" t="n">
        <v>30390</v>
      </c>
      <c r="G26" s="23" t="s">
        <v>120</v>
      </c>
      <c r="H26" s="23" t="s">
        <v>161</v>
      </c>
    </row>
    <row r="27" customFormat="false" ht="15" hidden="false" customHeight="false" outlineLevel="0" collapsed="false">
      <c r="A27" s="23" t="s">
        <v>164</v>
      </c>
      <c r="B27" s="23" t="s">
        <v>165</v>
      </c>
      <c r="C27" s="23" t="s">
        <v>119</v>
      </c>
      <c r="D27" s="24" t="n">
        <v>85621</v>
      </c>
      <c r="E27" s="24" t="n">
        <v>16268</v>
      </c>
      <c r="F27" s="24" t="n">
        <v>101889</v>
      </c>
      <c r="G27" s="23" t="s">
        <v>120</v>
      </c>
      <c r="H27" s="23" t="s">
        <v>161</v>
      </c>
    </row>
    <row r="28" customFormat="false" ht="15" hidden="false" customHeight="false" outlineLevel="0" collapsed="false">
      <c r="A28" s="23" t="s">
        <v>166</v>
      </c>
      <c r="B28" s="23" t="s">
        <v>167</v>
      </c>
      <c r="C28" s="23" t="s">
        <v>119</v>
      </c>
      <c r="D28" s="24" t="n">
        <v>12605</v>
      </c>
      <c r="E28" s="24" t="n">
        <v>2395</v>
      </c>
      <c r="F28" s="24" t="n">
        <v>15000</v>
      </c>
      <c r="G28" s="23" t="s">
        <v>156</v>
      </c>
      <c r="H28" s="23" t="s">
        <v>168</v>
      </c>
    </row>
    <row r="29" customFormat="false" ht="15" hidden="false" customHeight="false" outlineLevel="0" collapsed="false">
      <c r="A29" s="23" t="s">
        <v>169</v>
      </c>
      <c r="B29" s="23" t="s">
        <v>170</v>
      </c>
      <c r="C29" s="23" t="s">
        <v>171</v>
      </c>
      <c r="D29" s="24" t="n">
        <v>1182683</v>
      </c>
      <c r="E29" s="24" t="n">
        <v>224710</v>
      </c>
      <c r="F29" s="24" t="n">
        <v>1407393</v>
      </c>
      <c r="G29" s="23" t="s">
        <v>120</v>
      </c>
      <c r="H29" s="23" t="s">
        <v>161</v>
      </c>
    </row>
    <row r="30" customFormat="false" ht="15" hidden="false" customHeight="false" outlineLevel="0" collapsed="false">
      <c r="A30" s="23" t="s">
        <v>158</v>
      </c>
      <c r="B30" s="23" t="s">
        <v>172</v>
      </c>
      <c r="C30" s="23" t="s">
        <v>171</v>
      </c>
      <c r="D30" s="24" t="n">
        <v>67412</v>
      </c>
      <c r="E30" s="24" t="n">
        <v>12808</v>
      </c>
      <c r="F30" s="24" t="n">
        <v>80220</v>
      </c>
      <c r="G30" s="23" t="s">
        <v>120</v>
      </c>
      <c r="H30" s="23" t="s">
        <v>161</v>
      </c>
    </row>
    <row r="31" customFormat="false" ht="15" hidden="false" customHeight="false" outlineLevel="0" collapsed="false">
      <c r="A31" s="23" t="s">
        <v>158</v>
      </c>
      <c r="B31" s="23" t="s">
        <v>173</v>
      </c>
      <c r="C31" s="23" t="s">
        <v>174</v>
      </c>
      <c r="D31" s="24" t="n">
        <v>4529</v>
      </c>
      <c r="E31" s="24" t="n">
        <v>861</v>
      </c>
      <c r="F31" s="24" t="n">
        <v>5390</v>
      </c>
      <c r="G31" s="23" t="s">
        <v>120</v>
      </c>
      <c r="H31" s="23" t="s">
        <v>161</v>
      </c>
    </row>
    <row r="32" customFormat="false" ht="15" hidden="false" customHeight="false" outlineLevel="0" collapsed="false">
      <c r="A32" s="23" t="s">
        <v>158</v>
      </c>
      <c r="B32" s="23" t="s">
        <v>175</v>
      </c>
      <c r="C32" s="23" t="s">
        <v>176</v>
      </c>
      <c r="D32" s="24" t="n">
        <v>605</v>
      </c>
      <c r="E32" s="24" t="n">
        <v>115</v>
      </c>
      <c r="F32" s="24" t="n">
        <v>720</v>
      </c>
      <c r="G32" s="23" t="s">
        <v>120</v>
      </c>
      <c r="H32" s="23" t="s">
        <v>161</v>
      </c>
    </row>
    <row r="33" customFormat="false" ht="15" hidden="false" customHeight="false" outlineLevel="0" collapsed="false">
      <c r="A33" s="23" t="s">
        <v>177</v>
      </c>
      <c r="B33" s="23" t="s">
        <v>178</v>
      </c>
      <c r="C33" s="23" t="s">
        <v>124</v>
      </c>
      <c r="D33" s="24" t="n">
        <v>315546</v>
      </c>
      <c r="E33" s="24" t="n">
        <v>59954</v>
      </c>
      <c r="F33" s="24" t="n">
        <v>375500</v>
      </c>
      <c r="G33" s="23" t="s">
        <v>120</v>
      </c>
      <c r="H33" s="23" t="s">
        <v>161</v>
      </c>
    </row>
    <row r="34" customFormat="false" ht="15" hidden="false" customHeight="false" outlineLevel="0" collapsed="false">
      <c r="A34" s="23" t="s">
        <v>158</v>
      </c>
      <c r="B34" s="23" t="s">
        <v>179</v>
      </c>
      <c r="C34" s="23" t="s">
        <v>180</v>
      </c>
      <c r="D34" s="24" t="n">
        <v>2815</v>
      </c>
      <c r="E34" s="24" t="n">
        <v>535</v>
      </c>
      <c r="F34" s="24" t="n">
        <v>3350</v>
      </c>
      <c r="G34" s="23" t="s">
        <v>120</v>
      </c>
      <c r="H34" s="23" t="s">
        <v>161</v>
      </c>
    </row>
    <row r="35" customFormat="false" ht="15" hidden="false" customHeight="false" outlineLevel="0" collapsed="false">
      <c r="A35" s="23" t="s">
        <v>158</v>
      </c>
      <c r="B35" s="23" t="s">
        <v>181</v>
      </c>
      <c r="C35" s="23" t="s">
        <v>180</v>
      </c>
      <c r="D35" s="24" t="n">
        <v>6723</v>
      </c>
      <c r="E35" s="24" t="n">
        <v>1277</v>
      </c>
      <c r="F35" s="24" t="n">
        <v>8000</v>
      </c>
      <c r="G35" s="23" t="s">
        <v>120</v>
      </c>
      <c r="H35" s="23" t="s">
        <v>161</v>
      </c>
    </row>
    <row r="36" customFormat="false" ht="15" hidden="false" customHeight="false" outlineLevel="0" collapsed="false">
      <c r="A36" s="23" t="s">
        <v>182</v>
      </c>
      <c r="B36" s="23" t="s">
        <v>183</v>
      </c>
      <c r="C36" s="23" t="s">
        <v>180</v>
      </c>
      <c r="D36" s="24" t="n">
        <v>21773</v>
      </c>
      <c r="E36" s="24" t="n">
        <v>4138</v>
      </c>
      <c r="F36" s="24" t="n">
        <v>30000</v>
      </c>
      <c r="G36" s="23" t="s">
        <v>156</v>
      </c>
      <c r="H36" s="23" t="s">
        <v>184</v>
      </c>
    </row>
    <row r="37" customFormat="false" ht="15" hidden="false" customHeight="false" outlineLevel="0" collapsed="false">
      <c r="A37" s="23" t="s">
        <v>153</v>
      </c>
      <c r="B37" s="23" t="s">
        <v>185</v>
      </c>
      <c r="C37" s="23" t="s">
        <v>180</v>
      </c>
      <c r="D37" s="24" t="n">
        <v>718463</v>
      </c>
      <c r="E37" s="24" t="n">
        <v>136508</v>
      </c>
      <c r="F37" s="24" t="n">
        <v>1000000</v>
      </c>
      <c r="G37" s="23" t="s">
        <v>156</v>
      </c>
      <c r="H37" s="23" t="s">
        <v>186</v>
      </c>
    </row>
    <row r="38" customFormat="false" ht="15" hidden="false" customHeight="false" outlineLevel="0" collapsed="false">
      <c r="A38" s="23" t="s">
        <v>158</v>
      </c>
      <c r="B38" s="23" t="s">
        <v>187</v>
      </c>
      <c r="C38" s="23" t="s">
        <v>180</v>
      </c>
      <c r="D38" s="24" t="n">
        <v>34622</v>
      </c>
      <c r="E38" s="24" t="n">
        <v>6578</v>
      </c>
      <c r="F38" s="24" t="n">
        <v>41200</v>
      </c>
      <c r="G38" s="23" t="s">
        <v>120</v>
      </c>
      <c r="H38" s="23" t="s">
        <v>161</v>
      </c>
    </row>
    <row r="39" customFormat="false" ht="15" hidden="false" customHeight="false" outlineLevel="0" collapsed="false">
      <c r="A39" s="23" t="s">
        <v>188</v>
      </c>
      <c r="B39" s="23" t="s">
        <v>189</v>
      </c>
      <c r="C39" s="23" t="s">
        <v>126</v>
      </c>
      <c r="D39" s="24" t="n">
        <v>73109</v>
      </c>
      <c r="E39" s="24" t="n">
        <v>13891</v>
      </c>
      <c r="F39" s="24" t="n">
        <v>87000</v>
      </c>
      <c r="G39" s="23" t="s">
        <v>156</v>
      </c>
      <c r="H39" s="23" t="s">
        <v>190</v>
      </c>
    </row>
    <row r="40" customFormat="false" ht="15" hidden="false" customHeight="false" outlineLevel="0" collapsed="false">
      <c r="A40" s="23" t="s">
        <v>191</v>
      </c>
      <c r="B40" s="23" t="s">
        <v>192</v>
      </c>
      <c r="C40" s="23" t="s">
        <v>126</v>
      </c>
      <c r="D40" s="24" t="n">
        <v>81899</v>
      </c>
      <c r="E40" s="24" t="n">
        <v>15561</v>
      </c>
      <c r="F40" s="24" t="n">
        <v>97460</v>
      </c>
      <c r="G40" s="23" t="s">
        <v>120</v>
      </c>
      <c r="H40" s="23" t="s">
        <v>161</v>
      </c>
    </row>
    <row r="41" customFormat="false" ht="15" hidden="false" customHeight="false" outlineLevel="0" collapsed="false">
      <c r="A41" s="23" t="s">
        <v>193</v>
      </c>
      <c r="B41" s="23" t="s">
        <v>194</v>
      </c>
      <c r="C41" s="23" t="s">
        <v>126</v>
      </c>
      <c r="D41" s="24" t="n">
        <v>117630</v>
      </c>
      <c r="E41" s="24" t="n">
        <v>22350</v>
      </c>
      <c r="F41" s="24" t="n">
        <v>139980</v>
      </c>
      <c r="G41" s="23" t="s">
        <v>156</v>
      </c>
      <c r="H41" s="23" t="s">
        <v>195</v>
      </c>
    </row>
    <row r="42" customFormat="false" ht="15" hidden="false" customHeight="false" outlineLevel="0" collapsed="false">
      <c r="A42" s="23" t="s">
        <v>196</v>
      </c>
      <c r="B42" s="23" t="s">
        <v>197</v>
      </c>
      <c r="C42" s="23" t="s">
        <v>198</v>
      </c>
      <c r="D42" s="24" t="n">
        <v>29916</v>
      </c>
      <c r="E42" s="24" t="n">
        <v>5684</v>
      </c>
      <c r="F42" s="24" t="n">
        <v>35600</v>
      </c>
      <c r="G42" s="23" t="s">
        <v>120</v>
      </c>
      <c r="H42" s="23" t="s">
        <v>161</v>
      </c>
    </row>
    <row r="43" customFormat="false" ht="15" hidden="false" customHeight="false" outlineLevel="0" collapsed="false">
      <c r="A43" s="23" t="s">
        <v>191</v>
      </c>
      <c r="B43" s="23" t="s">
        <v>199</v>
      </c>
      <c r="C43" s="23" t="s">
        <v>198</v>
      </c>
      <c r="D43" s="24" t="n">
        <v>62000</v>
      </c>
      <c r="E43" s="24" t="n">
        <v>11780</v>
      </c>
      <c r="F43" s="24" t="n">
        <v>73780</v>
      </c>
      <c r="G43" s="23" t="s">
        <v>120</v>
      </c>
      <c r="H43" s="23" t="s">
        <v>161</v>
      </c>
    </row>
    <row r="44" customFormat="false" ht="15" hidden="false" customHeight="false" outlineLevel="0" collapsed="false">
      <c r="A44" s="23" t="s">
        <v>158</v>
      </c>
      <c r="B44" s="23" t="s">
        <v>200</v>
      </c>
      <c r="C44" s="23" t="s">
        <v>201</v>
      </c>
      <c r="D44" s="24" t="n">
        <v>122574</v>
      </c>
      <c r="E44" s="24" t="n">
        <v>23289</v>
      </c>
      <c r="F44" s="24" t="n">
        <v>145863</v>
      </c>
      <c r="G44" s="23" t="s">
        <v>120</v>
      </c>
      <c r="H44" s="23" t="s">
        <v>161</v>
      </c>
    </row>
    <row r="45" customFormat="false" ht="15" hidden="false" customHeight="false" outlineLevel="0" collapsed="false">
      <c r="A45" s="23" t="s">
        <v>158</v>
      </c>
      <c r="B45" s="23" t="s">
        <v>202</v>
      </c>
      <c r="C45" s="23" t="s">
        <v>201</v>
      </c>
      <c r="D45" s="24" t="n">
        <v>35163</v>
      </c>
      <c r="E45" s="24" t="n">
        <v>6681</v>
      </c>
      <c r="F45" s="24" t="n">
        <v>41844</v>
      </c>
      <c r="G45" s="23" t="s">
        <v>120</v>
      </c>
      <c r="H45" s="23" t="s">
        <v>161</v>
      </c>
    </row>
    <row r="46" customFormat="false" ht="15" hidden="false" customHeight="false" outlineLevel="0" collapsed="false">
      <c r="A46" s="23" t="s">
        <v>193</v>
      </c>
      <c r="B46" s="23" t="s">
        <v>203</v>
      </c>
      <c r="C46" s="23" t="s">
        <v>201</v>
      </c>
      <c r="D46" s="24" t="n">
        <v>117630</v>
      </c>
      <c r="E46" s="24" t="n">
        <v>22350</v>
      </c>
      <c r="F46" s="24" t="n">
        <v>139980</v>
      </c>
      <c r="G46" s="23" t="s">
        <v>120</v>
      </c>
      <c r="H46" s="23" t="s">
        <v>161</v>
      </c>
    </row>
    <row r="47" customFormat="false" ht="15" hidden="false" customHeight="false" outlineLevel="0" collapsed="false">
      <c r="A47" s="23" t="s">
        <v>153</v>
      </c>
      <c r="B47" s="23" t="s">
        <v>204</v>
      </c>
      <c r="C47" s="23" t="s">
        <v>201</v>
      </c>
      <c r="D47" s="24" t="n">
        <v>1392883</v>
      </c>
      <c r="E47" s="24" t="n">
        <v>264648</v>
      </c>
      <c r="F47" s="24" t="n">
        <v>2000000</v>
      </c>
      <c r="G47" s="23" t="s">
        <v>156</v>
      </c>
      <c r="H47" s="23" t="s">
        <v>205</v>
      </c>
    </row>
    <row r="48" customFormat="false" ht="15" hidden="false" customHeight="false" outlineLevel="0" collapsed="false">
      <c r="A48" s="23" t="s">
        <v>206</v>
      </c>
      <c r="B48" s="23" t="s">
        <v>207</v>
      </c>
      <c r="C48" s="23" t="s">
        <v>208</v>
      </c>
      <c r="D48" s="24" t="n">
        <v>21140</v>
      </c>
      <c r="E48" s="24" t="n">
        <v>4017</v>
      </c>
      <c r="F48" s="24" t="n">
        <v>30010</v>
      </c>
      <c r="G48" s="23" t="s">
        <v>120</v>
      </c>
      <c r="H48" s="23" t="s">
        <v>161</v>
      </c>
    </row>
    <row r="49" customFormat="false" ht="15" hidden="false" customHeight="false" outlineLevel="0" collapsed="false">
      <c r="A49" s="23" t="s">
        <v>158</v>
      </c>
      <c r="B49" s="23" t="s">
        <v>209</v>
      </c>
      <c r="C49" s="23" t="s">
        <v>201</v>
      </c>
      <c r="D49" s="24" t="n">
        <v>8899</v>
      </c>
      <c r="E49" s="24" t="n">
        <v>1691</v>
      </c>
      <c r="F49" s="24" t="n">
        <v>10590</v>
      </c>
      <c r="G49" s="23" t="s">
        <v>120</v>
      </c>
      <c r="H49" s="23" t="s">
        <v>161</v>
      </c>
    </row>
    <row r="50" customFormat="false" ht="15" hidden="false" customHeight="false" outlineLevel="0" collapsed="false">
      <c r="A50" s="23" t="s">
        <v>158</v>
      </c>
      <c r="B50" s="23" t="s">
        <v>210</v>
      </c>
      <c r="C50" s="23" t="s">
        <v>208</v>
      </c>
      <c r="D50" s="24" t="n">
        <v>344279</v>
      </c>
      <c r="E50" s="24" t="n">
        <v>65413</v>
      </c>
      <c r="F50" s="24" t="n">
        <v>409692</v>
      </c>
      <c r="G50" s="23" t="s">
        <v>156</v>
      </c>
      <c r="H50" s="23" t="s">
        <v>211</v>
      </c>
    </row>
    <row r="51" customFormat="false" ht="15" hidden="false" customHeight="false" outlineLevel="0" collapsed="false">
      <c r="A51" s="23" t="s">
        <v>212</v>
      </c>
      <c r="B51" s="23" t="s">
        <v>213</v>
      </c>
      <c r="C51" s="23" t="s">
        <v>214</v>
      </c>
      <c r="D51" s="24" t="n">
        <v>16846</v>
      </c>
      <c r="E51" s="24" t="n">
        <v>3201</v>
      </c>
      <c r="F51" s="24" t="n">
        <v>30000</v>
      </c>
      <c r="G51" s="23" t="s">
        <v>156</v>
      </c>
      <c r="H51" s="23" t="s">
        <v>215</v>
      </c>
    </row>
    <row r="52" customFormat="false" ht="15" hidden="false" customHeight="false" outlineLevel="0" collapsed="false">
      <c r="A52" s="23" t="s">
        <v>216</v>
      </c>
      <c r="B52" s="23" t="s">
        <v>217</v>
      </c>
      <c r="C52" s="23" t="s">
        <v>214</v>
      </c>
      <c r="D52" s="24" t="n">
        <v>92269</v>
      </c>
      <c r="E52" s="24" t="n">
        <v>17531</v>
      </c>
      <c r="F52" s="24" t="n">
        <v>109800</v>
      </c>
      <c r="G52" s="23" t="s">
        <v>156</v>
      </c>
      <c r="H52" s="23" t="s">
        <v>218</v>
      </c>
    </row>
    <row r="53" customFormat="false" ht="15" hidden="false" customHeight="false" outlineLevel="0" collapsed="false">
      <c r="A53" s="23" t="s">
        <v>219</v>
      </c>
      <c r="B53" s="23" t="s">
        <v>220</v>
      </c>
      <c r="C53" s="23" t="s">
        <v>214</v>
      </c>
      <c r="D53" s="24" t="n">
        <v>117647</v>
      </c>
      <c r="E53" s="24" t="n">
        <v>22353</v>
      </c>
      <c r="F53" s="24" t="n">
        <v>140000</v>
      </c>
      <c r="G53" s="23" t="s">
        <v>156</v>
      </c>
      <c r="H53" s="23" t="s">
        <v>221</v>
      </c>
    </row>
    <row r="54" customFormat="false" ht="15" hidden="false" customHeight="false" outlineLevel="0" collapsed="false">
      <c r="A54" s="23" t="s">
        <v>222</v>
      </c>
      <c r="B54" s="23" t="s">
        <v>223</v>
      </c>
      <c r="C54" s="23" t="s">
        <v>214</v>
      </c>
      <c r="D54" s="24" t="n">
        <v>10084</v>
      </c>
      <c r="E54" s="24" t="n">
        <v>1916</v>
      </c>
      <c r="F54" s="24" t="n">
        <v>12000</v>
      </c>
      <c r="G54" s="23" t="s">
        <v>156</v>
      </c>
      <c r="H54" s="23" t="s">
        <v>224</v>
      </c>
    </row>
    <row r="55" customFormat="false" ht="15" hidden="false" customHeight="false" outlineLevel="0" collapsed="false">
      <c r="A55" s="23" t="s">
        <v>225</v>
      </c>
      <c r="B55" s="23" t="s">
        <v>226</v>
      </c>
      <c r="C55" s="23" t="s">
        <v>214</v>
      </c>
      <c r="D55" s="24" t="n">
        <v>126050</v>
      </c>
      <c r="E55" s="24" t="n">
        <v>23950</v>
      </c>
      <c r="F55" s="24" t="n">
        <v>150000</v>
      </c>
      <c r="G55" s="23" t="s">
        <v>156</v>
      </c>
      <c r="H55" s="23" t="s">
        <v>227</v>
      </c>
    </row>
    <row r="56" customFormat="false" ht="15" hidden="false" customHeight="false" outlineLevel="0" collapsed="false">
      <c r="A56" s="23" t="s">
        <v>228</v>
      </c>
      <c r="B56" s="23" t="s">
        <v>229</v>
      </c>
      <c r="C56" s="23" t="s">
        <v>131</v>
      </c>
      <c r="D56" s="24" t="n">
        <v>315484</v>
      </c>
      <c r="E56" s="24" t="n">
        <v>59942</v>
      </c>
      <c r="F56" s="24" t="n">
        <v>375426</v>
      </c>
      <c r="G56" s="23" t="s">
        <v>120</v>
      </c>
      <c r="H56" s="23" t="s">
        <v>161</v>
      </c>
    </row>
    <row r="57" customFormat="false" ht="15" hidden="false" customHeight="false" outlineLevel="0" collapsed="false">
      <c r="A57" s="23" t="s">
        <v>230</v>
      </c>
      <c r="B57" s="23" t="s">
        <v>231</v>
      </c>
      <c r="C57" s="23" t="s">
        <v>232</v>
      </c>
      <c r="D57" s="24" t="n">
        <v>454</v>
      </c>
      <c r="E57" s="24" t="n">
        <v>86</v>
      </c>
      <c r="F57" s="24" t="n">
        <v>540</v>
      </c>
      <c r="G57" s="23" t="s">
        <v>120</v>
      </c>
      <c r="H57" s="23" t="s">
        <v>161</v>
      </c>
    </row>
    <row r="58" customFormat="false" ht="15" hidden="false" customHeight="false" outlineLevel="0" collapsed="false">
      <c r="A58" s="23" t="s">
        <v>158</v>
      </c>
      <c r="B58" s="23" t="s">
        <v>233</v>
      </c>
      <c r="C58" s="23" t="s">
        <v>232</v>
      </c>
      <c r="D58" s="24" t="n">
        <v>58030</v>
      </c>
      <c r="E58" s="24" t="n">
        <v>11026</v>
      </c>
      <c r="F58" s="24" t="n">
        <v>69056</v>
      </c>
      <c r="G58" s="23" t="s">
        <v>120</v>
      </c>
      <c r="H58" s="23" t="s">
        <v>161</v>
      </c>
    </row>
    <row r="59" customFormat="false" ht="15" hidden="false" customHeight="false" outlineLevel="0" collapsed="false">
      <c r="A59" s="23" t="s">
        <v>158</v>
      </c>
      <c r="B59" s="23" t="s">
        <v>234</v>
      </c>
      <c r="C59" s="23" t="s">
        <v>232</v>
      </c>
      <c r="D59" s="24" t="n">
        <v>75584</v>
      </c>
      <c r="E59" s="24" t="n">
        <v>14361</v>
      </c>
      <c r="F59" s="24" t="n">
        <v>89945</v>
      </c>
      <c r="G59" s="23" t="s">
        <v>120</v>
      </c>
      <c r="H59" s="23" t="s">
        <v>161</v>
      </c>
    </row>
    <row r="60" customFormat="false" ht="15" hidden="false" customHeight="false" outlineLevel="0" collapsed="false">
      <c r="A60" s="23" t="s">
        <v>235</v>
      </c>
      <c r="B60" s="23" t="s">
        <v>236</v>
      </c>
      <c r="C60" s="23" t="s">
        <v>232</v>
      </c>
      <c r="D60" s="24" t="n">
        <v>36553</v>
      </c>
      <c r="E60" s="24" t="n">
        <v>6945</v>
      </c>
      <c r="F60" s="24" t="n">
        <v>43498</v>
      </c>
      <c r="G60" s="23" t="s">
        <v>156</v>
      </c>
      <c r="H60" s="23" t="s">
        <v>237</v>
      </c>
    </row>
    <row r="61" customFormat="false" ht="15" hidden="false" customHeight="false" outlineLevel="0" collapsed="false">
      <c r="A61" s="23" t="s">
        <v>235</v>
      </c>
      <c r="B61" s="23" t="s">
        <v>238</v>
      </c>
      <c r="C61" s="23" t="s">
        <v>232</v>
      </c>
      <c r="D61" s="24" t="n">
        <v>23530</v>
      </c>
      <c r="E61" s="24" t="n">
        <v>4471</v>
      </c>
      <c r="F61" s="24" t="n">
        <v>28001</v>
      </c>
      <c r="G61" s="23" t="s">
        <v>156</v>
      </c>
      <c r="H61" s="23" t="s">
        <v>237</v>
      </c>
    </row>
    <row r="62" customFormat="false" ht="15" hidden="false" customHeight="false" outlineLevel="0" collapsed="false">
      <c r="A62" s="23" t="s">
        <v>239</v>
      </c>
      <c r="B62" s="23" t="s">
        <v>240</v>
      </c>
      <c r="C62" s="23" t="s">
        <v>232</v>
      </c>
      <c r="D62" s="24" t="n">
        <v>189000</v>
      </c>
      <c r="E62" s="24" t="n">
        <v>35910</v>
      </c>
      <c r="F62" s="24" t="n">
        <v>224910</v>
      </c>
      <c r="G62" s="23" t="s">
        <v>156</v>
      </c>
      <c r="H62" s="23" t="s">
        <v>241</v>
      </c>
    </row>
    <row r="63" customFormat="false" ht="15" hidden="false" customHeight="false" outlineLevel="0" collapsed="false">
      <c r="A63" s="23" t="s">
        <v>242</v>
      </c>
      <c r="B63" s="23" t="s">
        <v>243</v>
      </c>
      <c r="C63" s="23" t="s">
        <v>244</v>
      </c>
      <c r="D63" s="24" t="n">
        <v>17770</v>
      </c>
      <c r="E63" s="24" t="n">
        <v>3376</v>
      </c>
      <c r="F63" s="24" t="n">
        <v>21146</v>
      </c>
      <c r="G63" s="23" t="s">
        <v>120</v>
      </c>
      <c r="H63" s="23" t="s">
        <v>161</v>
      </c>
    </row>
    <row r="64" customFormat="false" ht="15" hidden="false" customHeight="false" outlineLevel="0" collapsed="false">
      <c r="A64" s="23" t="s">
        <v>245</v>
      </c>
      <c r="B64" s="23" t="s">
        <v>246</v>
      </c>
      <c r="C64" s="23" t="s">
        <v>244</v>
      </c>
      <c r="D64" s="24" t="n">
        <v>110397</v>
      </c>
      <c r="E64" s="24" t="n">
        <v>20976</v>
      </c>
      <c r="F64" s="24" t="n">
        <v>131373</v>
      </c>
      <c r="G64" s="23" t="s">
        <v>120</v>
      </c>
      <c r="H64" s="23" t="s">
        <v>161</v>
      </c>
    </row>
    <row r="65" customFormat="false" ht="15" hidden="false" customHeight="false" outlineLevel="0" collapsed="false">
      <c r="A65" s="23" t="s">
        <v>158</v>
      </c>
      <c r="B65" s="23" t="s">
        <v>247</v>
      </c>
      <c r="C65" s="23" t="s">
        <v>244</v>
      </c>
      <c r="D65" s="24" t="n">
        <v>5983</v>
      </c>
      <c r="E65" s="24" t="n">
        <v>1137</v>
      </c>
      <c r="F65" s="24" t="n">
        <v>7120</v>
      </c>
      <c r="G65" s="23" t="s">
        <v>120</v>
      </c>
      <c r="H65" s="23" t="s">
        <v>161</v>
      </c>
    </row>
    <row r="66" customFormat="false" ht="15" hidden="false" customHeight="false" outlineLevel="0" collapsed="false">
      <c r="A66" s="23" t="s">
        <v>158</v>
      </c>
      <c r="B66" s="23" t="s">
        <v>248</v>
      </c>
      <c r="C66" s="23" t="s">
        <v>244</v>
      </c>
      <c r="D66" s="24" t="n">
        <v>11496</v>
      </c>
      <c r="E66" s="24" t="n">
        <v>2184</v>
      </c>
      <c r="F66" s="24" t="n">
        <v>13680</v>
      </c>
      <c r="G66" s="23" t="s">
        <v>120</v>
      </c>
      <c r="H66" s="23" t="s">
        <v>161</v>
      </c>
    </row>
    <row r="67" customFormat="false" ht="15" hidden="false" customHeight="false" outlineLevel="0" collapsed="false">
      <c r="A67" s="23" t="s">
        <v>158</v>
      </c>
      <c r="B67" s="23" t="s">
        <v>249</v>
      </c>
      <c r="C67" s="23" t="s">
        <v>250</v>
      </c>
      <c r="D67" s="24" t="n">
        <v>11033</v>
      </c>
      <c r="E67" s="24" t="n">
        <v>2096</v>
      </c>
      <c r="F67" s="24" t="n">
        <v>13129</v>
      </c>
      <c r="G67" s="23" t="s">
        <v>120</v>
      </c>
      <c r="H67" s="23" t="s">
        <v>161</v>
      </c>
    </row>
    <row r="68" customFormat="false" ht="15" hidden="false" customHeight="false" outlineLevel="0" collapsed="false">
      <c r="A68" s="23" t="s">
        <v>169</v>
      </c>
      <c r="B68" s="23" t="s">
        <v>251</v>
      </c>
      <c r="C68" s="23" t="s">
        <v>252</v>
      </c>
      <c r="D68" s="24" t="n">
        <v>99955</v>
      </c>
      <c r="E68" s="24" t="n">
        <v>18991</v>
      </c>
      <c r="F68" s="24" t="n">
        <v>118946</v>
      </c>
      <c r="G68" s="23" t="s">
        <v>120</v>
      </c>
      <c r="H68" s="23" t="s">
        <v>161</v>
      </c>
    </row>
    <row r="69" customFormat="false" ht="15" hidden="false" customHeight="false" outlineLevel="0" collapsed="false">
      <c r="A69" s="23" t="s">
        <v>253</v>
      </c>
      <c r="B69" s="23" t="s">
        <v>254</v>
      </c>
      <c r="C69" s="23" t="s">
        <v>255</v>
      </c>
      <c r="D69" s="24" t="n">
        <v>9580</v>
      </c>
      <c r="E69" s="24" t="n">
        <v>1820</v>
      </c>
      <c r="F69" s="24" t="n">
        <v>11400</v>
      </c>
      <c r="G69" s="23" t="s">
        <v>156</v>
      </c>
      <c r="H69" s="23" t="s">
        <v>256</v>
      </c>
    </row>
    <row r="70" customFormat="false" ht="15" hidden="false" customHeight="false" outlineLevel="0" collapsed="false">
      <c r="A70" s="23" t="s">
        <v>153</v>
      </c>
      <c r="B70" s="23" t="s">
        <v>257</v>
      </c>
      <c r="C70" s="23" t="s">
        <v>139</v>
      </c>
      <c r="D70" s="24" t="n">
        <v>153165</v>
      </c>
      <c r="E70" s="24" t="n">
        <v>29102</v>
      </c>
      <c r="F70" s="24" t="n">
        <v>200000</v>
      </c>
      <c r="G70" s="23" t="s">
        <v>156</v>
      </c>
      <c r="H70" s="23" t="s">
        <v>258</v>
      </c>
    </row>
    <row r="71" customFormat="false" ht="15" hidden="false" customHeight="false" outlineLevel="0" collapsed="false">
      <c r="A71" s="23" t="s">
        <v>158</v>
      </c>
      <c r="B71" s="23" t="s">
        <v>259</v>
      </c>
      <c r="C71" s="23" t="s">
        <v>139</v>
      </c>
      <c r="D71" s="24" t="n">
        <v>3571</v>
      </c>
      <c r="E71" s="24" t="n">
        <v>678</v>
      </c>
      <c r="F71" s="24" t="n">
        <v>4249</v>
      </c>
      <c r="G71" s="23" t="s">
        <v>120</v>
      </c>
      <c r="H71" s="23" t="s">
        <v>161</v>
      </c>
    </row>
    <row r="72" customFormat="false" ht="15" hidden="false" customHeight="false" outlineLevel="0" collapsed="false">
      <c r="A72" s="23" t="s">
        <v>158</v>
      </c>
      <c r="B72" s="23" t="s">
        <v>260</v>
      </c>
      <c r="C72" s="23" t="s">
        <v>139</v>
      </c>
      <c r="D72" s="24" t="n">
        <v>5311</v>
      </c>
      <c r="E72" s="24" t="n">
        <v>1009</v>
      </c>
      <c r="F72" s="24" t="n">
        <v>6320</v>
      </c>
      <c r="G72" s="23" t="s">
        <v>120</v>
      </c>
      <c r="H72" s="23" t="s">
        <v>161</v>
      </c>
    </row>
    <row r="73" customFormat="false" ht="15" hidden="false" customHeight="false" outlineLevel="0" collapsed="false">
      <c r="A73" s="23" t="s">
        <v>158</v>
      </c>
      <c r="B73" s="23" t="s">
        <v>261</v>
      </c>
      <c r="C73" s="23" t="s">
        <v>139</v>
      </c>
      <c r="D73" s="24" t="n">
        <v>18007</v>
      </c>
      <c r="E73" s="24" t="n">
        <v>3421</v>
      </c>
      <c r="F73" s="24" t="n">
        <v>21428</v>
      </c>
      <c r="G73" s="23" t="s">
        <v>120</v>
      </c>
      <c r="H73" s="23" t="s">
        <v>161</v>
      </c>
    </row>
    <row r="74" customFormat="false" ht="15" hidden="false" customHeight="false" outlineLevel="0" collapsed="false">
      <c r="A74" s="23" t="s">
        <v>262</v>
      </c>
      <c r="B74" s="23" t="s">
        <v>263</v>
      </c>
      <c r="C74" s="23" t="s">
        <v>264</v>
      </c>
      <c r="D74" s="24" t="n">
        <v>77442</v>
      </c>
      <c r="E74" s="24" t="n">
        <v>14714</v>
      </c>
      <c r="F74" s="24" t="n">
        <v>100000</v>
      </c>
      <c r="G74" s="23" t="s">
        <v>156</v>
      </c>
      <c r="H74" s="23" t="s">
        <v>265</v>
      </c>
    </row>
    <row r="75" customFormat="false" ht="15" hidden="false" customHeight="false" outlineLevel="0" collapsed="false">
      <c r="A75" s="23" t="s">
        <v>158</v>
      </c>
      <c r="B75" s="23" t="s">
        <v>266</v>
      </c>
      <c r="C75" s="23" t="s">
        <v>264</v>
      </c>
      <c r="D75" s="24" t="n">
        <v>5247</v>
      </c>
      <c r="E75" s="24" t="n">
        <v>997</v>
      </c>
      <c r="F75" s="24" t="n">
        <v>6244</v>
      </c>
      <c r="G75" s="23" t="s">
        <v>120</v>
      </c>
      <c r="H75" s="23" t="s">
        <v>161</v>
      </c>
    </row>
    <row r="76" customFormat="false" ht="15" hidden="false" customHeight="false" outlineLevel="0" collapsed="false">
      <c r="A76" s="23" t="s">
        <v>225</v>
      </c>
      <c r="B76" s="23" t="s">
        <v>267</v>
      </c>
      <c r="C76" s="23" t="s">
        <v>264</v>
      </c>
      <c r="D76" s="24" t="n">
        <v>65000</v>
      </c>
      <c r="E76" s="24" t="n">
        <v>12350</v>
      </c>
      <c r="F76" s="24" t="n">
        <v>77350</v>
      </c>
      <c r="G76" s="23" t="s">
        <v>156</v>
      </c>
      <c r="H76" s="23" t="s">
        <v>268</v>
      </c>
    </row>
    <row r="77" customFormat="false" ht="15" hidden="false" customHeight="false" outlineLevel="0" collapsed="false">
      <c r="A77" s="23" t="s">
        <v>269</v>
      </c>
      <c r="B77" s="23" t="s">
        <v>270</v>
      </c>
      <c r="C77" s="23" t="s">
        <v>264</v>
      </c>
      <c r="D77" s="24" t="n">
        <v>8403</v>
      </c>
      <c r="E77" s="24" t="n">
        <v>1597</v>
      </c>
      <c r="F77" s="24" t="n">
        <v>10000</v>
      </c>
      <c r="G77" s="23" t="s">
        <v>156</v>
      </c>
      <c r="H77" s="23" t="s">
        <v>271</v>
      </c>
    </row>
    <row r="78" customFormat="false" ht="15" hidden="false" customHeight="false" outlineLevel="0" collapsed="false">
      <c r="A78" s="23" t="s">
        <v>153</v>
      </c>
      <c r="B78" s="23" t="s">
        <v>272</v>
      </c>
      <c r="C78" s="23" t="s">
        <v>143</v>
      </c>
      <c r="D78" s="24" t="n">
        <v>1148745</v>
      </c>
      <c r="E78" s="24" t="n">
        <v>218261</v>
      </c>
      <c r="F78" s="24" t="n">
        <v>1500000</v>
      </c>
      <c r="G78" s="23" t="s">
        <v>156</v>
      </c>
      <c r="H78" s="23" t="s">
        <v>273</v>
      </c>
    </row>
    <row r="79" customFormat="false" ht="15" hidden="false" customHeight="false" outlineLevel="0" collapsed="false">
      <c r="A79" s="23" t="s">
        <v>158</v>
      </c>
      <c r="B79" s="23" t="s">
        <v>274</v>
      </c>
      <c r="C79" s="23" t="s">
        <v>143</v>
      </c>
      <c r="D79" s="24" t="n">
        <v>11815</v>
      </c>
      <c r="E79" s="24" t="n">
        <v>2245</v>
      </c>
      <c r="F79" s="24" t="n">
        <v>14060</v>
      </c>
      <c r="G79" s="23" t="s">
        <v>120</v>
      </c>
      <c r="H79" s="23" t="s">
        <v>161</v>
      </c>
    </row>
    <row r="80" customFormat="false" ht="15" hidden="false" customHeight="false" outlineLevel="0" collapsed="false">
      <c r="A80" s="23" t="s">
        <v>275</v>
      </c>
      <c r="B80" s="23" t="s">
        <v>276</v>
      </c>
      <c r="C80" s="23" t="s">
        <v>277</v>
      </c>
      <c r="D80" s="24" t="n">
        <v>46782</v>
      </c>
      <c r="E80" s="24" t="n">
        <v>8888</v>
      </c>
      <c r="F80" s="24" t="n">
        <v>55670</v>
      </c>
      <c r="G80" s="23" t="s">
        <v>120</v>
      </c>
      <c r="H80" s="23" t="s">
        <v>161</v>
      </c>
    </row>
    <row r="81" customFormat="false" ht="15" hidden="false" customHeight="false" outlineLevel="0" collapsed="false">
      <c r="A81" s="23" t="s">
        <v>262</v>
      </c>
      <c r="B81" s="23" t="s">
        <v>278</v>
      </c>
      <c r="C81" s="23" t="s">
        <v>146</v>
      </c>
      <c r="D81" s="24" t="n">
        <v>34433</v>
      </c>
      <c r="E81" s="24" t="n">
        <v>5567</v>
      </c>
      <c r="F81" s="24" t="n">
        <v>40000</v>
      </c>
      <c r="G81" s="23" t="s">
        <v>156</v>
      </c>
      <c r="H81" s="23" t="s">
        <v>279</v>
      </c>
    </row>
    <row r="82" customFormat="false" ht="15" hidden="false" customHeight="false" outlineLevel="0" collapsed="false">
      <c r="A82" s="23" t="s">
        <v>280</v>
      </c>
      <c r="B82" s="23" t="s">
        <v>281</v>
      </c>
      <c r="C82" s="23" t="s">
        <v>146</v>
      </c>
      <c r="D82" s="24" t="n">
        <v>23529</v>
      </c>
      <c r="E82" s="24" t="n">
        <v>4471</v>
      </c>
      <c r="F82" s="24" t="n">
        <v>28000</v>
      </c>
      <c r="G82" s="23" t="s">
        <v>120</v>
      </c>
      <c r="H82" s="23" t="s">
        <v>161</v>
      </c>
    </row>
    <row r="83" customFormat="false" ht="15" hidden="false" customHeight="false" outlineLevel="0" collapsed="false">
      <c r="A83" s="23" t="s">
        <v>158</v>
      </c>
      <c r="B83" s="23" t="s">
        <v>282</v>
      </c>
      <c r="C83" s="23" t="s">
        <v>146</v>
      </c>
      <c r="D83" s="24" t="n">
        <v>66399</v>
      </c>
      <c r="E83" s="24" t="n">
        <v>12616</v>
      </c>
      <c r="F83" s="24" t="n">
        <v>79015</v>
      </c>
      <c r="G83" s="23" t="s">
        <v>120</v>
      </c>
      <c r="H83" s="23" t="s">
        <v>161</v>
      </c>
    </row>
    <row r="84" customFormat="false" ht="15" hidden="false" customHeight="false" outlineLevel="0" collapsed="false">
      <c r="A84" s="23" t="s">
        <v>158</v>
      </c>
      <c r="B84" s="23" t="s">
        <v>283</v>
      </c>
      <c r="C84" s="23" t="s">
        <v>146</v>
      </c>
      <c r="D84" s="24" t="n">
        <v>6788</v>
      </c>
      <c r="E84" s="24" t="n">
        <v>1290</v>
      </c>
      <c r="F84" s="24" t="n">
        <v>8078</v>
      </c>
      <c r="G84" s="23" t="s">
        <v>120</v>
      </c>
      <c r="H84" s="23" t="s">
        <v>161</v>
      </c>
    </row>
    <row r="85" customFormat="false" ht="15" hidden="false" customHeight="false" outlineLevel="0" collapsed="false">
      <c r="A85" s="23" t="s">
        <v>182</v>
      </c>
      <c r="B85" s="23" t="s">
        <v>284</v>
      </c>
      <c r="C85" s="23" t="s">
        <v>146</v>
      </c>
      <c r="D85" s="24" t="n">
        <v>22779</v>
      </c>
      <c r="E85" s="24" t="n">
        <v>4329</v>
      </c>
      <c r="F85" s="24" t="n">
        <v>40000</v>
      </c>
      <c r="G85" s="23" t="s">
        <v>120</v>
      </c>
      <c r="H85" s="23" t="s">
        <v>161</v>
      </c>
    </row>
    <row r="86" customFormat="false" ht="15" hidden="false" customHeight="false" outlineLevel="0" collapsed="false">
      <c r="A86" s="23" t="s">
        <v>219</v>
      </c>
      <c r="B86" s="23" t="s">
        <v>285</v>
      </c>
      <c r="C86" s="23" t="s">
        <v>286</v>
      </c>
      <c r="D86" s="24" t="n">
        <v>23529</v>
      </c>
      <c r="E86" s="24" t="n">
        <v>4471</v>
      </c>
      <c r="F86" s="24" t="n">
        <v>28000</v>
      </c>
      <c r="G86" s="23" t="s">
        <v>120</v>
      </c>
      <c r="H86" s="23" t="s">
        <v>161</v>
      </c>
    </row>
    <row r="87" customFormat="false" ht="15" hidden="false" customHeight="false" outlineLevel="0" collapsed="false">
      <c r="A87" s="23" t="s">
        <v>235</v>
      </c>
      <c r="B87" s="23" t="s">
        <v>287</v>
      </c>
      <c r="C87" s="23" t="s">
        <v>286</v>
      </c>
      <c r="D87" s="24" t="n">
        <v>46218</v>
      </c>
      <c r="E87" s="24" t="n">
        <v>8781</v>
      </c>
      <c r="F87" s="24" t="n">
        <v>54999</v>
      </c>
      <c r="G87" s="23" t="s">
        <v>120</v>
      </c>
      <c r="H87" s="23" t="s">
        <v>161</v>
      </c>
    </row>
    <row r="88" customFormat="false" ht="15" hidden="false" customHeight="false" outlineLevel="0" collapsed="false">
      <c r="A88" s="23" t="s">
        <v>288</v>
      </c>
      <c r="B88" s="23" t="s">
        <v>289</v>
      </c>
      <c r="C88" s="23" t="s">
        <v>148</v>
      </c>
      <c r="D88" s="24" t="n">
        <v>47899</v>
      </c>
      <c r="E88" s="24" t="n">
        <v>9101</v>
      </c>
      <c r="F88" s="24" t="n">
        <v>57000</v>
      </c>
      <c r="G88" s="23" t="s">
        <v>120</v>
      </c>
      <c r="H88" s="23" t="s">
        <v>161</v>
      </c>
    </row>
    <row r="89" customFormat="false" ht="15" hidden="false" customHeight="false" outlineLevel="0" collapsed="false">
      <c r="A89" s="23" t="s">
        <v>193</v>
      </c>
      <c r="B89" s="23" t="s">
        <v>290</v>
      </c>
      <c r="C89" s="23" t="s">
        <v>148</v>
      </c>
      <c r="D89" s="24" t="n">
        <v>134429</v>
      </c>
      <c r="E89" s="24" t="n">
        <v>25541</v>
      </c>
      <c r="F89" s="24" t="n">
        <v>159970</v>
      </c>
      <c r="G89" s="23" t="s">
        <v>156</v>
      </c>
      <c r="H89" s="23" t="s">
        <v>291</v>
      </c>
    </row>
    <row r="90" customFormat="false" ht="15" hidden="false" customHeight="false" outlineLevel="0" collapsed="false">
      <c r="A90" s="23" t="s">
        <v>182</v>
      </c>
      <c r="B90" s="23" t="s">
        <v>292</v>
      </c>
      <c r="C90" s="23" t="s">
        <v>293</v>
      </c>
      <c r="D90" s="24" t="n">
        <v>27478</v>
      </c>
      <c r="E90" s="24" t="n">
        <v>5221</v>
      </c>
      <c r="F90" s="24" t="n">
        <v>50000</v>
      </c>
      <c r="G90" s="23" t="s">
        <v>156</v>
      </c>
      <c r="H90" s="23" t="s">
        <v>294</v>
      </c>
    </row>
    <row r="91" customFormat="false" ht="15" hidden="false" customHeight="false" outlineLevel="0" collapsed="false">
      <c r="A91" s="23" t="s">
        <v>295</v>
      </c>
      <c r="B91" s="23" t="s">
        <v>296</v>
      </c>
      <c r="C91" s="23" t="s">
        <v>148</v>
      </c>
      <c r="D91" s="24" t="n">
        <v>28008</v>
      </c>
      <c r="E91" s="24" t="n">
        <v>5322</v>
      </c>
      <c r="F91" s="24" t="n">
        <v>33330</v>
      </c>
      <c r="G91" s="23" t="s">
        <v>120</v>
      </c>
      <c r="H91" s="23" t="s">
        <v>161</v>
      </c>
    </row>
    <row r="92" customFormat="false" ht="15" hidden="false" customHeight="false" outlineLevel="0" collapsed="false">
      <c r="A92" s="23" t="s">
        <v>158</v>
      </c>
      <c r="B92" s="23" t="s">
        <v>297</v>
      </c>
      <c r="C92" s="23" t="s">
        <v>232</v>
      </c>
      <c r="D92" s="24" t="n">
        <v>58030</v>
      </c>
      <c r="E92" s="24" t="n">
        <v>11026</v>
      </c>
      <c r="F92" s="24" t="n">
        <v>69056</v>
      </c>
      <c r="G92" s="23" t="s">
        <v>120</v>
      </c>
      <c r="H92" s="23" t="s">
        <v>161</v>
      </c>
    </row>
    <row r="93" customFormat="false" ht="15" hidden="false" customHeight="false" outlineLevel="0" collapsed="false">
      <c r="A93" s="23" t="s">
        <v>169</v>
      </c>
      <c r="B93" s="23" t="s">
        <v>298</v>
      </c>
      <c r="C93" s="23" t="s">
        <v>252</v>
      </c>
      <c r="D93" s="24" t="n">
        <v>57828</v>
      </c>
      <c r="E93" s="24" t="n">
        <v>10987</v>
      </c>
      <c r="F93" s="24" t="n">
        <v>68815</v>
      </c>
      <c r="G93" s="23" t="s">
        <v>120</v>
      </c>
      <c r="H93" s="23" t="s">
        <v>161</v>
      </c>
    </row>
    <row r="94" customFormat="false" ht="15" hidden="false" customHeight="false" outlineLevel="0" collapsed="false">
      <c r="A94" s="25" t="s">
        <v>299</v>
      </c>
      <c r="F94" s="26" t="n">
        <v>12619605</v>
      </c>
      <c r="G94" s="27" t="s">
        <v>300</v>
      </c>
    </row>
    <row r="96" customFormat="false" ht="15" hidden="false" customHeight="false" outlineLevel="0" collapsed="false">
      <c r="A96" s="21" t="s">
        <v>301</v>
      </c>
      <c r="B96" s="21"/>
      <c r="C96" s="21"/>
      <c r="D96" s="21"/>
      <c r="E96" s="21"/>
      <c r="F96" s="21"/>
      <c r="G96" s="21"/>
      <c r="H96" s="21"/>
      <c r="I96" s="21"/>
    </row>
    <row r="97" customFormat="false" ht="15" hidden="false" customHeight="false" outlineLevel="0" collapsed="false">
      <c r="A97" s="22" t="s">
        <v>302</v>
      </c>
      <c r="B97" s="22" t="s">
        <v>303</v>
      </c>
      <c r="C97" s="22" t="s">
        <v>3</v>
      </c>
      <c r="D97" s="22" t="s">
        <v>304</v>
      </c>
      <c r="E97" s="22" t="s">
        <v>305</v>
      </c>
    </row>
    <row r="98" customFormat="false" ht="15" hidden="false" customHeight="false" outlineLevel="0" collapsed="false">
      <c r="A98" s="23" t="s">
        <v>155</v>
      </c>
      <c r="B98" s="23" t="s">
        <v>306</v>
      </c>
      <c r="C98" s="24" t="n">
        <v>4000000</v>
      </c>
      <c r="D98" s="23" t="s">
        <v>307</v>
      </c>
      <c r="E98" s="23" t="s">
        <v>308</v>
      </c>
    </row>
    <row r="99" customFormat="false" ht="15" hidden="false" customHeight="false" outlineLevel="0" collapsed="false">
      <c r="A99" s="23" t="s">
        <v>155</v>
      </c>
      <c r="B99" s="23" t="s">
        <v>306</v>
      </c>
      <c r="C99" s="24" t="n">
        <v>70000</v>
      </c>
      <c r="D99" s="23" t="s">
        <v>307</v>
      </c>
      <c r="E99" s="23" t="s">
        <v>308</v>
      </c>
    </row>
    <row r="100" customFormat="false" ht="15" hidden="false" customHeight="false" outlineLevel="0" collapsed="false">
      <c r="A100" s="23" t="s">
        <v>155</v>
      </c>
      <c r="B100" s="23" t="s">
        <v>309</v>
      </c>
      <c r="C100" s="24" t="n">
        <v>277</v>
      </c>
      <c r="D100" s="23" t="s">
        <v>307</v>
      </c>
      <c r="E100" s="23" t="s">
        <v>310</v>
      </c>
    </row>
    <row r="101" customFormat="false" ht="15" hidden="false" customHeight="false" outlineLevel="0" collapsed="false">
      <c r="A101" s="23" t="s">
        <v>155</v>
      </c>
      <c r="B101" s="23" t="s">
        <v>311</v>
      </c>
      <c r="C101" s="24" t="n">
        <v>-100000</v>
      </c>
      <c r="D101" s="23" t="s">
        <v>312</v>
      </c>
      <c r="E101" s="23" t="s">
        <v>313</v>
      </c>
    </row>
    <row r="102" customFormat="false" ht="15" hidden="false" customHeight="false" outlineLevel="0" collapsed="false">
      <c r="A102" s="23" t="s">
        <v>155</v>
      </c>
      <c r="B102" s="23" t="s">
        <v>314</v>
      </c>
      <c r="C102" s="24" t="n">
        <v>-92000</v>
      </c>
      <c r="D102" s="23" t="s">
        <v>312</v>
      </c>
      <c r="E102" s="23" t="s">
        <v>313</v>
      </c>
    </row>
    <row r="103" customFormat="false" ht="15" hidden="false" customHeight="false" outlineLevel="0" collapsed="false">
      <c r="A103" s="23" t="s">
        <v>155</v>
      </c>
      <c r="B103" s="23" t="s">
        <v>314</v>
      </c>
      <c r="C103" s="24" t="n">
        <v>-50000</v>
      </c>
      <c r="D103" s="23" t="s">
        <v>312</v>
      </c>
      <c r="E103" s="23" t="s">
        <v>313</v>
      </c>
    </row>
    <row r="104" customFormat="false" ht="15" hidden="false" customHeight="false" outlineLevel="0" collapsed="false">
      <c r="A104" s="23" t="s">
        <v>155</v>
      </c>
      <c r="B104" s="23" t="s">
        <v>315</v>
      </c>
      <c r="C104" s="24" t="n">
        <v>-50000</v>
      </c>
      <c r="D104" s="23" t="s">
        <v>312</v>
      </c>
      <c r="E104" s="23" t="s">
        <v>313</v>
      </c>
    </row>
    <row r="105" customFormat="false" ht="15" hidden="false" customHeight="false" outlineLevel="0" collapsed="false">
      <c r="A105" s="23" t="s">
        <v>155</v>
      </c>
      <c r="B105" s="23" t="s">
        <v>311</v>
      </c>
      <c r="C105" s="24" t="n">
        <v>-16000</v>
      </c>
      <c r="D105" s="23" t="s">
        <v>312</v>
      </c>
      <c r="E105" s="23" t="s">
        <v>313</v>
      </c>
    </row>
    <row r="106" customFormat="false" ht="15" hidden="false" customHeight="false" outlineLevel="0" collapsed="false">
      <c r="A106" s="23" t="s">
        <v>119</v>
      </c>
      <c r="B106" s="23" t="s">
        <v>311</v>
      </c>
      <c r="C106" s="24" t="n">
        <v>-12000</v>
      </c>
      <c r="D106" s="23" t="s">
        <v>312</v>
      </c>
      <c r="E106" s="23" t="s">
        <v>313</v>
      </c>
    </row>
    <row r="107" customFormat="false" ht="15" hidden="false" customHeight="false" outlineLevel="0" collapsed="false">
      <c r="A107" s="23" t="s">
        <v>119</v>
      </c>
      <c r="B107" s="23" t="s">
        <v>314</v>
      </c>
      <c r="C107" s="24" t="n">
        <v>-12000</v>
      </c>
      <c r="D107" s="23" t="s">
        <v>312</v>
      </c>
      <c r="E107" s="23" t="s">
        <v>313</v>
      </c>
    </row>
    <row r="108" customFormat="false" ht="15" hidden="false" customHeight="false" outlineLevel="0" collapsed="false">
      <c r="A108" s="23" t="s">
        <v>119</v>
      </c>
      <c r="B108" s="23" t="s">
        <v>314</v>
      </c>
      <c r="C108" s="24" t="n">
        <v>-17000</v>
      </c>
      <c r="D108" s="23" t="s">
        <v>312</v>
      </c>
      <c r="E108" s="23" t="s">
        <v>313</v>
      </c>
    </row>
    <row r="109" customFormat="false" ht="15" hidden="false" customHeight="false" outlineLevel="0" collapsed="false">
      <c r="A109" s="23" t="s">
        <v>171</v>
      </c>
      <c r="B109" s="23" t="s">
        <v>316</v>
      </c>
      <c r="C109" s="24" t="n">
        <v>2156694</v>
      </c>
      <c r="D109" s="23" t="s">
        <v>307</v>
      </c>
      <c r="E109" s="23" t="s">
        <v>317</v>
      </c>
    </row>
    <row r="110" customFormat="false" ht="15" hidden="false" customHeight="false" outlineLevel="0" collapsed="false">
      <c r="A110" s="23" t="s">
        <v>171</v>
      </c>
      <c r="B110" s="23" t="s">
        <v>311</v>
      </c>
      <c r="C110" s="24" t="n">
        <v>-20000</v>
      </c>
      <c r="D110" s="23" t="s">
        <v>312</v>
      </c>
      <c r="E110" s="23" t="s">
        <v>313</v>
      </c>
    </row>
    <row r="111" customFormat="false" ht="15" hidden="false" customHeight="false" outlineLevel="0" collapsed="false">
      <c r="A111" s="23" t="s">
        <v>171</v>
      </c>
      <c r="B111" s="23" t="s">
        <v>318</v>
      </c>
      <c r="C111" s="24" t="n">
        <v>-15000</v>
      </c>
      <c r="D111" s="23" t="s">
        <v>312</v>
      </c>
      <c r="E111" s="23" t="s">
        <v>313</v>
      </c>
    </row>
    <row r="112" customFormat="false" ht="15" hidden="false" customHeight="false" outlineLevel="0" collapsed="false">
      <c r="A112" s="23" t="s">
        <v>171</v>
      </c>
      <c r="B112" s="23" t="s">
        <v>314</v>
      </c>
      <c r="C112" s="24" t="n">
        <v>-14000</v>
      </c>
      <c r="D112" s="23" t="s">
        <v>312</v>
      </c>
      <c r="E112" s="23" t="s">
        <v>313</v>
      </c>
    </row>
    <row r="113" customFormat="false" ht="15" hidden="false" customHeight="false" outlineLevel="0" collapsed="false">
      <c r="A113" s="23" t="s">
        <v>174</v>
      </c>
      <c r="B113" s="23" t="s">
        <v>318</v>
      </c>
      <c r="C113" s="24" t="n">
        <v>-17000</v>
      </c>
      <c r="D113" s="23" t="s">
        <v>312</v>
      </c>
      <c r="E113" s="23" t="s">
        <v>313</v>
      </c>
    </row>
    <row r="114" customFormat="false" ht="15" hidden="false" customHeight="false" outlineLevel="0" collapsed="false">
      <c r="A114" s="23" t="s">
        <v>174</v>
      </c>
      <c r="B114" s="23" t="s">
        <v>314</v>
      </c>
      <c r="C114" s="24" t="n">
        <v>-20000</v>
      </c>
      <c r="D114" s="23" t="s">
        <v>312</v>
      </c>
      <c r="E114" s="23" t="s">
        <v>313</v>
      </c>
    </row>
    <row r="115" customFormat="false" ht="15" hidden="false" customHeight="false" outlineLevel="0" collapsed="false">
      <c r="A115" s="23" t="s">
        <v>174</v>
      </c>
      <c r="B115" s="23" t="s">
        <v>311</v>
      </c>
      <c r="C115" s="24" t="n">
        <v>-20000</v>
      </c>
      <c r="D115" s="23" t="s">
        <v>312</v>
      </c>
      <c r="E115" s="23" t="s">
        <v>313</v>
      </c>
    </row>
    <row r="116" customFormat="false" ht="15" hidden="false" customHeight="false" outlineLevel="0" collapsed="false">
      <c r="A116" s="23" t="s">
        <v>174</v>
      </c>
      <c r="B116" s="23" t="s">
        <v>311</v>
      </c>
      <c r="C116" s="24" t="n">
        <v>-100000</v>
      </c>
      <c r="D116" s="23" t="s">
        <v>312</v>
      </c>
      <c r="E116" s="23" t="s">
        <v>313</v>
      </c>
    </row>
    <row r="117" customFormat="false" ht="15" hidden="false" customHeight="false" outlineLevel="0" collapsed="false">
      <c r="A117" s="23" t="s">
        <v>174</v>
      </c>
      <c r="B117" s="23" t="s">
        <v>319</v>
      </c>
      <c r="C117" s="24" t="n">
        <v>-480000</v>
      </c>
      <c r="D117" s="23" t="s">
        <v>312</v>
      </c>
      <c r="E117" s="23" t="s">
        <v>313</v>
      </c>
    </row>
    <row r="118" customFormat="false" ht="15" hidden="false" customHeight="false" outlineLevel="0" collapsed="false">
      <c r="A118" s="23" t="s">
        <v>174</v>
      </c>
      <c r="B118" s="23" t="s">
        <v>314</v>
      </c>
      <c r="C118" s="24" t="n">
        <v>-300000</v>
      </c>
      <c r="D118" s="23" t="s">
        <v>312</v>
      </c>
      <c r="E118" s="23" t="s">
        <v>313</v>
      </c>
    </row>
    <row r="119" customFormat="false" ht="15" hidden="false" customHeight="false" outlineLevel="0" collapsed="false">
      <c r="A119" s="23" t="s">
        <v>174</v>
      </c>
      <c r="B119" s="23" t="s">
        <v>315</v>
      </c>
      <c r="C119" s="24" t="n">
        <v>-300000</v>
      </c>
      <c r="D119" s="23" t="s">
        <v>312</v>
      </c>
      <c r="E119" s="23" t="s">
        <v>313</v>
      </c>
    </row>
    <row r="120" customFormat="false" ht="15" hidden="false" customHeight="false" outlineLevel="0" collapsed="false">
      <c r="A120" s="23" t="s">
        <v>174</v>
      </c>
      <c r="B120" s="23" t="s">
        <v>318</v>
      </c>
      <c r="C120" s="24" t="n">
        <v>-470000</v>
      </c>
      <c r="D120" s="23" t="s">
        <v>312</v>
      </c>
      <c r="E120" s="23" t="s">
        <v>313</v>
      </c>
    </row>
    <row r="121" customFormat="false" ht="15" hidden="false" customHeight="false" outlineLevel="0" collapsed="false">
      <c r="A121" s="23" t="s">
        <v>174</v>
      </c>
      <c r="B121" s="23" t="s">
        <v>311</v>
      </c>
      <c r="C121" s="24" t="n">
        <v>-200000</v>
      </c>
      <c r="D121" s="23" t="s">
        <v>312</v>
      </c>
      <c r="E121" s="23" t="s">
        <v>313</v>
      </c>
    </row>
    <row r="122" customFormat="false" ht="15" hidden="false" customHeight="false" outlineLevel="0" collapsed="false">
      <c r="A122" s="23" t="s">
        <v>176</v>
      </c>
      <c r="B122" s="23" t="s">
        <v>311</v>
      </c>
      <c r="C122" s="24" t="n">
        <v>-20000</v>
      </c>
      <c r="D122" s="23" t="s">
        <v>312</v>
      </c>
      <c r="E122" s="23" t="s">
        <v>313</v>
      </c>
    </row>
    <row r="123" customFormat="false" ht="15" hidden="false" customHeight="false" outlineLevel="0" collapsed="false">
      <c r="A123" s="23" t="s">
        <v>176</v>
      </c>
      <c r="B123" s="23" t="s">
        <v>314</v>
      </c>
      <c r="C123" s="24" t="n">
        <v>-20000</v>
      </c>
      <c r="D123" s="23" t="s">
        <v>312</v>
      </c>
      <c r="E123" s="23" t="s">
        <v>313</v>
      </c>
    </row>
    <row r="124" customFormat="false" ht="15" hidden="false" customHeight="false" outlineLevel="0" collapsed="false">
      <c r="A124" s="23" t="s">
        <v>176</v>
      </c>
      <c r="B124" s="23" t="s">
        <v>320</v>
      </c>
      <c r="C124" s="24" t="n">
        <v>-2010</v>
      </c>
      <c r="D124" s="23" t="s">
        <v>312</v>
      </c>
      <c r="E124" s="23" t="s">
        <v>321</v>
      </c>
    </row>
    <row r="125" customFormat="false" ht="15" hidden="false" customHeight="false" outlineLevel="0" collapsed="false">
      <c r="A125" s="23" t="s">
        <v>180</v>
      </c>
      <c r="B125" s="23" t="s">
        <v>314</v>
      </c>
      <c r="C125" s="24" t="n">
        <v>-50000</v>
      </c>
      <c r="D125" s="23" t="s">
        <v>312</v>
      </c>
      <c r="E125" s="23" t="s">
        <v>313</v>
      </c>
    </row>
    <row r="126" customFormat="false" ht="15" hidden="false" customHeight="false" outlineLevel="0" collapsed="false">
      <c r="A126" s="23" t="s">
        <v>180</v>
      </c>
      <c r="B126" s="23" t="s">
        <v>311</v>
      </c>
      <c r="C126" s="24" t="n">
        <v>-12000</v>
      </c>
      <c r="D126" s="23" t="s">
        <v>312</v>
      </c>
      <c r="E126" s="23" t="s">
        <v>313</v>
      </c>
    </row>
    <row r="127" customFormat="false" ht="15" hidden="false" customHeight="false" outlineLevel="0" collapsed="false">
      <c r="A127" s="23" t="s">
        <v>180</v>
      </c>
      <c r="B127" s="23" t="s">
        <v>318</v>
      </c>
      <c r="C127" s="24" t="n">
        <v>-12000</v>
      </c>
      <c r="D127" s="23" t="s">
        <v>312</v>
      </c>
      <c r="E127" s="23" t="s">
        <v>313</v>
      </c>
    </row>
    <row r="128" customFormat="false" ht="15" hidden="false" customHeight="false" outlineLevel="0" collapsed="false">
      <c r="A128" s="23" t="s">
        <v>180</v>
      </c>
      <c r="B128" s="23" t="s">
        <v>314</v>
      </c>
      <c r="C128" s="24" t="n">
        <v>-21000</v>
      </c>
      <c r="D128" s="23" t="s">
        <v>312</v>
      </c>
      <c r="E128" s="23" t="s">
        <v>313</v>
      </c>
    </row>
    <row r="129" customFormat="false" ht="15" hidden="false" customHeight="false" outlineLevel="0" collapsed="false">
      <c r="A129" s="23" t="s">
        <v>180</v>
      </c>
      <c r="B129" s="23" t="s">
        <v>318</v>
      </c>
      <c r="C129" s="24" t="n">
        <v>-110000</v>
      </c>
      <c r="D129" s="23" t="s">
        <v>312</v>
      </c>
      <c r="E129" s="23" t="s">
        <v>313</v>
      </c>
    </row>
    <row r="130" customFormat="false" ht="15" hidden="false" customHeight="false" outlineLevel="0" collapsed="false">
      <c r="A130" s="23" t="s">
        <v>180</v>
      </c>
      <c r="B130" s="23" t="s">
        <v>306</v>
      </c>
      <c r="C130" s="24" t="n">
        <v>800000</v>
      </c>
      <c r="D130" s="23" t="s">
        <v>307</v>
      </c>
      <c r="E130" s="23" t="s">
        <v>308</v>
      </c>
    </row>
    <row r="131" customFormat="false" ht="15" hidden="false" customHeight="false" outlineLevel="0" collapsed="false">
      <c r="A131" s="23" t="s">
        <v>180</v>
      </c>
      <c r="B131" s="23" t="s">
        <v>322</v>
      </c>
      <c r="C131" s="24" t="n">
        <v>-170000</v>
      </c>
      <c r="D131" s="23" t="s">
        <v>312</v>
      </c>
      <c r="E131" s="23" t="s">
        <v>313</v>
      </c>
    </row>
    <row r="132" customFormat="false" ht="15" hidden="false" customHeight="false" outlineLevel="0" collapsed="false">
      <c r="A132" s="23" t="s">
        <v>180</v>
      </c>
      <c r="B132" s="23" t="s">
        <v>315</v>
      </c>
      <c r="C132" s="24" t="n">
        <v>-800000</v>
      </c>
      <c r="D132" s="23" t="s">
        <v>312</v>
      </c>
      <c r="E132" s="23" t="s">
        <v>313</v>
      </c>
    </row>
    <row r="133" customFormat="false" ht="15" hidden="false" customHeight="false" outlineLevel="0" collapsed="false">
      <c r="A133" s="23" t="s">
        <v>180</v>
      </c>
      <c r="B133" s="23" t="s">
        <v>323</v>
      </c>
      <c r="C133" s="24" t="n">
        <v>300094</v>
      </c>
      <c r="D133" s="23" t="s">
        <v>307</v>
      </c>
      <c r="E133" s="23" t="s">
        <v>310</v>
      </c>
    </row>
    <row r="134" customFormat="false" ht="15" hidden="false" customHeight="false" outlineLevel="0" collapsed="false">
      <c r="A134" s="23" t="s">
        <v>180</v>
      </c>
      <c r="B134" s="23" t="s">
        <v>311</v>
      </c>
      <c r="C134" s="24" t="n">
        <v>-150000</v>
      </c>
      <c r="D134" s="23" t="s">
        <v>312</v>
      </c>
      <c r="E134" s="23" t="s">
        <v>313</v>
      </c>
    </row>
    <row r="135" customFormat="false" ht="15" hidden="false" customHeight="false" outlineLevel="0" collapsed="false">
      <c r="A135" s="23" t="s">
        <v>126</v>
      </c>
      <c r="B135" s="23" t="s">
        <v>324</v>
      </c>
      <c r="C135" s="24" t="n">
        <v>-36000</v>
      </c>
      <c r="D135" s="23" t="s">
        <v>312</v>
      </c>
      <c r="E135" s="23" t="s">
        <v>321</v>
      </c>
    </row>
    <row r="136" customFormat="false" ht="15" hidden="false" customHeight="false" outlineLevel="0" collapsed="false">
      <c r="A136" s="23" t="s">
        <v>126</v>
      </c>
      <c r="B136" s="23" t="s">
        <v>311</v>
      </c>
      <c r="C136" s="24" t="n">
        <v>-19000</v>
      </c>
      <c r="D136" s="23" t="s">
        <v>312</v>
      </c>
      <c r="E136" s="23" t="s">
        <v>313</v>
      </c>
    </row>
    <row r="137" customFormat="false" ht="15" hidden="false" customHeight="false" outlineLevel="0" collapsed="false">
      <c r="A137" s="23" t="s">
        <v>126</v>
      </c>
      <c r="B137" s="23" t="s">
        <v>311</v>
      </c>
      <c r="C137" s="24" t="n">
        <v>-10000</v>
      </c>
      <c r="D137" s="23" t="s">
        <v>312</v>
      </c>
      <c r="E137" s="23" t="s">
        <v>313</v>
      </c>
    </row>
    <row r="138" customFormat="false" ht="15" hidden="false" customHeight="false" outlineLevel="0" collapsed="false">
      <c r="A138" s="23" t="s">
        <v>198</v>
      </c>
      <c r="B138" s="23" t="s">
        <v>314</v>
      </c>
      <c r="C138" s="24" t="n">
        <v>-15000</v>
      </c>
      <c r="D138" s="23" t="s">
        <v>312</v>
      </c>
      <c r="E138" s="23" t="s">
        <v>313</v>
      </c>
    </row>
    <row r="139" customFormat="false" ht="15" hidden="false" customHeight="false" outlineLevel="0" collapsed="false">
      <c r="A139" s="23" t="s">
        <v>198</v>
      </c>
      <c r="B139" s="23" t="s">
        <v>318</v>
      </c>
      <c r="C139" s="24" t="n">
        <v>-105000</v>
      </c>
      <c r="D139" s="23" t="s">
        <v>312</v>
      </c>
      <c r="E139" s="23" t="s">
        <v>313</v>
      </c>
    </row>
    <row r="140" customFormat="false" ht="15" hidden="false" customHeight="false" outlineLevel="0" collapsed="false">
      <c r="A140" s="23" t="s">
        <v>198</v>
      </c>
      <c r="B140" s="23" t="s">
        <v>325</v>
      </c>
      <c r="C140" s="24" t="n">
        <v>-26635</v>
      </c>
      <c r="D140" s="23" t="s">
        <v>312</v>
      </c>
      <c r="E140" s="23" t="s">
        <v>310</v>
      </c>
    </row>
    <row r="141" customFormat="false" ht="15" hidden="false" customHeight="false" outlineLevel="0" collapsed="false">
      <c r="A141" s="23" t="s">
        <v>198</v>
      </c>
      <c r="B141" s="23" t="s">
        <v>316</v>
      </c>
      <c r="C141" s="24" t="n">
        <v>4094002</v>
      </c>
      <c r="D141" s="23" t="s">
        <v>307</v>
      </c>
      <c r="E141" s="23" t="s">
        <v>317</v>
      </c>
    </row>
    <row r="142" customFormat="false" ht="15" hidden="false" customHeight="false" outlineLevel="0" collapsed="false">
      <c r="A142" s="23" t="s">
        <v>198</v>
      </c>
      <c r="B142" s="23" t="s">
        <v>318</v>
      </c>
      <c r="C142" s="24" t="n">
        <v>-140000</v>
      </c>
      <c r="D142" s="23" t="s">
        <v>312</v>
      </c>
      <c r="E142" s="23" t="s">
        <v>313</v>
      </c>
    </row>
    <row r="143" customFormat="false" ht="15" hidden="false" customHeight="false" outlineLevel="0" collapsed="false">
      <c r="A143" s="23" t="s">
        <v>208</v>
      </c>
      <c r="B143" s="23" t="s">
        <v>326</v>
      </c>
      <c r="C143" s="24" t="n">
        <v>26636</v>
      </c>
      <c r="D143" s="23" t="s">
        <v>307</v>
      </c>
      <c r="E143" s="23" t="s">
        <v>310</v>
      </c>
    </row>
    <row r="144" customFormat="false" ht="15" hidden="false" customHeight="false" outlineLevel="0" collapsed="false">
      <c r="A144" s="23" t="s">
        <v>208</v>
      </c>
      <c r="B144" s="23" t="s">
        <v>315</v>
      </c>
      <c r="C144" s="24" t="n">
        <v>-103000</v>
      </c>
      <c r="D144" s="23" t="s">
        <v>312</v>
      </c>
      <c r="E144" s="23" t="s">
        <v>313</v>
      </c>
    </row>
    <row r="145" customFormat="false" ht="15" hidden="false" customHeight="false" outlineLevel="0" collapsed="false">
      <c r="A145" s="23" t="s">
        <v>208</v>
      </c>
      <c r="B145" s="23" t="s">
        <v>314</v>
      </c>
      <c r="C145" s="24" t="n">
        <v>-50000</v>
      </c>
      <c r="D145" s="23" t="s">
        <v>312</v>
      </c>
      <c r="E145" s="23" t="s">
        <v>313</v>
      </c>
    </row>
    <row r="146" customFormat="false" ht="15" hidden="false" customHeight="false" outlineLevel="0" collapsed="false">
      <c r="A146" s="23" t="s">
        <v>208</v>
      </c>
      <c r="B146" s="23" t="s">
        <v>318</v>
      </c>
      <c r="C146" s="24" t="n">
        <v>-50000</v>
      </c>
      <c r="D146" s="23" t="s">
        <v>312</v>
      </c>
      <c r="E146" s="23" t="s">
        <v>313</v>
      </c>
    </row>
    <row r="147" customFormat="false" ht="15" hidden="false" customHeight="false" outlineLevel="0" collapsed="false">
      <c r="A147" s="23" t="s">
        <v>208</v>
      </c>
      <c r="B147" s="23" t="s">
        <v>327</v>
      </c>
      <c r="C147" s="24" t="n">
        <v>-32000</v>
      </c>
      <c r="D147" s="23" t="s">
        <v>312</v>
      </c>
      <c r="E147" s="23" t="s">
        <v>313</v>
      </c>
    </row>
    <row r="148" customFormat="false" ht="15" hidden="false" customHeight="false" outlineLevel="0" collapsed="false">
      <c r="A148" s="23" t="s">
        <v>131</v>
      </c>
      <c r="B148" s="23" t="s">
        <v>328</v>
      </c>
      <c r="C148" s="24" t="n">
        <v>-11000</v>
      </c>
      <c r="D148" s="23" t="s">
        <v>312</v>
      </c>
      <c r="E148" s="23" t="s">
        <v>321</v>
      </c>
    </row>
    <row r="149" customFormat="false" ht="15" hidden="false" customHeight="false" outlineLevel="0" collapsed="false">
      <c r="A149" s="23" t="s">
        <v>131</v>
      </c>
      <c r="B149" s="23" t="s">
        <v>329</v>
      </c>
      <c r="C149" s="24" t="n">
        <v>-9890</v>
      </c>
      <c r="D149" s="23" t="s">
        <v>312</v>
      </c>
      <c r="E149" s="23" t="s">
        <v>321</v>
      </c>
    </row>
    <row r="150" customFormat="false" ht="15" hidden="false" customHeight="false" outlineLevel="0" collapsed="false">
      <c r="A150" s="23" t="s">
        <v>131</v>
      </c>
      <c r="B150" s="23" t="s">
        <v>330</v>
      </c>
      <c r="C150" s="24" t="n">
        <v>-9900</v>
      </c>
      <c r="D150" s="23" t="s">
        <v>312</v>
      </c>
      <c r="E150" s="23" t="s">
        <v>321</v>
      </c>
    </row>
    <row r="151" customFormat="false" ht="15" hidden="false" customHeight="false" outlineLevel="0" collapsed="false">
      <c r="A151" s="23" t="s">
        <v>131</v>
      </c>
      <c r="B151" s="23" t="s">
        <v>331</v>
      </c>
      <c r="C151" s="24" t="n">
        <v>-10000</v>
      </c>
      <c r="D151" s="23" t="s">
        <v>312</v>
      </c>
      <c r="E151" s="23" t="s">
        <v>313</v>
      </c>
    </row>
    <row r="152" customFormat="false" ht="15" hidden="false" customHeight="false" outlineLevel="0" collapsed="false">
      <c r="A152" s="23" t="s">
        <v>131</v>
      </c>
      <c r="B152" s="23" t="s">
        <v>314</v>
      </c>
      <c r="C152" s="24" t="n">
        <v>-12000</v>
      </c>
      <c r="D152" s="23" t="s">
        <v>312</v>
      </c>
      <c r="E152" s="23" t="s">
        <v>313</v>
      </c>
    </row>
    <row r="153" customFormat="false" ht="15" hidden="false" customHeight="false" outlineLevel="0" collapsed="false">
      <c r="A153" s="23" t="s">
        <v>131</v>
      </c>
      <c r="B153" s="23" t="s">
        <v>314</v>
      </c>
      <c r="C153" s="24" t="n">
        <v>-15000</v>
      </c>
      <c r="D153" s="23" t="s">
        <v>312</v>
      </c>
      <c r="E153" s="23" t="s">
        <v>313</v>
      </c>
    </row>
    <row r="154" customFormat="false" ht="15" hidden="false" customHeight="false" outlineLevel="0" collapsed="false">
      <c r="A154" s="23" t="s">
        <v>131</v>
      </c>
      <c r="B154" s="23" t="s">
        <v>314</v>
      </c>
      <c r="C154" s="24" t="n">
        <v>-100000</v>
      </c>
      <c r="D154" s="23" t="s">
        <v>312</v>
      </c>
      <c r="E154" s="23" t="s">
        <v>313</v>
      </c>
    </row>
    <row r="155" customFormat="false" ht="15" hidden="false" customHeight="false" outlineLevel="0" collapsed="false">
      <c r="A155" s="23" t="s">
        <v>131</v>
      </c>
      <c r="B155" s="23" t="s">
        <v>314</v>
      </c>
      <c r="C155" s="24" t="n">
        <v>-160000</v>
      </c>
      <c r="D155" s="23" t="s">
        <v>312</v>
      </c>
      <c r="E155" s="23" t="s">
        <v>313</v>
      </c>
    </row>
    <row r="156" customFormat="false" ht="15" hidden="false" customHeight="false" outlineLevel="0" collapsed="false">
      <c r="A156" s="23" t="s">
        <v>131</v>
      </c>
      <c r="B156" s="23" t="s">
        <v>331</v>
      </c>
      <c r="C156" s="24" t="n">
        <v>-225000</v>
      </c>
      <c r="D156" s="23" t="s">
        <v>312</v>
      </c>
      <c r="E156" s="23" t="s">
        <v>313</v>
      </c>
    </row>
    <row r="157" customFormat="false" ht="15" hidden="false" customHeight="false" outlineLevel="0" collapsed="false">
      <c r="A157" s="23" t="s">
        <v>131</v>
      </c>
      <c r="B157" s="23" t="s">
        <v>332</v>
      </c>
      <c r="C157" s="24" t="n">
        <v>-250000</v>
      </c>
      <c r="D157" s="23" t="s">
        <v>312</v>
      </c>
      <c r="E157" s="23" t="s">
        <v>313</v>
      </c>
    </row>
    <row r="158" customFormat="false" ht="15" hidden="false" customHeight="false" outlineLevel="0" collapsed="false">
      <c r="A158" s="23" t="s">
        <v>131</v>
      </c>
      <c r="B158" s="23" t="s">
        <v>333</v>
      </c>
      <c r="C158" s="24" t="n">
        <v>150000</v>
      </c>
      <c r="D158" s="23" t="s">
        <v>307</v>
      </c>
      <c r="E158" s="23" t="s">
        <v>334</v>
      </c>
    </row>
    <row r="159" customFormat="false" ht="15" hidden="false" customHeight="false" outlineLevel="0" collapsed="false">
      <c r="A159" s="23" t="s">
        <v>131</v>
      </c>
      <c r="B159" s="23" t="s">
        <v>318</v>
      </c>
      <c r="C159" s="24" t="n">
        <v>-30000</v>
      </c>
      <c r="D159" s="23" t="s">
        <v>312</v>
      </c>
      <c r="E159" s="23" t="s">
        <v>313</v>
      </c>
    </row>
    <row r="160" customFormat="false" ht="15" hidden="false" customHeight="false" outlineLevel="0" collapsed="false">
      <c r="A160" s="23" t="s">
        <v>232</v>
      </c>
      <c r="B160" s="23" t="s">
        <v>318</v>
      </c>
      <c r="C160" s="24" t="n">
        <v>-17000</v>
      </c>
      <c r="D160" s="23" t="s">
        <v>312</v>
      </c>
      <c r="E160" s="23" t="s">
        <v>313</v>
      </c>
    </row>
    <row r="161" customFormat="false" ht="15" hidden="false" customHeight="false" outlineLevel="0" collapsed="false">
      <c r="A161" s="23" t="s">
        <v>232</v>
      </c>
      <c r="B161" s="23" t="s">
        <v>306</v>
      </c>
      <c r="C161" s="24" t="n">
        <v>810000</v>
      </c>
      <c r="D161" s="23" t="s">
        <v>307</v>
      </c>
      <c r="E161" s="23" t="s">
        <v>308</v>
      </c>
    </row>
    <row r="162" customFormat="false" ht="15" hidden="false" customHeight="false" outlineLevel="0" collapsed="false">
      <c r="A162" s="23" t="s">
        <v>232</v>
      </c>
      <c r="B162" s="23" t="s">
        <v>335</v>
      </c>
      <c r="C162" s="24" t="n">
        <v>250000</v>
      </c>
      <c r="D162" s="23" t="s">
        <v>307</v>
      </c>
      <c r="E162" s="23" t="s">
        <v>313</v>
      </c>
    </row>
    <row r="163" customFormat="false" ht="15" hidden="false" customHeight="false" outlineLevel="0" collapsed="false">
      <c r="A163" s="23" t="s">
        <v>232</v>
      </c>
      <c r="B163" s="23" t="s">
        <v>336</v>
      </c>
      <c r="C163" s="24" t="n">
        <v>200000</v>
      </c>
      <c r="D163" s="23" t="s">
        <v>307</v>
      </c>
      <c r="E163" s="23" t="s">
        <v>334</v>
      </c>
    </row>
    <row r="164" customFormat="false" ht="15" hidden="false" customHeight="false" outlineLevel="0" collapsed="false">
      <c r="A164" s="23" t="s">
        <v>232</v>
      </c>
      <c r="B164" s="23" t="s">
        <v>318</v>
      </c>
      <c r="C164" s="24" t="n">
        <v>-400000</v>
      </c>
      <c r="D164" s="23" t="s">
        <v>312</v>
      </c>
      <c r="E164" s="23" t="s">
        <v>313</v>
      </c>
    </row>
    <row r="165" customFormat="false" ht="15" hidden="false" customHeight="false" outlineLevel="0" collapsed="false">
      <c r="A165" s="23" t="s">
        <v>232</v>
      </c>
      <c r="B165" s="23" t="s">
        <v>337</v>
      </c>
      <c r="C165" s="24" t="n">
        <v>-326000</v>
      </c>
      <c r="D165" s="23" t="s">
        <v>312</v>
      </c>
      <c r="E165" s="23" t="s">
        <v>313</v>
      </c>
    </row>
    <row r="166" customFormat="false" ht="15" hidden="false" customHeight="false" outlineLevel="0" collapsed="false">
      <c r="A166" s="23" t="s">
        <v>232</v>
      </c>
      <c r="B166" s="23" t="s">
        <v>311</v>
      </c>
      <c r="C166" s="24" t="n">
        <v>-15000</v>
      </c>
      <c r="D166" s="23" t="s">
        <v>312</v>
      </c>
      <c r="E166" s="23" t="s">
        <v>313</v>
      </c>
    </row>
    <row r="167" customFormat="false" ht="15" hidden="false" customHeight="false" outlineLevel="0" collapsed="false">
      <c r="A167" s="23" t="s">
        <v>244</v>
      </c>
      <c r="B167" s="23" t="s">
        <v>338</v>
      </c>
      <c r="C167" s="24" t="n">
        <v>-7860</v>
      </c>
      <c r="D167" s="23" t="s">
        <v>312</v>
      </c>
      <c r="E167" s="23" t="s">
        <v>321</v>
      </c>
    </row>
    <row r="168" customFormat="false" ht="15" hidden="false" customHeight="false" outlineLevel="0" collapsed="false">
      <c r="A168" s="23" t="s">
        <v>244</v>
      </c>
      <c r="B168" s="23" t="s">
        <v>311</v>
      </c>
      <c r="C168" s="24" t="n">
        <v>-15000</v>
      </c>
      <c r="D168" s="23" t="s">
        <v>312</v>
      </c>
      <c r="E168" s="23" t="s">
        <v>313</v>
      </c>
    </row>
    <row r="169" customFormat="false" ht="15" hidden="false" customHeight="false" outlineLevel="0" collapsed="false">
      <c r="A169" s="23" t="s">
        <v>244</v>
      </c>
      <c r="B169" s="23" t="s">
        <v>314</v>
      </c>
      <c r="C169" s="24" t="n">
        <v>-22000</v>
      </c>
      <c r="D169" s="23" t="s">
        <v>312</v>
      </c>
      <c r="E169" s="23" t="s">
        <v>313</v>
      </c>
    </row>
    <row r="170" customFormat="false" ht="15" hidden="false" customHeight="false" outlineLevel="0" collapsed="false">
      <c r="A170" s="23" t="s">
        <v>244</v>
      </c>
      <c r="B170" s="23" t="s">
        <v>318</v>
      </c>
      <c r="C170" s="24" t="n">
        <v>-50000</v>
      </c>
      <c r="D170" s="23" t="s">
        <v>312</v>
      </c>
      <c r="E170" s="23" t="s">
        <v>313</v>
      </c>
    </row>
    <row r="171" customFormat="false" ht="15" hidden="false" customHeight="false" outlineLevel="0" collapsed="false">
      <c r="A171" s="23" t="s">
        <v>250</v>
      </c>
      <c r="B171" s="23" t="s">
        <v>314</v>
      </c>
      <c r="C171" s="24" t="n">
        <v>-18000</v>
      </c>
      <c r="D171" s="23" t="s">
        <v>312</v>
      </c>
      <c r="E171" s="23" t="s">
        <v>313</v>
      </c>
    </row>
    <row r="172" customFormat="false" ht="15" hidden="false" customHeight="false" outlineLevel="0" collapsed="false">
      <c r="A172" s="23" t="s">
        <v>250</v>
      </c>
      <c r="B172" s="23" t="s">
        <v>311</v>
      </c>
      <c r="C172" s="24" t="n">
        <v>-170000</v>
      </c>
      <c r="D172" s="23" t="s">
        <v>312</v>
      </c>
      <c r="E172" s="23" t="s">
        <v>313</v>
      </c>
    </row>
    <row r="173" customFormat="false" ht="15" hidden="false" customHeight="false" outlineLevel="0" collapsed="false">
      <c r="A173" s="23" t="s">
        <v>250</v>
      </c>
      <c r="B173" s="23" t="s">
        <v>331</v>
      </c>
      <c r="C173" s="24" t="n">
        <v>-116000</v>
      </c>
      <c r="D173" s="23" t="s">
        <v>312</v>
      </c>
      <c r="E173" s="23" t="s">
        <v>313</v>
      </c>
    </row>
    <row r="174" customFormat="false" ht="15" hidden="false" customHeight="false" outlineLevel="0" collapsed="false">
      <c r="A174" s="23" t="s">
        <v>250</v>
      </c>
      <c r="B174" s="23" t="s">
        <v>311</v>
      </c>
      <c r="C174" s="24" t="n">
        <v>-30000</v>
      </c>
      <c r="D174" s="23" t="s">
        <v>312</v>
      </c>
      <c r="E174" s="23" t="s">
        <v>313</v>
      </c>
    </row>
    <row r="175" customFormat="false" ht="15" hidden="false" customHeight="false" outlineLevel="0" collapsed="false">
      <c r="A175" s="23" t="s">
        <v>250</v>
      </c>
      <c r="B175" s="23" t="s">
        <v>339</v>
      </c>
      <c r="C175" s="24" t="n">
        <v>-20000</v>
      </c>
      <c r="D175" s="23" t="s">
        <v>312</v>
      </c>
      <c r="E175" s="23" t="s">
        <v>321</v>
      </c>
    </row>
    <row r="176" customFormat="false" ht="15" hidden="false" customHeight="false" outlineLevel="0" collapsed="false">
      <c r="A176" s="23" t="s">
        <v>250</v>
      </c>
      <c r="B176" s="23" t="s">
        <v>314</v>
      </c>
      <c r="C176" s="24" t="n">
        <v>-18000</v>
      </c>
      <c r="D176" s="23" t="s">
        <v>312</v>
      </c>
      <c r="E176" s="23" t="s">
        <v>313</v>
      </c>
    </row>
    <row r="177" customFormat="false" ht="15" hidden="false" customHeight="false" outlineLevel="0" collapsed="false">
      <c r="A177" s="23" t="s">
        <v>252</v>
      </c>
      <c r="B177" s="23" t="s">
        <v>340</v>
      </c>
      <c r="C177" s="24" t="n">
        <v>-3500</v>
      </c>
      <c r="D177" s="23" t="s">
        <v>312</v>
      </c>
      <c r="E177" s="23" t="s">
        <v>321</v>
      </c>
    </row>
    <row r="178" customFormat="false" ht="15" hidden="false" customHeight="false" outlineLevel="0" collapsed="false">
      <c r="A178" s="23" t="s">
        <v>252</v>
      </c>
      <c r="B178" s="23" t="s">
        <v>318</v>
      </c>
      <c r="C178" s="24" t="n">
        <v>-17000</v>
      </c>
      <c r="D178" s="23" t="s">
        <v>312</v>
      </c>
      <c r="E178" s="23" t="s">
        <v>313</v>
      </c>
    </row>
    <row r="179" customFormat="false" ht="15" hidden="false" customHeight="false" outlineLevel="0" collapsed="false">
      <c r="A179" s="23" t="s">
        <v>252</v>
      </c>
      <c r="B179" s="23" t="s">
        <v>314</v>
      </c>
      <c r="C179" s="24" t="n">
        <v>-150000</v>
      </c>
      <c r="D179" s="23" t="s">
        <v>312</v>
      </c>
      <c r="E179" s="23" t="s">
        <v>313</v>
      </c>
    </row>
    <row r="180" customFormat="false" ht="15" hidden="false" customHeight="false" outlineLevel="0" collapsed="false">
      <c r="A180" s="23" t="s">
        <v>252</v>
      </c>
      <c r="B180" s="23" t="s">
        <v>314</v>
      </c>
      <c r="C180" s="24" t="n">
        <v>-50000</v>
      </c>
      <c r="D180" s="23" t="s">
        <v>312</v>
      </c>
      <c r="E180" s="23" t="s">
        <v>313</v>
      </c>
    </row>
    <row r="181" customFormat="false" ht="15" hidden="false" customHeight="false" outlineLevel="0" collapsed="false">
      <c r="A181" s="23" t="s">
        <v>139</v>
      </c>
      <c r="B181" s="23" t="s">
        <v>341</v>
      </c>
      <c r="C181" s="24" t="n">
        <v>-12000</v>
      </c>
      <c r="D181" s="23" t="s">
        <v>312</v>
      </c>
      <c r="E181" s="23" t="s">
        <v>321</v>
      </c>
    </row>
    <row r="182" customFormat="false" ht="15" hidden="false" customHeight="false" outlineLevel="0" collapsed="false">
      <c r="A182" s="23" t="s">
        <v>139</v>
      </c>
      <c r="B182" s="23" t="s">
        <v>311</v>
      </c>
      <c r="C182" s="24" t="n">
        <v>-17000</v>
      </c>
      <c r="D182" s="23" t="s">
        <v>312</v>
      </c>
      <c r="E182" s="23" t="s">
        <v>313</v>
      </c>
    </row>
    <row r="183" customFormat="false" ht="15" hidden="false" customHeight="false" outlineLevel="0" collapsed="false">
      <c r="A183" s="23" t="s">
        <v>139</v>
      </c>
      <c r="B183" s="23" t="s">
        <v>342</v>
      </c>
      <c r="C183" s="24" t="n">
        <v>-24000</v>
      </c>
      <c r="D183" s="23" t="s">
        <v>312</v>
      </c>
      <c r="E183" s="23" t="s">
        <v>321</v>
      </c>
    </row>
    <row r="184" customFormat="false" ht="15" hidden="false" customHeight="false" outlineLevel="0" collapsed="false">
      <c r="A184" s="23" t="s">
        <v>139</v>
      </c>
      <c r="B184" s="23" t="s">
        <v>335</v>
      </c>
      <c r="C184" s="24" t="n">
        <v>100000</v>
      </c>
      <c r="D184" s="23" t="s">
        <v>307</v>
      </c>
      <c r="E184" s="23" t="s">
        <v>313</v>
      </c>
    </row>
    <row r="185" customFormat="false" ht="15" hidden="false" customHeight="false" outlineLevel="0" collapsed="false">
      <c r="A185" s="23" t="s">
        <v>139</v>
      </c>
      <c r="B185" s="23" t="s">
        <v>311</v>
      </c>
      <c r="C185" s="24" t="n">
        <v>-70000</v>
      </c>
      <c r="D185" s="23" t="s">
        <v>312</v>
      </c>
      <c r="E185" s="23" t="s">
        <v>313</v>
      </c>
    </row>
    <row r="186" customFormat="false" ht="15" hidden="false" customHeight="false" outlineLevel="0" collapsed="false">
      <c r="A186" s="23" t="s">
        <v>139</v>
      </c>
      <c r="B186" s="23" t="s">
        <v>343</v>
      </c>
      <c r="C186" s="24" t="n">
        <v>350000</v>
      </c>
      <c r="D186" s="23" t="s">
        <v>307</v>
      </c>
      <c r="E186" s="23" t="s">
        <v>334</v>
      </c>
    </row>
    <row r="187" customFormat="false" ht="15" hidden="false" customHeight="false" outlineLevel="0" collapsed="false">
      <c r="A187" s="23" t="s">
        <v>139</v>
      </c>
      <c r="B187" s="23" t="s">
        <v>331</v>
      </c>
      <c r="C187" s="24" t="n">
        <v>-50000</v>
      </c>
      <c r="D187" s="23" t="s">
        <v>312</v>
      </c>
      <c r="E187" s="23" t="s">
        <v>313</v>
      </c>
    </row>
    <row r="188" customFormat="false" ht="15" hidden="false" customHeight="false" outlineLevel="0" collapsed="false">
      <c r="A188" s="23" t="s">
        <v>264</v>
      </c>
      <c r="B188" s="23" t="s">
        <v>343</v>
      </c>
      <c r="C188" s="24" t="n">
        <v>364000</v>
      </c>
      <c r="D188" s="23" t="s">
        <v>307</v>
      </c>
      <c r="E188" s="23" t="s">
        <v>334</v>
      </c>
    </row>
    <row r="189" customFormat="false" ht="15" hidden="false" customHeight="false" outlineLevel="0" collapsed="false">
      <c r="A189" s="23" t="s">
        <v>264</v>
      </c>
      <c r="B189" s="23" t="s">
        <v>314</v>
      </c>
      <c r="C189" s="24" t="n">
        <v>-70000</v>
      </c>
      <c r="D189" s="23" t="s">
        <v>312</v>
      </c>
      <c r="E189" s="23" t="s">
        <v>313</v>
      </c>
    </row>
    <row r="190" customFormat="false" ht="15" hidden="false" customHeight="false" outlineLevel="0" collapsed="false">
      <c r="A190" s="23" t="s">
        <v>264</v>
      </c>
      <c r="B190" s="23" t="s">
        <v>314</v>
      </c>
      <c r="C190" s="24" t="n">
        <v>-20000</v>
      </c>
      <c r="D190" s="23" t="s">
        <v>312</v>
      </c>
      <c r="E190" s="23" t="s">
        <v>313</v>
      </c>
    </row>
    <row r="191" customFormat="false" ht="15" hidden="false" customHeight="false" outlineLevel="0" collapsed="false">
      <c r="A191" s="23" t="s">
        <v>264</v>
      </c>
      <c r="B191" s="23" t="s">
        <v>318</v>
      </c>
      <c r="C191" s="24" t="n">
        <v>-12000</v>
      </c>
      <c r="D191" s="23" t="s">
        <v>312</v>
      </c>
      <c r="E191" s="23" t="s">
        <v>313</v>
      </c>
    </row>
    <row r="192" customFormat="false" ht="15" hidden="false" customHeight="false" outlineLevel="0" collapsed="false">
      <c r="A192" s="23" t="s">
        <v>143</v>
      </c>
      <c r="B192" s="23" t="s">
        <v>316</v>
      </c>
      <c r="C192" s="24" t="n">
        <v>2658993</v>
      </c>
      <c r="D192" s="23" t="s">
        <v>307</v>
      </c>
      <c r="E192" s="23" t="s">
        <v>317</v>
      </c>
    </row>
    <row r="193" customFormat="false" ht="15" hidden="false" customHeight="false" outlineLevel="0" collapsed="false">
      <c r="A193" s="23" t="s">
        <v>143</v>
      </c>
      <c r="B193" s="23" t="s">
        <v>335</v>
      </c>
      <c r="C193" s="24" t="n">
        <v>750000</v>
      </c>
      <c r="D193" s="23" t="s">
        <v>307</v>
      </c>
      <c r="E193" s="23" t="s">
        <v>313</v>
      </c>
    </row>
    <row r="194" customFormat="false" ht="15" hidden="false" customHeight="false" outlineLevel="0" collapsed="false">
      <c r="A194" s="23" t="s">
        <v>143</v>
      </c>
      <c r="B194" s="23" t="s">
        <v>319</v>
      </c>
      <c r="C194" s="24" t="n">
        <v>-300000</v>
      </c>
      <c r="D194" s="23" t="s">
        <v>312</v>
      </c>
      <c r="E194" s="23" t="s">
        <v>313</v>
      </c>
    </row>
    <row r="195" customFormat="false" ht="15" hidden="false" customHeight="false" outlineLevel="0" collapsed="false">
      <c r="A195" s="23" t="s">
        <v>277</v>
      </c>
      <c r="B195" s="23" t="s">
        <v>318</v>
      </c>
      <c r="C195" s="24" t="n">
        <v>-14000</v>
      </c>
      <c r="D195" s="23" t="s">
        <v>312</v>
      </c>
      <c r="E195" s="23" t="s">
        <v>313</v>
      </c>
    </row>
    <row r="196" customFormat="false" ht="15" hidden="false" customHeight="false" outlineLevel="0" collapsed="false">
      <c r="A196" s="23" t="s">
        <v>277</v>
      </c>
      <c r="B196" s="23" t="s">
        <v>318</v>
      </c>
      <c r="C196" s="24" t="n">
        <v>-30000</v>
      </c>
      <c r="D196" s="23" t="s">
        <v>312</v>
      </c>
      <c r="E196" s="23" t="s">
        <v>313</v>
      </c>
    </row>
    <row r="197" customFormat="false" ht="15" hidden="false" customHeight="false" outlineLevel="0" collapsed="false">
      <c r="A197" s="23" t="s">
        <v>277</v>
      </c>
      <c r="B197" s="23" t="s">
        <v>344</v>
      </c>
      <c r="C197" s="24" t="n">
        <v>-54000</v>
      </c>
      <c r="D197" s="23" t="s">
        <v>312</v>
      </c>
      <c r="E197" s="23" t="s">
        <v>313</v>
      </c>
    </row>
    <row r="198" customFormat="false" ht="15" hidden="false" customHeight="false" outlineLevel="0" collapsed="false">
      <c r="A198" s="23" t="s">
        <v>277</v>
      </c>
      <c r="B198" s="23" t="s">
        <v>345</v>
      </c>
      <c r="C198" s="24" t="n">
        <v>500000</v>
      </c>
      <c r="D198" s="23" t="s">
        <v>307</v>
      </c>
      <c r="E198" s="23" t="s">
        <v>334</v>
      </c>
    </row>
    <row r="199" customFormat="false" ht="15" hidden="false" customHeight="false" outlineLevel="0" collapsed="false">
      <c r="A199" s="23" t="s">
        <v>277</v>
      </c>
      <c r="B199" s="23" t="s">
        <v>315</v>
      </c>
      <c r="C199" s="24" t="n">
        <v>-640000</v>
      </c>
      <c r="D199" s="23" t="s">
        <v>312</v>
      </c>
      <c r="E199" s="23" t="s">
        <v>313</v>
      </c>
    </row>
    <row r="200" customFormat="false" ht="15" hidden="false" customHeight="false" outlineLevel="0" collapsed="false">
      <c r="A200" s="23" t="s">
        <v>277</v>
      </c>
      <c r="B200" s="23" t="s">
        <v>315</v>
      </c>
      <c r="C200" s="24" t="n">
        <v>-600000</v>
      </c>
      <c r="D200" s="23" t="s">
        <v>312</v>
      </c>
      <c r="E200" s="23" t="s">
        <v>313</v>
      </c>
    </row>
    <row r="201" customFormat="false" ht="15" hidden="false" customHeight="false" outlineLevel="0" collapsed="false">
      <c r="A201" s="23" t="s">
        <v>146</v>
      </c>
      <c r="B201" s="23" t="s">
        <v>318</v>
      </c>
      <c r="C201" s="24" t="n">
        <v>-18000</v>
      </c>
      <c r="D201" s="23" t="s">
        <v>312</v>
      </c>
      <c r="E201" s="23" t="s">
        <v>313</v>
      </c>
    </row>
    <row r="202" customFormat="false" ht="15" hidden="false" customHeight="false" outlineLevel="0" collapsed="false">
      <c r="A202" s="23" t="s">
        <v>146</v>
      </c>
      <c r="B202" s="23" t="s">
        <v>314</v>
      </c>
      <c r="C202" s="24" t="n">
        <v>-17000</v>
      </c>
      <c r="D202" s="23" t="s">
        <v>312</v>
      </c>
      <c r="E202" s="23" t="s">
        <v>313</v>
      </c>
    </row>
    <row r="203" customFormat="false" ht="15" hidden="false" customHeight="false" outlineLevel="0" collapsed="false">
      <c r="A203" s="23" t="s">
        <v>146</v>
      </c>
      <c r="B203" s="23" t="s">
        <v>314</v>
      </c>
      <c r="C203" s="24" t="n">
        <v>-15000</v>
      </c>
      <c r="D203" s="23" t="s">
        <v>312</v>
      </c>
      <c r="E203" s="23" t="s">
        <v>313</v>
      </c>
    </row>
    <row r="204" customFormat="false" ht="15" hidden="false" customHeight="false" outlineLevel="0" collapsed="false">
      <c r="A204" s="23" t="s">
        <v>148</v>
      </c>
      <c r="B204" s="23" t="s">
        <v>318</v>
      </c>
      <c r="C204" s="24" t="n">
        <v>-50000</v>
      </c>
      <c r="D204" s="23" t="s">
        <v>312</v>
      </c>
      <c r="E204" s="23" t="s">
        <v>313</v>
      </c>
    </row>
    <row r="205" customFormat="false" ht="15" hidden="false" customHeight="false" outlineLevel="0" collapsed="false">
      <c r="A205" s="23" t="s">
        <v>148</v>
      </c>
      <c r="B205" s="23" t="s">
        <v>315</v>
      </c>
      <c r="C205" s="24" t="n">
        <v>-80000</v>
      </c>
      <c r="D205" s="23" t="s">
        <v>312</v>
      </c>
      <c r="E205" s="23" t="s">
        <v>313</v>
      </c>
    </row>
    <row r="206" customFormat="false" ht="15" hidden="false" customHeight="false" outlineLevel="0" collapsed="false">
      <c r="A206" s="23" t="s">
        <v>148</v>
      </c>
      <c r="B206" s="23" t="s">
        <v>314</v>
      </c>
      <c r="C206" s="24" t="n">
        <v>-42000</v>
      </c>
      <c r="D206" s="23" t="s">
        <v>312</v>
      </c>
      <c r="E206" s="23" t="s">
        <v>313</v>
      </c>
    </row>
    <row r="207" customFormat="false" ht="15" hidden="false" customHeight="false" outlineLevel="0" collapsed="false">
      <c r="A207" s="23" t="s">
        <v>148</v>
      </c>
      <c r="B207" s="23" t="s">
        <v>315</v>
      </c>
      <c r="C207" s="24" t="n">
        <v>-200000</v>
      </c>
      <c r="D207" s="23" t="s">
        <v>312</v>
      </c>
      <c r="E207" s="23" t="s">
        <v>313</v>
      </c>
    </row>
    <row r="208" customFormat="false" ht="15" hidden="false" customHeight="false" outlineLevel="0" collapsed="false">
      <c r="A208" s="23" t="s">
        <v>148</v>
      </c>
      <c r="B208" s="23" t="s">
        <v>335</v>
      </c>
      <c r="C208" s="24" t="n">
        <v>50000</v>
      </c>
      <c r="D208" s="23" t="s">
        <v>307</v>
      </c>
      <c r="E208" s="23" t="s">
        <v>313</v>
      </c>
    </row>
    <row r="209" customFormat="false" ht="15" hidden="false" customHeight="false" outlineLevel="0" collapsed="false">
      <c r="A209" s="23" t="s">
        <v>148</v>
      </c>
      <c r="B209" s="23" t="s">
        <v>311</v>
      </c>
      <c r="C209" s="24" t="n">
        <v>-100000</v>
      </c>
      <c r="D209" s="23" t="s">
        <v>312</v>
      </c>
      <c r="E209" s="23" t="s">
        <v>313</v>
      </c>
    </row>
    <row r="210" customFormat="false" ht="15" hidden="false" customHeight="false" outlineLevel="0" collapsed="false">
      <c r="A210" s="23" t="s">
        <v>148</v>
      </c>
      <c r="B210" s="23" t="s">
        <v>318</v>
      </c>
      <c r="C210" s="24" t="n">
        <v>-15000</v>
      </c>
      <c r="D210" s="23" t="s">
        <v>312</v>
      </c>
      <c r="E210" s="23" t="s">
        <v>313</v>
      </c>
    </row>
    <row r="212" customFormat="false" ht="15" hidden="false" customHeight="false" outlineLevel="0" collapsed="false">
      <c r="A212" s="21" t="s">
        <v>346</v>
      </c>
      <c r="B212" s="21"/>
      <c r="C212" s="21"/>
      <c r="D212" s="21"/>
      <c r="E212" s="21"/>
      <c r="F212" s="21"/>
      <c r="G212" s="21"/>
      <c r="H212" s="21"/>
      <c r="I212" s="21"/>
    </row>
    <row r="213" customFormat="false" ht="15" hidden="false" customHeight="false" outlineLevel="0" collapsed="false">
      <c r="A213" s="22" t="s">
        <v>2</v>
      </c>
      <c r="B213" s="22" t="s">
        <v>3</v>
      </c>
      <c r="C213" s="28" t="s">
        <v>347</v>
      </c>
      <c r="D213" s="28" t="s">
        <v>348</v>
      </c>
    </row>
    <row r="214" customFormat="false" ht="15" hidden="false" customHeight="false" outlineLevel="0" collapsed="false">
      <c r="A214" s="23" t="s">
        <v>349</v>
      </c>
      <c r="B214" s="24" t="n">
        <v>191906</v>
      </c>
    </row>
    <row r="215" customFormat="false" ht="15" hidden="false" customHeight="false" outlineLevel="0" collapsed="false">
      <c r="A215" s="23" t="s">
        <v>350</v>
      </c>
      <c r="B215" s="24" t="n">
        <v>17630696</v>
      </c>
      <c r="C215" s="29" t="n">
        <f aca="false">F20</f>
        <v>16410814</v>
      </c>
      <c r="D215" s="29" t="n">
        <f aca="false">B215-C215</f>
        <v>1219882</v>
      </c>
    </row>
    <row r="216" customFormat="false" ht="15" hidden="false" customHeight="false" outlineLevel="0" collapsed="false">
      <c r="A216" s="23" t="s">
        <v>351</v>
      </c>
      <c r="B216" s="24" t="n">
        <v>-17555396</v>
      </c>
    </row>
    <row r="217" customFormat="false" ht="15" hidden="false" customHeight="false" outlineLevel="0" collapsed="false">
      <c r="A217" s="25" t="s">
        <v>352</v>
      </c>
      <c r="B217" s="26" t="n">
        <f aca="false">SUM(B214:B216)</f>
        <v>267206</v>
      </c>
    </row>
    <row r="218" customFormat="false" ht="15" hidden="false" customHeight="false" outlineLevel="0" collapsed="false">
      <c r="A218" s="25" t="s">
        <v>353</v>
      </c>
      <c r="B218" s="26" t="n">
        <v>267206</v>
      </c>
    </row>
    <row r="219" customFormat="false" ht="15" hidden="false" customHeight="false" outlineLevel="0" collapsed="false">
      <c r="A219" s="25" t="s">
        <v>354</v>
      </c>
      <c r="B219" s="26" t="n">
        <f aca="false">B217-B218</f>
        <v>0</v>
      </c>
    </row>
    <row r="221" customFormat="false" ht="30" hidden="false" customHeight="true" outlineLevel="0" collapsed="false">
      <c r="A221" s="30" t="s">
        <v>355</v>
      </c>
      <c r="B221" s="30"/>
      <c r="C221" s="30"/>
      <c r="D221" s="30"/>
      <c r="E221" s="30"/>
      <c r="F221" s="30"/>
      <c r="G221" s="30"/>
      <c r="H221" s="30"/>
    </row>
  </sheetData>
  <mergeCells count="7">
    <mergeCell ref="A1:I1"/>
    <mergeCell ref="A2:I2"/>
    <mergeCell ref="A4:I4"/>
    <mergeCell ref="A22:I22"/>
    <mergeCell ref="A96:I96"/>
    <mergeCell ref="A212:I212"/>
    <mergeCell ref="A221:H2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6" min="2"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6.15" hidden="false" customHeight="false" outlineLevel="0" collapsed="false">
      <c r="A1" s="19" t="s">
        <v>356</v>
      </c>
      <c r="B1" s="19"/>
      <c r="C1" s="19"/>
      <c r="D1" s="19"/>
      <c r="E1" s="19"/>
      <c r="F1" s="19"/>
      <c r="G1" s="19"/>
      <c r="H1" s="19"/>
      <c r="I1" s="19"/>
    </row>
    <row r="2" customFormat="false" ht="15" hidden="false" customHeight="false" outlineLevel="0" collapsed="false">
      <c r="A2" s="20" t="s">
        <v>357</v>
      </c>
      <c r="B2" s="20"/>
      <c r="C2" s="20"/>
      <c r="D2" s="20"/>
      <c r="E2" s="20"/>
      <c r="F2" s="20"/>
      <c r="G2" s="20"/>
      <c r="H2" s="20"/>
      <c r="I2" s="20"/>
    </row>
    <row r="4" customFormat="false" ht="15" hidden="false" customHeight="false" outlineLevel="0" collapsed="false">
      <c r="A4" s="21" t="s">
        <v>108</v>
      </c>
      <c r="B4" s="21"/>
      <c r="C4" s="21"/>
      <c r="D4" s="21"/>
      <c r="E4" s="21"/>
      <c r="F4" s="21"/>
      <c r="G4" s="21"/>
      <c r="H4" s="21"/>
      <c r="I4" s="21"/>
    </row>
    <row r="5" customFormat="false" ht="15" hidden="false" customHeight="false" outlineLevel="0" collapsed="false">
      <c r="A5" s="22" t="s">
        <v>109</v>
      </c>
      <c r="B5" s="22" t="s">
        <v>110</v>
      </c>
      <c r="C5" s="22" t="s">
        <v>111</v>
      </c>
      <c r="D5" s="22" t="s">
        <v>112</v>
      </c>
      <c r="E5" s="22" t="s">
        <v>113</v>
      </c>
      <c r="F5" s="22" t="s">
        <v>114</v>
      </c>
      <c r="G5" s="22" t="s">
        <v>115</v>
      </c>
      <c r="H5" s="22" t="s">
        <v>116</v>
      </c>
    </row>
    <row r="6" customFormat="false" ht="15" hidden="false" customHeight="false" outlineLevel="0" collapsed="false">
      <c r="A6" s="23" t="s">
        <v>358</v>
      </c>
      <c r="B6" s="23" t="s">
        <v>359</v>
      </c>
      <c r="C6" s="23" t="s">
        <v>360</v>
      </c>
      <c r="D6" s="24" t="n">
        <v>370000</v>
      </c>
      <c r="E6" s="24" t="n">
        <v>70300</v>
      </c>
      <c r="F6" s="24" t="n">
        <v>440300</v>
      </c>
      <c r="G6" s="23" t="s">
        <v>156</v>
      </c>
      <c r="H6" s="23" t="s">
        <v>361</v>
      </c>
    </row>
    <row r="7" customFormat="false" ht="15" hidden="false" customHeight="false" outlineLevel="0" collapsed="false">
      <c r="A7" s="23" t="s">
        <v>117</v>
      </c>
      <c r="B7" s="23" t="s">
        <v>362</v>
      </c>
      <c r="C7" s="23" t="s">
        <v>363</v>
      </c>
      <c r="D7" s="24" t="n">
        <v>1818400</v>
      </c>
      <c r="E7" s="24" t="n">
        <v>345496</v>
      </c>
      <c r="F7" s="24" t="n">
        <v>2163896</v>
      </c>
      <c r="G7" s="23" t="s">
        <v>120</v>
      </c>
      <c r="H7" s="23" t="s">
        <v>121</v>
      </c>
    </row>
    <row r="8" customFormat="false" ht="15" hidden="false" customHeight="false" outlineLevel="0" collapsed="false">
      <c r="A8" s="23" t="s">
        <v>117</v>
      </c>
      <c r="B8" s="23" t="s">
        <v>364</v>
      </c>
      <c r="C8" s="23" t="s">
        <v>365</v>
      </c>
      <c r="D8" s="24" t="n">
        <v>2006400</v>
      </c>
      <c r="E8" s="24" t="n">
        <v>381216</v>
      </c>
      <c r="F8" s="24" t="n">
        <v>2387616</v>
      </c>
      <c r="G8" s="23" t="s">
        <v>120</v>
      </c>
      <c r="H8" s="23" t="s">
        <v>121</v>
      </c>
    </row>
    <row r="9" customFormat="false" ht="15" hidden="false" customHeight="false" outlineLevel="0" collapsed="false">
      <c r="A9" s="23" t="s">
        <v>366</v>
      </c>
      <c r="B9" s="23" t="s">
        <v>367</v>
      </c>
      <c r="C9" s="23" t="s">
        <v>368</v>
      </c>
      <c r="D9" s="24" t="n">
        <v>580000</v>
      </c>
      <c r="E9" s="24" t="n">
        <v>110200</v>
      </c>
      <c r="F9" s="24" t="n">
        <v>690200</v>
      </c>
      <c r="G9" s="23" t="s">
        <v>120</v>
      </c>
      <c r="H9" s="23" t="s">
        <v>121</v>
      </c>
    </row>
    <row r="10" customFormat="false" ht="15" hidden="false" customHeight="false" outlineLevel="0" collapsed="false">
      <c r="A10" s="23" t="s">
        <v>144</v>
      </c>
      <c r="B10" s="23" t="s">
        <v>123</v>
      </c>
      <c r="C10" s="23" t="s">
        <v>360</v>
      </c>
      <c r="D10" s="24" t="n">
        <v>370000</v>
      </c>
      <c r="E10" s="24" t="n">
        <v>70300</v>
      </c>
      <c r="F10" s="24" t="n">
        <v>440300</v>
      </c>
      <c r="G10" s="23" t="s">
        <v>120</v>
      </c>
      <c r="H10" s="23" t="s">
        <v>121</v>
      </c>
    </row>
    <row r="11" customFormat="false" ht="15" hidden="false" customHeight="false" outlineLevel="0" collapsed="false">
      <c r="A11" s="25" t="s">
        <v>149</v>
      </c>
      <c r="F11" s="26" t="n">
        <v>6122312</v>
      </c>
      <c r="G11" s="27" t="s">
        <v>369</v>
      </c>
    </row>
    <row r="13" customFormat="false" ht="15" hidden="false" customHeight="false" outlineLevel="0" collapsed="false">
      <c r="A13" s="21" t="s">
        <v>151</v>
      </c>
      <c r="B13" s="21"/>
      <c r="C13" s="21"/>
      <c r="D13" s="21"/>
      <c r="E13" s="21"/>
      <c r="F13" s="21"/>
      <c r="G13" s="21"/>
      <c r="H13" s="21"/>
      <c r="I13" s="21"/>
    </row>
    <row r="14" customFormat="false" ht="15" hidden="false" customHeight="false" outlineLevel="0" collapsed="false">
      <c r="A14" s="22" t="s">
        <v>152</v>
      </c>
      <c r="B14" s="22" t="s">
        <v>110</v>
      </c>
      <c r="C14" s="22" t="s">
        <v>111</v>
      </c>
      <c r="D14" s="22" t="s">
        <v>112</v>
      </c>
      <c r="E14" s="22" t="s">
        <v>113</v>
      </c>
      <c r="F14" s="22" t="s">
        <v>114</v>
      </c>
      <c r="G14" s="22" t="s">
        <v>115</v>
      </c>
      <c r="H14" s="22" t="s">
        <v>116</v>
      </c>
    </row>
    <row r="15" customFormat="false" ht="15" hidden="false" customHeight="false" outlineLevel="0" collapsed="false">
      <c r="A15" s="23" t="s">
        <v>370</v>
      </c>
      <c r="B15" s="23" t="s">
        <v>371</v>
      </c>
      <c r="C15" s="23" t="s">
        <v>360</v>
      </c>
      <c r="D15" s="24" t="n">
        <v>17017</v>
      </c>
      <c r="E15" s="24" t="n">
        <v>3233</v>
      </c>
      <c r="F15" s="24" t="n">
        <v>20250</v>
      </c>
      <c r="G15" s="23" t="s">
        <v>120</v>
      </c>
      <c r="H15" s="23" t="s">
        <v>161</v>
      </c>
    </row>
    <row r="16" customFormat="false" ht="15" hidden="false" customHeight="false" outlineLevel="0" collapsed="false">
      <c r="A16" s="23" t="s">
        <v>370</v>
      </c>
      <c r="B16" s="23" t="s">
        <v>372</v>
      </c>
      <c r="C16" s="23" t="s">
        <v>360</v>
      </c>
      <c r="D16" s="24" t="n">
        <v>10168</v>
      </c>
      <c r="E16" s="24" t="n">
        <v>1932</v>
      </c>
      <c r="F16" s="24" t="n">
        <v>12100</v>
      </c>
      <c r="G16" s="23" t="s">
        <v>120</v>
      </c>
      <c r="H16" s="23" t="s">
        <v>161</v>
      </c>
    </row>
    <row r="17" customFormat="false" ht="15" hidden="false" customHeight="false" outlineLevel="0" collapsed="false">
      <c r="A17" s="23" t="s">
        <v>153</v>
      </c>
      <c r="B17" s="23" t="s">
        <v>373</v>
      </c>
      <c r="C17" s="23" t="s">
        <v>360</v>
      </c>
      <c r="D17" s="24" t="n">
        <v>892481</v>
      </c>
      <c r="E17" s="24" t="n">
        <v>169572</v>
      </c>
      <c r="F17" s="24" t="n">
        <v>1300000</v>
      </c>
      <c r="G17" s="23" t="s">
        <v>156</v>
      </c>
      <c r="H17" s="23" t="s">
        <v>374</v>
      </c>
    </row>
    <row r="18" customFormat="false" ht="15" hidden="false" customHeight="false" outlineLevel="0" collapsed="false">
      <c r="A18" s="23" t="s">
        <v>375</v>
      </c>
      <c r="B18" s="23" t="s">
        <v>376</v>
      </c>
      <c r="C18" s="23" t="s">
        <v>377</v>
      </c>
      <c r="D18" s="24" t="n">
        <v>25210</v>
      </c>
      <c r="E18" s="24" t="n">
        <v>4790</v>
      </c>
      <c r="F18" s="24" t="n">
        <v>30000</v>
      </c>
      <c r="G18" s="23" t="s">
        <v>156</v>
      </c>
      <c r="H18" s="23" t="s">
        <v>378</v>
      </c>
    </row>
    <row r="19" customFormat="false" ht="15" hidden="false" customHeight="false" outlineLevel="0" collapsed="false">
      <c r="A19" s="23" t="s">
        <v>158</v>
      </c>
      <c r="B19" s="23" t="s">
        <v>379</v>
      </c>
      <c r="C19" s="23" t="s">
        <v>377</v>
      </c>
      <c r="D19" s="24" t="n">
        <v>19061</v>
      </c>
      <c r="E19" s="24" t="n">
        <v>3622</v>
      </c>
      <c r="F19" s="24" t="n">
        <v>22683</v>
      </c>
      <c r="G19" s="23" t="s">
        <v>120</v>
      </c>
      <c r="H19" s="23" t="s">
        <v>161</v>
      </c>
    </row>
    <row r="20" customFormat="false" ht="15" hidden="false" customHeight="false" outlineLevel="0" collapsed="false">
      <c r="A20" s="23" t="s">
        <v>235</v>
      </c>
      <c r="B20" s="23" t="s">
        <v>380</v>
      </c>
      <c r="C20" s="23" t="s">
        <v>377</v>
      </c>
      <c r="D20" s="24" t="n">
        <v>251770</v>
      </c>
      <c r="E20" s="24" t="n">
        <v>47836</v>
      </c>
      <c r="F20" s="24" t="n">
        <v>299606</v>
      </c>
      <c r="G20" s="23" t="s">
        <v>156</v>
      </c>
      <c r="H20" s="23" t="s">
        <v>381</v>
      </c>
    </row>
    <row r="21" customFormat="false" ht="15" hidden="false" customHeight="false" outlineLevel="0" collapsed="false">
      <c r="A21" s="23" t="s">
        <v>235</v>
      </c>
      <c r="B21" s="23" t="s">
        <v>382</v>
      </c>
      <c r="C21" s="23" t="s">
        <v>377</v>
      </c>
      <c r="D21" s="24" t="n">
        <v>18674</v>
      </c>
      <c r="E21" s="24" t="n">
        <v>3548</v>
      </c>
      <c r="F21" s="24" t="n">
        <v>22222</v>
      </c>
      <c r="G21" s="23" t="s">
        <v>120</v>
      </c>
      <c r="H21" s="23" t="s">
        <v>161</v>
      </c>
    </row>
    <row r="22" customFormat="false" ht="15" hidden="false" customHeight="false" outlineLevel="0" collapsed="false">
      <c r="A22" s="23" t="s">
        <v>191</v>
      </c>
      <c r="B22" s="23" t="s">
        <v>383</v>
      </c>
      <c r="C22" s="23" t="s">
        <v>377</v>
      </c>
      <c r="D22" s="24" t="n">
        <v>77600</v>
      </c>
      <c r="E22" s="24" t="n">
        <v>14744</v>
      </c>
      <c r="F22" s="24" t="n">
        <v>92344</v>
      </c>
      <c r="G22" s="23" t="s">
        <v>156</v>
      </c>
      <c r="H22" s="23" t="s">
        <v>384</v>
      </c>
    </row>
    <row r="23" customFormat="false" ht="15" hidden="false" customHeight="false" outlineLevel="0" collapsed="false">
      <c r="A23" s="23" t="s">
        <v>193</v>
      </c>
      <c r="B23" s="23" t="s">
        <v>385</v>
      </c>
      <c r="C23" s="23" t="s">
        <v>377</v>
      </c>
      <c r="D23" s="24" t="n">
        <v>15109</v>
      </c>
      <c r="E23" s="24" t="n">
        <v>2871</v>
      </c>
      <c r="F23" s="24" t="n">
        <v>17980</v>
      </c>
      <c r="G23" s="23" t="s">
        <v>156</v>
      </c>
      <c r="H23" s="23" t="s">
        <v>386</v>
      </c>
    </row>
    <row r="24" customFormat="false" ht="15" hidden="false" customHeight="false" outlineLevel="0" collapsed="false">
      <c r="A24" s="23" t="s">
        <v>387</v>
      </c>
      <c r="B24" s="23" t="s">
        <v>388</v>
      </c>
      <c r="C24" s="23" t="s">
        <v>377</v>
      </c>
      <c r="D24" s="24" t="n">
        <v>66387</v>
      </c>
      <c r="E24" s="24" t="n">
        <v>12614</v>
      </c>
      <c r="F24" s="24" t="n">
        <v>79001</v>
      </c>
      <c r="G24" s="23" t="s">
        <v>120</v>
      </c>
      <c r="H24" s="23" t="s">
        <v>161</v>
      </c>
    </row>
    <row r="25" customFormat="false" ht="15" hidden="false" customHeight="false" outlineLevel="0" collapsed="false">
      <c r="A25" s="23" t="s">
        <v>182</v>
      </c>
      <c r="B25" s="23" t="s">
        <v>389</v>
      </c>
      <c r="C25" s="23" t="s">
        <v>377</v>
      </c>
      <c r="D25" s="24" t="n">
        <v>8403</v>
      </c>
      <c r="E25" s="24" t="n">
        <v>1597</v>
      </c>
      <c r="F25" s="24" t="n">
        <v>10000</v>
      </c>
      <c r="G25" s="23" t="s">
        <v>120</v>
      </c>
      <c r="H25" s="23" t="s">
        <v>161</v>
      </c>
    </row>
    <row r="26" customFormat="false" ht="15" hidden="false" customHeight="false" outlineLevel="0" collapsed="false">
      <c r="A26" s="23" t="s">
        <v>182</v>
      </c>
      <c r="B26" s="23" t="s">
        <v>390</v>
      </c>
      <c r="C26" s="23" t="s">
        <v>391</v>
      </c>
      <c r="D26" s="24" t="n">
        <v>29418</v>
      </c>
      <c r="E26" s="24" t="n">
        <v>5590</v>
      </c>
      <c r="F26" s="24" t="n">
        <v>41580</v>
      </c>
      <c r="G26" s="23" t="s">
        <v>120</v>
      </c>
      <c r="H26" s="23" t="s">
        <v>161</v>
      </c>
    </row>
    <row r="27" customFormat="false" ht="15" hidden="false" customHeight="false" outlineLevel="0" collapsed="false">
      <c r="A27" s="23" t="s">
        <v>182</v>
      </c>
      <c r="B27" s="23" t="s">
        <v>392</v>
      </c>
      <c r="C27" s="23" t="s">
        <v>391</v>
      </c>
      <c r="D27" s="24" t="n">
        <v>33298</v>
      </c>
      <c r="E27" s="24" t="n">
        <v>6327</v>
      </c>
      <c r="F27" s="24" t="n">
        <v>50000</v>
      </c>
      <c r="G27" s="23" t="s">
        <v>156</v>
      </c>
      <c r="H27" s="23" t="s">
        <v>393</v>
      </c>
    </row>
    <row r="28" customFormat="false" ht="15" hidden="false" customHeight="false" outlineLevel="0" collapsed="false">
      <c r="A28" s="23" t="s">
        <v>182</v>
      </c>
      <c r="B28" s="23" t="s">
        <v>394</v>
      </c>
      <c r="C28" s="23" t="s">
        <v>395</v>
      </c>
      <c r="D28" s="24" t="n">
        <v>8403</v>
      </c>
      <c r="E28" s="24" t="n">
        <v>1597</v>
      </c>
      <c r="F28" s="24" t="n">
        <v>10000</v>
      </c>
      <c r="G28" s="23" t="s">
        <v>120</v>
      </c>
      <c r="H28" s="23" t="s">
        <v>161</v>
      </c>
    </row>
    <row r="29" customFormat="false" ht="15" hidden="false" customHeight="false" outlineLevel="0" collapsed="false">
      <c r="A29" s="23" t="s">
        <v>158</v>
      </c>
      <c r="B29" s="23" t="s">
        <v>396</v>
      </c>
      <c r="C29" s="23" t="s">
        <v>397</v>
      </c>
      <c r="D29" s="24" t="n">
        <v>17771</v>
      </c>
      <c r="E29" s="24" t="n">
        <v>3376</v>
      </c>
      <c r="F29" s="24" t="n">
        <v>21147</v>
      </c>
      <c r="G29" s="23" t="s">
        <v>120</v>
      </c>
      <c r="H29" s="23" t="s">
        <v>161</v>
      </c>
    </row>
    <row r="30" customFormat="false" ht="15" hidden="false" customHeight="false" outlineLevel="0" collapsed="false">
      <c r="A30" s="23" t="s">
        <v>219</v>
      </c>
      <c r="B30" s="23" t="s">
        <v>398</v>
      </c>
      <c r="C30" s="23" t="s">
        <v>399</v>
      </c>
      <c r="D30" s="24" t="n">
        <v>30470</v>
      </c>
      <c r="E30" s="24" t="n">
        <v>5789</v>
      </c>
      <c r="F30" s="24" t="n">
        <v>36259</v>
      </c>
      <c r="G30" s="23" t="s">
        <v>156</v>
      </c>
      <c r="H30" s="23" t="s">
        <v>400</v>
      </c>
    </row>
    <row r="31" customFormat="false" ht="15" hidden="false" customHeight="false" outlineLevel="0" collapsed="false">
      <c r="A31" s="23" t="s">
        <v>235</v>
      </c>
      <c r="B31" s="23" t="s">
        <v>401</v>
      </c>
      <c r="C31" s="23" t="s">
        <v>399</v>
      </c>
      <c r="D31" s="24" t="n">
        <v>40516</v>
      </c>
      <c r="E31" s="24" t="n">
        <v>7698</v>
      </c>
      <c r="F31" s="24" t="n">
        <v>48214</v>
      </c>
      <c r="G31" s="23" t="s">
        <v>120</v>
      </c>
      <c r="H31" s="23" t="s">
        <v>161</v>
      </c>
    </row>
    <row r="32" customFormat="false" ht="15" hidden="false" customHeight="false" outlineLevel="0" collapsed="false">
      <c r="A32" s="23" t="s">
        <v>235</v>
      </c>
      <c r="B32" s="23" t="s">
        <v>402</v>
      </c>
      <c r="C32" s="23" t="s">
        <v>399</v>
      </c>
      <c r="D32" s="24" t="n">
        <v>12480</v>
      </c>
      <c r="E32" s="24" t="n">
        <v>2371</v>
      </c>
      <c r="F32" s="24" t="n">
        <v>14851</v>
      </c>
      <c r="G32" s="23" t="s">
        <v>120</v>
      </c>
      <c r="H32" s="23" t="s">
        <v>161</v>
      </c>
    </row>
    <row r="33" customFormat="false" ht="15" hidden="false" customHeight="false" outlineLevel="0" collapsed="false">
      <c r="A33" s="23" t="s">
        <v>182</v>
      </c>
      <c r="B33" s="23" t="s">
        <v>403</v>
      </c>
      <c r="C33" s="23" t="s">
        <v>399</v>
      </c>
      <c r="D33" s="24" t="n">
        <v>33097</v>
      </c>
      <c r="E33" s="24" t="n">
        <v>6289</v>
      </c>
      <c r="F33" s="24" t="n">
        <v>50000</v>
      </c>
      <c r="G33" s="23" t="s">
        <v>156</v>
      </c>
      <c r="H33" s="23" t="s">
        <v>404</v>
      </c>
    </row>
    <row r="34" customFormat="false" ht="15" hidden="false" customHeight="false" outlineLevel="0" collapsed="false">
      <c r="A34" s="23" t="s">
        <v>405</v>
      </c>
      <c r="B34" s="23" t="s">
        <v>406</v>
      </c>
      <c r="C34" s="23" t="s">
        <v>399</v>
      </c>
      <c r="D34" s="24" t="n">
        <v>74011</v>
      </c>
      <c r="E34" s="24" t="n">
        <v>14062</v>
      </c>
      <c r="F34" s="24" t="n">
        <v>88073</v>
      </c>
      <c r="G34" s="23" t="s">
        <v>156</v>
      </c>
      <c r="H34" s="23" t="s">
        <v>407</v>
      </c>
    </row>
    <row r="35" customFormat="false" ht="15" hidden="false" customHeight="false" outlineLevel="0" collapsed="false">
      <c r="A35" s="23" t="s">
        <v>193</v>
      </c>
      <c r="B35" s="23" t="s">
        <v>408</v>
      </c>
      <c r="C35" s="23" t="s">
        <v>409</v>
      </c>
      <c r="D35" s="24" t="n">
        <v>65538</v>
      </c>
      <c r="E35" s="24" t="n">
        <v>12452</v>
      </c>
      <c r="F35" s="24" t="n">
        <v>77990</v>
      </c>
      <c r="G35" s="23" t="s">
        <v>156</v>
      </c>
      <c r="H35" s="23" t="s">
        <v>410</v>
      </c>
    </row>
    <row r="36" customFormat="false" ht="15" hidden="false" customHeight="false" outlineLevel="0" collapsed="false">
      <c r="A36" s="23" t="s">
        <v>158</v>
      </c>
      <c r="B36" s="23" t="s">
        <v>411</v>
      </c>
      <c r="C36" s="23" t="s">
        <v>409</v>
      </c>
      <c r="D36" s="24" t="n">
        <v>11904</v>
      </c>
      <c r="E36" s="24" t="n">
        <v>2262</v>
      </c>
      <c r="F36" s="24" t="n">
        <v>14166</v>
      </c>
      <c r="G36" s="23" t="s">
        <v>120</v>
      </c>
      <c r="H36" s="23" t="s">
        <v>161</v>
      </c>
    </row>
    <row r="37" customFormat="false" ht="15" hidden="false" customHeight="false" outlineLevel="0" collapsed="false">
      <c r="A37" s="23" t="s">
        <v>182</v>
      </c>
      <c r="B37" s="23" t="s">
        <v>412</v>
      </c>
      <c r="C37" s="23" t="s">
        <v>413</v>
      </c>
      <c r="D37" s="24" t="n">
        <v>37951</v>
      </c>
      <c r="E37" s="24" t="n">
        <v>7211</v>
      </c>
      <c r="F37" s="24" t="n">
        <v>50000</v>
      </c>
      <c r="G37" s="23" t="s">
        <v>156</v>
      </c>
      <c r="H37" s="23" t="s">
        <v>414</v>
      </c>
    </row>
    <row r="38" customFormat="false" ht="15" hidden="false" customHeight="false" outlineLevel="0" collapsed="false">
      <c r="A38" s="23" t="s">
        <v>158</v>
      </c>
      <c r="B38" s="23" t="s">
        <v>415</v>
      </c>
      <c r="C38" s="23" t="s">
        <v>416</v>
      </c>
      <c r="D38" s="24" t="n">
        <v>189112</v>
      </c>
      <c r="E38" s="24" t="n">
        <v>35931</v>
      </c>
      <c r="F38" s="24" t="n">
        <v>225043</v>
      </c>
      <c r="G38" s="23" t="s">
        <v>120</v>
      </c>
      <c r="H38" s="23" t="s">
        <v>161</v>
      </c>
    </row>
    <row r="39" customFormat="false" ht="15" hidden="false" customHeight="false" outlineLevel="0" collapsed="false">
      <c r="A39" s="23" t="s">
        <v>262</v>
      </c>
      <c r="B39" s="23" t="s">
        <v>417</v>
      </c>
      <c r="C39" s="23" t="s">
        <v>413</v>
      </c>
      <c r="D39" s="24" t="n">
        <v>22771</v>
      </c>
      <c r="E39" s="24" t="n">
        <v>4326</v>
      </c>
      <c r="F39" s="24" t="n">
        <v>30000</v>
      </c>
      <c r="G39" s="23" t="s">
        <v>156</v>
      </c>
      <c r="H39" s="23" t="s">
        <v>418</v>
      </c>
    </row>
    <row r="40" customFormat="false" ht="15" hidden="false" customHeight="false" outlineLevel="0" collapsed="false">
      <c r="A40" s="23" t="s">
        <v>153</v>
      </c>
      <c r="B40" s="23" t="s">
        <v>419</v>
      </c>
      <c r="C40" s="23" t="s">
        <v>420</v>
      </c>
      <c r="D40" s="24" t="n">
        <v>759419</v>
      </c>
      <c r="E40" s="24" t="n">
        <v>144289</v>
      </c>
      <c r="F40" s="24" t="n">
        <v>1000000</v>
      </c>
      <c r="G40" s="23" t="s">
        <v>156</v>
      </c>
      <c r="H40" s="23" t="s">
        <v>421</v>
      </c>
    </row>
    <row r="41" customFormat="false" ht="15" hidden="false" customHeight="false" outlineLevel="0" collapsed="false">
      <c r="A41" s="23" t="s">
        <v>169</v>
      </c>
      <c r="B41" s="23" t="s">
        <v>422</v>
      </c>
      <c r="C41" s="23" t="s">
        <v>423</v>
      </c>
      <c r="D41" s="24" t="n">
        <v>536255</v>
      </c>
      <c r="E41" s="24" t="n">
        <v>101889</v>
      </c>
      <c r="F41" s="24" t="n">
        <v>638144</v>
      </c>
      <c r="G41" s="23" t="s">
        <v>120</v>
      </c>
      <c r="H41" s="23" t="s">
        <v>161</v>
      </c>
    </row>
    <row r="42" customFormat="false" ht="15" hidden="false" customHeight="false" outlineLevel="0" collapsed="false">
      <c r="A42" s="23" t="s">
        <v>182</v>
      </c>
      <c r="B42" s="23" t="s">
        <v>424</v>
      </c>
      <c r="C42" s="23" t="s">
        <v>423</v>
      </c>
      <c r="D42" s="24" t="n">
        <v>8403</v>
      </c>
      <c r="E42" s="24" t="n">
        <v>1597</v>
      </c>
      <c r="F42" s="24" t="n">
        <v>10000</v>
      </c>
      <c r="G42" s="23" t="s">
        <v>120</v>
      </c>
      <c r="H42" s="23" t="s">
        <v>161</v>
      </c>
    </row>
    <row r="43" customFormat="false" ht="15" hidden="false" customHeight="false" outlineLevel="0" collapsed="false">
      <c r="A43" s="23" t="s">
        <v>425</v>
      </c>
      <c r="B43" s="23" t="s">
        <v>426</v>
      </c>
      <c r="C43" s="23" t="s">
        <v>427</v>
      </c>
      <c r="D43" s="24" t="n">
        <v>70000</v>
      </c>
      <c r="E43" s="24" t="n">
        <v>13300</v>
      </c>
      <c r="F43" s="24" t="n">
        <v>83300</v>
      </c>
      <c r="G43" s="23" t="s">
        <v>156</v>
      </c>
      <c r="H43" s="23" t="s">
        <v>428</v>
      </c>
    </row>
    <row r="44" customFormat="false" ht="15" hidden="false" customHeight="false" outlineLevel="0" collapsed="false">
      <c r="A44" s="23" t="s">
        <v>182</v>
      </c>
      <c r="B44" s="23" t="s">
        <v>429</v>
      </c>
      <c r="C44" s="23" t="s">
        <v>427</v>
      </c>
      <c r="D44" s="24" t="n">
        <v>75752</v>
      </c>
      <c r="E44" s="24" t="n">
        <v>14393</v>
      </c>
      <c r="F44" s="24" t="n">
        <v>100000</v>
      </c>
      <c r="G44" s="23" t="s">
        <v>156</v>
      </c>
      <c r="H44" s="23" t="s">
        <v>430</v>
      </c>
    </row>
    <row r="45" customFormat="false" ht="15" hidden="false" customHeight="false" outlineLevel="0" collapsed="false">
      <c r="A45" s="23" t="s">
        <v>262</v>
      </c>
      <c r="B45" s="23" t="s">
        <v>431</v>
      </c>
      <c r="C45" s="23" t="s">
        <v>432</v>
      </c>
      <c r="D45" s="24" t="n">
        <v>16347</v>
      </c>
      <c r="E45" s="24" t="n">
        <v>2798</v>
      </c>
      <c r="F45" s="24" t="n">
        <v>19145</v>
      </c>
      <c r="G45" s="23" t="s">
        <v>156</v>
      </c>
      <c r="H45" s="23" t="s">
        <v>433</v>
      </c>
    </row>
    <row r="46" customFormat="false" ht="15" hidden="false" customHeight="false" outlineLevel="0" collapsed="false">
      <c r="A46" s="23" t="s">
        <v>162</v>
      </c>
      <c r="B46" s="23" t="s">
        <v>434</v>
      </c>
      <c r="C46" s="23" t="s">
        <v>435</v>
      </c>
      <c r="D46" s="24" t="n">
        <v>37807</v>
      </c>
      <c r="E46" s="24" t="n">
        <v>7183</v>
      </c>
      <c r="F46" s="24" t="n">
        <v>44990</v>
      </c>
      <c r="G46" s="23" t="s">
        <v>120</v>
      </c>
      <c r="H46" s="23" t="s">
        <v>161</v>
      </c>
    </row>
    <row r="47" customFormat="false" ht="15" hidden="false" customHeight="false" outlineLevel="0" collapsed="false">
      <c r="A47" s="23" t="s">
        <v>162</v>
      </c>
      <c r="B47" s="23" t="s">
        <v>436</v>
      </c>
      <c r="C47" s="23" t="s">
        <v>435</v>
      </c>
      <c r="D47" s="24" t="n">
        <v>18977</v>
      </c>
      <c r="E47" s="24" t="n">
        <v>3606</v>
      </c>
      <c r="F47" s="24" t="n">
        <v>22583</v>
      </c>
      <c r="G47" s="23" t="s">
        <v>120</v>
      </c>
      <c r="H47" s="23" t="s">
        <v>161</v>
      </c>
    </row>
    <row r="48" customFormat="false" ht="15" hidden="false" customHeight="false" outlineLevel="0" collapsed="false">
      <c r="A48" s="23" t="s">
        <v>153</v>
      </c>
      <c r="B48" s="23" t="s">
        <v>437</v>
      </c>
      <c r="C48" s="23" t="s">
        <v>438</v>
      </c>
      <c r="D48" s="24" t="n">
        <v>811375</v>
      </c>
      <c r="E48" s="24" t="n">
        <v>154161</v>
      </c>
      <c r="F48" s="24" t="n">
        <v>1000000</v>
      </c>
      <c r="G48" s="23" t="s">
        <v>156</v>
      </c>
      <c r="H48" s="23" t="s">
        <v>439</v>
      </c>
    </row>
    <row r="49" customFormat="false" ht="15" hidden="false" customHeight="false" outlineLevel="0" collapsed="false">
      <c r="A49" s="23" t="s">
        <v>440</v>
      </c>
      <c r="B49" s="23" t="s">
        <v>441</v>
      </c>
      <c r="C49" s="23" t="s">
        <v>438</v>
      </c>
      <c r="D49" s="24" t="n">
        <v>983773</v>
      </c>
      <c r="E49" s="24" t="n">
        <v>186918</v>
      </c>
      <c r="F49" s="24" t="n">
        <v>1170691</v>
      </c>
      <c r="G49" s="23" t="s">
        <v>120</v>
      </c>
      <c r="H49" s="23" t="s">
        <v>161</v>
      </c>
    </row>
    <row r="50" customFormat="false" ht="15" hidden="false" customHeight="false" outlineLevel="0" collapsed="false">
      <c r="A50" s="23" t="s">
        <v>442</v>
      </c>
      <c r="B50" s="23" t="s">
        <v>443</v>
      </c>
      <c r="C50" s="23" t="s">
        <v>438</v>
      </c>
      <c r="D50" s="24" t="n">
        <v>21008</v>
      </c>
      <c r="E50" s="24" t="n">
        <v>3992</v>
      </c>
      <c r="F50" s="24" t="n">
        <v>25000</v>
      </c>
      <c r="G50" s="23" t="s">
        <v>156</v>
      </c>
      <c r="H50" s="23" t="s">
        <v>444</v>
      </c>
    </row>
    <row r="51" customFormat="false" ht="15" hidden="false" customHeight="false" outlineLevel="0" collapsed="false">
      <c r="A51" s="23" t="s">
        <v>182</v>
      </c>
      <c r="B51" s="23" t="s">
        <v>445</v>
      </c>
      <c r="C51" s="23" t="s">
        <v>438</v>
      </c>
      <c r="D51" s="24" t="n">
        <v>12605</v>
      </c>
      <c r="E51" s="24" t="n">
        <v>2395</v>
      </c>
      <c r="F51" s="24" t="n">
        <v>15000</v>
      </c>
      <c r="G51" s="23" t="s">
        <v>156</v>
      </c>
      <c r="H51" s="23" t="s">
        <v>446</v>
      </c>
    </row>
    <row r="52" customFormat="false" ht="15" hidden="false" customHeight="false" outlineLevel="0" collapsed="false">
      <c r="A52" s="23" t="s">
        <v>153</v>
      </c>
      <c r="B52" s="23" t="s">
        <v>447</v>
      </c>
      <c r="C52" s="23" t="s">
        <v>448</v>
      </c>
      <c r="D52" s="24" t="n">
        <v>121706</v>
      </c>
      <c r="E52" s="24" t="n">
        <v>23124</v>
      </c>
      <c r="F52" s="24" t="n">
        <v>150000</v>
      </c>
      <c r="G52" s="23" t="s">
        <v>156</v>
      </c>
      <c r="H52" s="23" t="s">
        <v>449</v>
      </c>
    </row>
    <row r="53" customFormat="false" ht="15" hidden="false" customHeight="false" outlineLevel="0" collapsed="false">
      <c r="A53" s="23" t="s">
        <v>153</v>
      </c>
      <c r="B53" s="23" t="s">
        <v>450</v>
      </c>
      <c r="C53" s="23" t="s">
        <v>448</v>
      </c>
      <c r="D53" s="24" t="n">
        <v>129820</v>
      </c>
      <c r="E53" s="24" t="n">
        <v>24666</v>
      </c>
      <c r="F53" s="24" t="n">
        <v>160000</v>
      </c>
      <c r="G53" s="23" t="s">
        <v>156</v>
      </c>
      <c r="H53" s="23" t="s">
        <v>449</v>
      </c>
    </row>
    <row r="54" customFormat="false" ht="15" hidden="false" customHeight="false" outlineLevel="0" collapsed="false">
      <c r="A54" s="23" t="s">
        <v>153</v>
      </c>
      <c r="B54" s="23" t="s">
        <v>451</v>
      </c>
      <c r="C54" s="23" t="s">
        <v>448</v>
      </c>
      <c r="D54" s="24" t="n">
        <v>811375</v>
      </c>
      <c r="E54" s="24" t="n">
        <v>154161</v>
      </c>
      <c r="F54" s="24" t="n">
        <v>1000000</v>
      </c>
      <c r="G54" s="23" t="s">
        <v>156</v>
      </c>
      <c r="H54" s="23" t="s">
        <v>452</v>
      </c>
    </row>
    <row r="55" customFormat="false" ht="15" hidden="false" customHeight="false" outlineLevel="0" collapsed="false">
      <c r="A55" s="23" t="s">
        <v>182</v>
      </c>
      <c r="B55" s="23" t="s">
        <v>453</v>
      </c>
      <c r="C55" s="23" t="s">
        <v>454</v>
      </c>
      <c r="D55" s="24" t="n">
        <v>44769</v>
      </c>
      <c r="E55" s="24" t="n">
        <v>8507</v>
      </c>
      <c r="F55" s="24" t="n">
        <v>50000</v>
      </c>
      <c r="G55" s="23" t="s">
        <v>156</v>
      </c>
      <c r="H55" s="23" t="s">
        <v>455</v>
      </c>
    </row>
    <row r="56" customFormat="false" ht="15" hidden="false" customHeight="false" outlineLevel="0" collapsed="false">
      <c r="A56" s="23" t="s">
        <v>235</v>
      </c>
      <c r="B56" s="23" t="s">
        <v>456</v>
      </c>
      <c r="C56" s="23" t="s">
        <v>457</v>
      </c>
      <c r="D56" s="24" t="n">
        <v>16806</v>
      </c>
      <c r="E56" s="24" t="n">
        <v>3193</v>
      </c>
      <c r="F56" s="24" t="n">
        <v>19999</v>
      </c>
      <c r="G56" s="23" t="s">
        <v>156</v>
      </c>
      <c r="H56" s="23" t="s">
        <v>458</v>
      </c>
    </row>
    <row r="57" customFormat="false" ht="15" hidden="false" customHeight="false" outlineLevel="0" collapsed="false">
      <c r="A57" s="23" t="s">
        <v>235</v>
      </c>
      <c r="B57" s="23" t="s">
        <v>459</v>
      </c>
      <c r="C57" s="23" t="s">
        <v>457</v>
      </c>
      <c r="D57" s="24" t="n">
        <v>16623</v>
      </c>
      <c r="E57" s="24" t="n">
        <v>3158</v>
      </c>
      <c r="F57" s="24" t="n">
        <v>19781</v>
      </c>
      <c r="G57" s="23" t="s">
        <v>156</v>
      </c>
      <c r="H57" s="23" t="s">
        <v>458</v>
      </c>
    </row>
    <row r="58" customFormat="false" ht="15" hidden="false" customHeight="false" outlineLevel="0" collapsed="false">
      <c r="A58" s="23" t="s">
        <v>182</v>
      </c>
      <c r="B58" s="23" t="s">
        <v>460</v>
      </c>
      <c r="C58" s="23" t="s">
        <v>457</v>
      </c>
      <c r="D58" s="24" t="n">
        <v>53759</v>
      </c>
      <c r="E58" s="24" t="n">
        <v>10215</v>
      </c>
      <c r="F58" s="24" t="n">
        <v>60000</v>
      </c>
      <c r="G58" s="23" t="s">
        <v>156</v>
      </c>
      <c r="H58" s="23" t="s">
        <v>461</v>
      </c>
    </row>
    <row r="59" customFormat="false" ht="15" hidden="false" customHeight="false" outlineLevel="0" collapsed="false">
      <c r="A59" s="23" t="s">
        <v>169</v>
      </c>
      <c r="B59" s="23" t="s">
        <v>462</v>
      </c>
      <c r="C59" s="23" t="s">
        <v>457</v>
      </c>
      <c r="D59" s="24" t="n">
        <v>248771</v>
      </c>
      <c r="E59" s="24" t="n">
        <v>47266</v>
      </c>
      <c r="F59" s="24" t="n">
        <v>296037</v>
      </c>
      <c r="G59" s="23" t="s">
        <v>156</v>
      </c>
      <c r="H59" s="23" t="s">
        <v>463</v>
      </c>
    </row>
    <row r="60" customFormat="false" ht="15" hidden="false" customHeight="false" outlineLevel="0" collapsed="false">
      <c r="A60" s="23" t="s">
        <v>182</v>
      </c>
      <c r="B60" s="23" t="s">
        <v>464</v>
      </c>
      <c r="C60" s="23" t="s">
        <v>457</v>
      </c>
      <c r="D60" s="24" t="n">
        <v>71678</v>
      </c>
      <c r="E60" s="24" t="n">
        <v>13620</v>
      </c>
      <c r="F60" s="24" t="n">
        <v>80000</v>
      </c>
      <c r="G60" s="23" t="s">
        <v>156</v>
      </c>
      <c r="H60" s="23" t="s">
        <v>461</v>
      </c>
    </row>
    <row r="61" customFormat="false" ht="15" hidden="false" customHeight="false" outlineLevel="0" collapsed="false">
      <c r="A61" s="23" t="s">
        <v>465</v>
      </c>
      <c r="B61" s="23" t="s">
        <v>466</v>
      </c>
      <c r="C61" s="23" t="s">
        <v>368</v>
      </c>
      <c r="D61" s="24" t="n">
        <v>2479</v>
      </c>
      <c r="E61" s="24" t="n">
        <v>471</v>
      </c>
      <c r="F61" s="24" t="n">
        <v>2950</v>
      </c>
      <c r="G61" s="23" t="s">
        <v>120</v>
      </c>
      <c r="H61" s="23" t="s">
        <v>161</v>
      </c>
    </row>
    <row r="62" customFormat="false" ht="15" hidden="false" customHeight="false" outlineLevel="0" collapsed="false">
      <c r="A62" s="23" t="s">
        <v>235</v>
      </c>
      <c r="B62" s="23" t="s">
        <v>467</v>
      </c>
      <c r="C62" s="23" t="s">
        <v>377</v>
      </c>
      <c r="D62" s="24" t="n">
        <v>18674</v>
      </c>
      <c r="E62" s="24" t="n">
        <v>3548</v>
      </c>
      <c r="F62" s="24" t="n">
        <v>22222</v>
      </c>
      <c r="G62" s="23" t="s">
        <v>120</v>
      </c>
      <c r="H62" s="23" t="s">
        <v>161</v>
      </c>
    </row>
    <row r="63" customFormat="false" ht="15" hidden="false" customHeight="false" outlineLevel="0" collapsed="false">
      <c r="A63" s="23" t="s">
        <v>158</v>
      </c>
      <c r="B63" s="23" t="s">
        <v>189</v>
      </c>
      <c r="C63" s="23" t="s">
        <v>423</v>
      </c>
      <c r="D63" s="24" t="n">
        <v>20124</v>
      </c>
      <c r="E63" s="24" t="n">
        <v>3824</v>
      </c>
      <c r="F63" s="24" t="n">
        <v>23948</v>
      </c>
      <c r="G63" s="23" t="s">
        <v>120</v>
      </c>
      <c r="H63" s="23" t="s">
        <v>161</v>
      </c>
    </row>
    <row r="64" customFormat="false" ht="15" hidden="false" customHeight="false" outlineLevel="0" collapsed="false">
      <c r="A64" s="25" t="s">
        <v>299</v>
      </c>
      <c r="F64" s="26" t="n">
        <v>8677299</v>
      </c>
      <c r="G64" s="27" t="s">
        <v>468</v>
      </c>
    </row>
    <row r="66" customFormat="false" ht="15" hidden="false" customHeight="false" outlineLevel="0" collapsed="false">
      <c r="A66" s="21" t="s">
        <v>301</v>
      </c>
      <c r="B66" s="21"/>
      <c r="C66" s="21"/>
      <c r="D66" s="21"/>
      <c r="E66" s="21"/>
      <c r="F66" s="21"/>
      <c r="G66" s="21"/>
      <c r="H66" s="21"/>
      <c r="I66" s="21"/>
    </row>
    <row r="67" customFormat="false" ht="15" hidden="false" customHeight="false" outlineLevel="0" collapsed="false">
      <c r="A67" s="22" t="s">
        <v>302</v>
      </c>
      <c r="B67" s="22" t="s">
        <v>303</v>
      </c>
      <c r="C67" s="22" t="s">
        <v>3</v>
      </c>
      <c r="D67" s="22" t="s">
        <v>304</v>
      </c>
      <c r="E67" s="22" t="s">
        <v>305</v>
      </c>
    </row>
    <row r="68" customFormat="false" ht="15" hidden="false" customHeight="false" outlineLevel="0" collapsed="false">
      <c r="A68" s="23" t="s">
        <v>360</v>
      </c>
      <c r="B68" s="23" t="s">
        <v>311</v>
      </c>
      <c r="C68" s="24" t="n">
        <v>-27000</v>
      </c>
      <c r="D68" s="23" t="s">
        <v>312</v>
      </c>
      <c r="E68" s="23" t="s">
        <v>313</v>
      </c>
    </row>
    <row r="69" customFormat="false" ht="15" hidden="false" customHeight="false" outlineLevel="0" collapsed="false">
      <c r="A69" s="23" t="s">
        <v>360</v>
      </c>
      <c r="B69" s="23" t="s">
        <v>315</v>
      </c>
      <c r="C69" s="24" t="n">
        <v>-70000</v>
      </c>
      <c r="D69" s="23" t="s">
        <v>312</v>
      </c>
      <c r="E69" s="23" t="s">
        <v>313</v>
      </c>
    </row>
    <row r="70" customFormat="false" ht="15" hidden="false" customHeight="false" outlineLevel="0" collapsed="false">
      <c r="A70" s="23" t="s">
        <v>360</v>
      </c>
      <c r="B70" s="23" t="s">
        <v>311</v>
      </c>
      <c r="C70" s="24" t="n">
        <v>-6000</v>
      </c>
      <c r="D70" s="23" t="s">
        <v>312</v>
      </c>
      <c r="E70" s="23" t="s">
        <v>313</v>
      </c>
    </row>
    <row r="71" customFormat="false" ht="15" hidden="false" customHeight="false" outlineLevel="0" collapsed="false">
      <c r="A71" s="23" t="s">
        <v>360</v>
      </c>
      <c r="B71" s="23" t="s">
        <v>306</v>
      </c>
      <c r="C71" s="24" t="n">
        <v>2326472</v>
      </c>
      <c r="D71" s="23" t="s">
        <v>307</v>
      </c>
      <c r="E71" s="23" t="s">
        <v>308</v>
      </c>
    </row>
    <row r="72" customFormat="false" ht="15" hidden="false" customHeight="false" outlineLevel="0" collapsed="false">
      <c r="A72" s="23" t="s">
        <v>377</v>
      </c>
      <c r="B72" s="23" t="s">
        <v>469</v>
      </c>
      <c r="C72" s="24" t="n">
        <v>-190000</v>
      </c>
      <c r="D72" s="23" t="s">
        <v>312</v>
      </c>
      <c r="E72" s="23" t="s">
        <v>313</v>
      </c>
    </row>
    <row r="73" customFormat="false" ht="15" hidden="false" customHeight="false" outlineLevel="0" collapsed="false">
      <c r="A73" s="23" t="s">
        <v>377</v>
      </c>
      <c r="B73" s="23" t="s">
        <v>470</v>
      </c>
      <c r="C73" s="24" t="n">
        <v>-54000</v>
      </c>
      <c r="D73" s="23" t="s">
        <v>312</v>
      </c>
      <c r="E73" s="23" t="s">
        <v>313</v>
      </c>
    </row>
    <row r="74" customFormat="false" ht="15" hidden="false" customHeight="false" outlineLevel="0" collapsed="false">
      <c r="A74" s="23" t="s">
        <v>377</v>
      </c>
      <c r="B74" s="23" t="s">
        <v>331</v>
      </c>
      <c r="C74" s="24" t="n">
        <v>-225000</v>
      </c>
      <c r="D74" s="23" t="s">
        <v>312</v>
      </c>
      <c r="E74" s="23" t="s">
        <v>313</v>
      </c>
    </row>
    <row r="75" customFormat="false" ht="15" hidden="false" customHeight="false" outlineLevel="0" collapsed="false">
      <c r="A75" s="23" t="s">
        <v>377</v>
      </c>
      <c r="B75" s="23" t="s">
        <v>471</v>
      </c>
      <c r="C75" s="24" t="n">
        <v>-2700</v>
      </c>
      <c r="D75" s="23" t="s">
        <v>312</v>
      </c>
      <c r="E75" s="23" t="s">
        <v>334</v>
      </c>
    </row>
    <row r="76" customFormat="false" ht="15" hidden="false" customHeight="false" outlineLevel="0" collapsed="false">
      <c r="A76" s="23" t="s">
        <v>391</v>
      </c>
      <c r="B76" s="23" t="s">
        <v>335</v>
      </c>
      <c r="C76" s="24" t="n">
        <v>1200000</v>
      </c>
      <c r="D76" s="23" t="s">
        <v>307</v>
      </c>
      <c r="E76" s="23" t="s">
        <v>313</v>
      </c>
    </row>
    <row r="77" customFormat="false" ht="15" hidden="false" customHeight="false" outlineLevel="0" collapsed="false">
      <c r="A77" s="23" t="s">
        <v>391</v>
      </c>
      <c r="B77" s="23" t="s">
        <v>318</v>
      </c>
      <c r="C77" s="24" t="n">
        <v>-15000</v>
      </c>
      <c r="D77" s="23" t="s">
        <v>312</v>
      </c>
      <c r="E77" s="23" t="s">
        <v>313</v>
      </c>
    </row>
    <row r="78" customFormat="false" ht="15" hidden="false" customHeight="false" outlineLevel="0" collapsed="false">
      <c r="A78" s="23" t="s">
        <v>391</v>
      </c>
      <c r="B78" s="23" t="s">
        <v>472</v>
      </c>
      <c r="C78" s="24" t="n">
        <v>-280000</v>
      </c>
      <c r="D78" s="23" t="s">
        <v>312</v>
      </c>
      <c r="E78" s="23" t="s">
        <v>313</v>
      </c>
    </row>
    <row r="79" customFormat="false" ht="15" hidden="false" customHeight="false" outlineLevel="0" collapsed="false">
      <c r="A79" s="23" t="s">
        <v>391</v>
      </c>
      <c r="B79" s="23" t="s">
        <v>311</v>
      </c>
      <c r="C79" s="24" t="n">
        <v>-17000</v>
      </c>
      <c r="D79" s="23" t="s">
        <v>312</v>
      </c>
      <c r="E79" s="23" t="s">
        <v>313</v>
      </c>
    </row>
    <row r="80" customFormat="false" ht="15" hidden="false" customHeight="false" outlineLevel="0" collapsed="false">
      <c r="A80" s="23" t="s">
        <v>391</v>
      </c>
      <c r="B80" s="23" t="s">
        <v>345</v>
      </c>
      <c r="C80" s="24" t="n">
        <v>83100</v>
      </c>
      <c r="D80" s="23" t="s">
        <v>307</v>
      </c>
      <c r="E80" s="23" t="s">
        <v>334</v>
      </c>
    </row>
    <row r="81" customFormat="false" ht="15" hidden="false" customHeight="false" outlineLevel="0" collapsed="false">
      <c r="A81" s="23" t="s">
        <v>391</v>
      </c>
      <c r="B81" s="23" t="s">
        <v>333</v>
      </c>
      <c r="C81" s="24" t="n">
        <v>270000</v>
      </c>
      <c r="D81" s="23" t="s">
        <v>307</v>
      </c>
      <c r="E81" s="23" t="s">
        <v>334</v>
      </c>
    </row>
    <row r="82" customFormat="false" ht="15" hidden="false" customHeight="false" outlineLevel="0" collapsed="false">
      <c r="A82" s="23" t="s">
        <v>395</v>
      </c>
      <c r="B82" s="23" t="s">
        <v>318</v>
      </c>
      <c r="C82" s="24" t="n">
        <v>-150000</v>
      </c>
      <c r="D82" s="23" t="s">
        <v>312</v>
      </c>
      <c r="E82" s="23" t="s">
        <v>313</v>
      </c>
    </row>
    <row r="83" customFormat="false" ht="15" hidden="false" customHeight="false" outlineLevel="0" collapsed="false">
      <c r="A83" s="23" t="s">
        <v>395</v>
      </c>
      <c r="B83" s="23" t="s">
        <v>318</v>
      </c>
      <c r="C83" s="24" t="n">
        <v>-12000</v>
      </c>
      <c r="D83" s="23" t="s">
        <v>312</v>
      </c>
      <c r="E83" s="23" t="s">
        <v>313</v>
      </c>
    </row>
    <row r="84" customFormat="false" ht="15" hidden="false" customHeight="false" outlineLevel="0" collapsed="false">
      <c r="A84" s="23" t="s">
        <v>395</v>
      </c>
      <c r="B84" s="23" t="s">
        <v>315</v>
      </c>
      <c r="C84" s="24" t="n">
        <v>-270000</v>
      </c>
      <c r="D84" s="23" t="s">
        <v>312</v>
      </c>
      <c r="E84" s="23" t="s">
        <v>313</v>
      </c>
    </row>
    <row r="85" customFormat="false" ht="15" hidden="false" customHeight="false" outlineLevel="0" collapsed="false">
      <c r="A85" s="23" t="s">
        <v>395</v>
      </c>
      <c r="B85" s="23" t="s">
        <v>314</v>
      </c>
      <c r="C85" s="24" t="n">
        <v>-180000</v>
      </c>
      <c r="D85" s="23" t="s">
        <v>312</v>
      </c>
      <c r="E85" s="23" t="s">
        <v>313</v>
      </c>
    </row>
    <row r="86" customFormat="false" ht="15" hidden="false" customHeight="false" outlineLevel="0" collapsed="false">
      <c r="A86" s="23" t="s">
        <v>395</v>
      </c>
      <c r="B86" s="23" t="s">
        <v>331</v>
      </c>
      <c r="C86" s="24" t="n">
        <v>-225000</v>
      </c>
      <c r="D86" s="23" t="s">
        <v>312</v>
      </c>
      <c r="E86" s="23" t="s">
        <v>313</v>
      </c>
    </row>
    <row r="87" customFormat="false" ht="15" hidden="false" customHeight="false" outlineLevel="0" collapsed="false">
      <c r="A87" s="23" t="s">
        <v>395</v>
      </c>
      <c r="B87" s="23" t="s">
        <v>311</v>
      </c>
      <c r="C87" s="24" t="n">
        <v>-250000</v>
      </c>
      <c r="D87" s="23" t="s">
        <v>312</v>
      </c>
      <c r="E87" s="23" t="s">
        <v>313</v>
      </c>
    </row>
    <row r="88" customFormat="false" ht="15" hidden="false" customHeight="false" outlineLevel="0" collapsed="false">
      <c r="A88" s="23" t="s">
        <v>395</v>
      </c>
      <c r="B88" s="23" t="s">
        <v>332</v>
      </c>
      <c r="C88" s="24" t="n">
        <v>-100000</v>
      </c>
      <c r="D88" s="23" t="s">
        <v>312</v>
      </c>
      <c r="E88" s="23" t="s">
        <v>313</v>
      </c>
    </row>
    <row r="89" customFormat="false" ht="15" hidden="false" customHeight="false" outlineLevel="0" collapsed="false">
      <c r="A89" s="23" t="s">
        <v>395</v>
      </c>
      <c r="B89" s="23" t="s">
        <v>473</v>
      </c>
      <c r="C89" s="24" t="n">
        <v>320000</v>
      </c>
      <c r="D89" s="23" t="s">
        <v>307</v>
      </c>
      <c r="E89" s="23" t="s">
        <v>334</v>
      </c>
    </row>
    <row r="90" customFormat="false" ht="15" hidden="false" customHeight="false" outlineLevel="0" collapsed="false">
      <c r="A90" s="23" t="s">
        <v>395</v>
      </c>
      <c r="B90" s="23" t="s">
        <v>318</v>
      </c>
      <c r="C90" s="24" t="n">
        <v>-100000</v>
      </c>
      <c r="D90" s="23" t="s">
        <v>312</v>
      </c>
      <c r="E90" s="23" t="s">
        <v>313</v>
      </c>
    </row>
    <row r="91" customFormat="false" ht="15" hidden="false" customHeight="false" outlineLevel="0" collapsed="false">
      <c r="A91" s="23" t="s">
        <v>395</v>
      </c>
      <c r="B91" s="23" t="s">
        <v>318</v>
      </c>
      <c r="C91" s="24" t="n">
        <v>-120000</v>
      </c>
      <c r="D91" s="23" t="s">
        <v>312</v>
      </c>
      <c r="E91" s="23" t="s">
        <v>313</v>
      </c>
    </row>
    <row r="92" customFormat="false" ht="15" hidden="false" customHeight="false" outlineLevel="0" collapsed="false">
      <c r="A92" s="23" t="s">
        <v>397</v>
      </c>
      <c r="B92" s="23" t="s">
        <v>319</v>
      </c>
      <c r="C92" s="24" t="n">
        <v>-17000</v>
      </c>
      <c r="D92" s="23" t="s">
        <v>312</v>
      </c>
      <c r="E92" s="23" t="s">
        <v>313</v>
      </c>
    </row>
    <row r="93" customFormat="false" ht="15" hidden="false" customHeight="false" outlineLevel="0" collapsed="false">
      <c r="A93" s="23" t="s">
        <v>397</v>
      </c>
      <c r="B93" s="23" t="s">
        <v>318</v>
      </c>
      <c r="C93" s="24" t="n">
        <v>-12000</v>
      </c>
      <c r="D93" s="23" t="s">
        <v>312</v>
      </c>
      <c r="E93" s="23" t="s">
        <v>313</v>
      </c>
    </row>
    <row r="94" customFormat="false" ht="15" hidden="false" customHeight="false" outlineLevel="0" collapsed="false">
      <c r="A94" s="23" t="s">
        <v>397</v>
      </c>
      <c r="B94" s="23" t="s">
        <v>474</v>
      </c>
      <c r="C94" s="24" t="n">
        <v>-4700</v>
      </c>
      <c r="D94" s="23" t="s">
        <v>312</v>
      </c>
      <c r="E94" s="23" t="s">
        <v>334</v>
      </c>
    </row>
    <row r="95" customFormat="false" ht="15" hidden="false" customHeight="false" outlineLevel="0" collapsed="false">
      <c r="A95" s="23" t="s">
        <v>399</v>
      </c>
      <c r="B95" s="23" t="s">
        <v>318</v>
      </c>
      <c r="C95" s="24" t="n">
        <v>-8000</v>
      </c>
      <c r="D95" s="23" t="s">
        <v>312</v>
      </c>
      <c r="E95" s="23" t="s">
        <v>313</v>
      </c>
    </row>
    <row r="96" customFormat="false" ht="15" hidden="false" customHeight="false" outlineLevel="0" collapsed="false">
      <c r="A96" s="23" t="s">
        <v>399</v>
      </c>
      <c r="B96" s="23" t="s">
        <v>475</v>
      </c>
      <c r="C96" s="24" t="n">
        <v>-14880</v>
      </c>
      <c r="D96" s="23" t="s">
        <v>312</v>
      </c>
      <c r="E96" s="23" t="s">
        <v>334</v>
      </c>
    </row>
    <row r="97" customFormat="false" ht="15" hidden="false" customHeight="false" outlineLevel="0" collapsed="false">
      <c r="A97" s="23" t="s">
        <v>399</v>
      </c>
      <c r="B97" s="23" t="s">
        <v>318</v>
      </c>
      <c r="C97" s="24" t="n">
        <v>-32000</v>
      </c>
      <c r="D97" s="23" t="s">
        <v>312</v>
      </c>
      <c r="E97" s="23" t="s">
        <v>313</v>
      </c>
    </row>
    <row r="98" customFormat="false" ht="15" hidden="false" customHeight="false" outlineLevel="0" collapsed="false">
      <c r="A98" s="23" t="s">
        <v>409</v>
      </c>
      <c r="B98" s="23" t="s">
        <v>476</v>
      </c>
      <c r="C98" s="24" t="n">
        <v>-31955</v>
      </c>
      <c r="D98" s="23" t="s">
        <v>312</v>
      </c>
      <c r="E98" s="23" t="s">
        <v>334</v>
      </c>
    </row>
    <row r="99" customFormat="false" ht="15" hidden="false" customHeight="false" outlineLevel="0" collapsed="false">
      <c r="A99" s="23" t="s">
        <v>409</v>
      </c>
      <c r="B99" s="23" t="s">
        <v>477</v>
      </c>
      <c r="C99" s="24" t="n">
        <v>-63065</v>
      </c>
      <c r="D99" s="23" t="s">
        <v>312</v>
      </c>
      <c r="E99" s="23" t="s">
        <v>334</v>
      </c>
    </row>
    <row r="100" customFormat="false" ht="15" hidden="false" customHeight="false" outlineLevel="0" collapsed="false">
      <c r="A100" s="23" t="s">
        <v>416</v>
      </c>
      <c r="B100" s="23" t="s">
        <v>318</v>
      </c>
      <c r="C100" s="24" t="n">
        <v>-17000</v>
      </c>
      <c r="D100" s="23" t="s">
        <v>312</v>
      </c>
      <c r="E100" s="23" t="s">
        <v>313</v>
      </c>
    </row>
    <row r="101" customFormat="false" ht="15" hidden="false" customHeight="false" outlineLevel="0" collapsed="false">
      <c r="A101" s="23" t="s">
        <v>423</v>
      </c>
      <c r="B101" s="23" t="s">
        <v>311</v>
      </c>
      <c r="C101" s="24" t="n">
        <v>-200000</v>
      </c>
      <c r="D101" s="23" t="s">
        <v>312</v>
      </c>
      <c r="E101" s="23" t="s">
        <v>313</v>
      </c>
    </row>
    <row r="102" customFormat="false" ht="15" hidden="false" customHeight="false" outlineLevel="0" collapsed="false">
      <c r="A102" s="23" t="s">
        <v>423</v>
      </c>
      <c r="B102" s="23" t="s">
        <v>471</v>
      </c>
      <c r="C102" s="24" t="n">
        <v>-21470</v>
      </c>
      <c r="D102" s="23" t="s">
        <v>312</v>
      </c>
      <c r="E102" s="23" t="s">
        <v>334</v>
      </c>
    </row>
    <row r="103" customFormat="false" ht="15" hidden="false" customHeight="false" outlineLevel="0" collapsed="false">
      <c r="A103" s="23" t="s">
        <v>423</v>
      </c>
      <c r="B103" s="23" t="s">
        <v>335</v>
      </c>
      <c r="C103" s="24" t="n">
        <v>200000</v>
      </c>
      <c r="D103" s="23" t="s">
        <v>307</v>
      </c>
      <c r="E103" s="23" t="s">
        <v>313</v>
      </c>
    </row>
    <row r="104" customFormat="false" ht="15" hidden="false" customHeight="false" outlineLevel="0" collapsed="false">
      <c r="A104" s="23" t="s">
        <v>423</v>
      </c>
      <c r="B104" s="23" t="s">
        <v>306</v>
      </c>
      <c r="C104" s="24" t="n">
        <v>1650249</v>
      </c>
      <c r="D104" s="23" t="s">
        <v>307</v>
      </c>
      <c r="E104" s="23" t="s">
        <v>308</v>
      </c>
    </row>
    <row r="105" customFormat="false" ht="15" hidden="false" customHeight="false" outlineLevel="0" collapsed="false">
      <c r="A105" s="23" t="s">
        <v>423</v>
      </c>
      <c r="B105" s="23" t="s">
        <v>318</v>
      </c>
      <c r="C105" s="24" t="n">
        <v>-12000</v>
      </c>
      <c r="D105" s="23" t="s">
        <v>312</v>
      </c>
      <c r="E105" s="23" t="s">
        <v>313</v>
      </c>
    </row>
    <row r="106" customFormat="false" ht="15" hidden="false" customHeight="false" outlineLevel="0" collapsed="false">
      <c r="A106" s="23" t="s">
        <v>427</v>
      </c>
      <c r="B106" s="23" t="s">
        <v>318</v>
      </c>
      <c r="C106" s="24" t="n">
        <v>-16000</v>
      </c>
      <c r="D106" s="23" t="s">
        <v>312</v>
      </c>
      <c r="E106" s="23" t="s">
        <v>313</v>
      </c>
    </row>
    <row r="107" customFormat="false" ht="15" hidden="false" customHeight="false" outlineLevel="0" collapsed="false">
      <c r="A107" s="23" t="s">
        <v>427</v>
      </c>
      <c r="B107" s="23" t="s">
        <v>331</v>
      </c>
      <c r="C107" s="24" t="n">
        <v>-225000</v>
      </c>
      <c r="D107" s="23" t="s">
        <v>312</v>
      </c>
      <c r="E107" s="23" t="s">
        <v>313</v>
      </c>
    </row>
    <row r="108" customFormat="false" ht="15" hidden="false" customHeight="false" outlineLevel="0" collapsed="false">
      <c r="A108" s="23" t="s">
        <v>427</v>
      </c>
      <c r="B108" s="23" t="s">
        <v>314</v>
      </c>
      <c r="C108" s="24" t="n">
        <v>-15000</v>
      </c>
      <c r="D108" s="23" t="s">
        <v>312</v>
      </c>
      <c r="E108" s="23" t="s">
        <v>313</v>
      </c>
    </row>
    <row r="109" customFormat="false" ht="15" hidden="false" customHeight="false" outlineLevel="0" collapsed="false">
      <c r="A109" s="23" t="s">
        <v>363</v>
      </c>
      <c r="B109" s="23" t="s">
        <v>318</v>
      </c>
      <c r="C109" s="24" t="n">
        <v>-50000</v>
      </c>
      <c r="D109" s="23" t="s">
        <v>312</v>
      </c>
      <c r="E109" s="23" t="s">
        <v>313</v>
      </c>
    </row>
    <row r="110" customFormat="false" ht="15" hidden="false" customHeight="false" outlineLevel="0" collapsed="false">
      <c r="A110" s="23" t="s">
        <v>363</v>
      </c>
      <c r="B110" s="23" t="s">
        <v>314</v>
      </c>
      <c r="C110" s="24" t="n">
        <v>-15000</v>
      </c>
      <c r="D110" s="23" t="s">
        <v>312</v>
      </c>
      <c r="E110" s="23" t="s">
        <v>313</v>
      </c>
    </row>
    <row r="111" customFormat="false" ht="15" hidden="false" customHeight="false" outlineLevel="0" collapsed="false">
      <c r="A111" s="23" t="s">
        <v>363</v>
      </c>
      <c r="B111" s="23" t="s">
        <v>318</v>
      </c>
      <c r="C111" s="24" t="n">
        <v>-6800</v>
      </c>
      <c r="D111" s="23" t="s">
        <v>312</v>
      </c>
      <c r="E111" s="23" t="s">
        <v>313</v>
      </c>
    </row>
    <row r="112" customFormat="false" ht="15" hidden="false" customHeight="false" outlineLevel="0" collapsed="false">
      <c r="A112" s="23" t="s">
        <v>363</v>
      </c>
      <c r="B112" s="23" t="s">
        <v>314</v>
      </c>
      <c r="C112" s="24" t="n">
        <v>-30000</v>
      </c>
      <c r="D112" s="23" t="s">
        <v>312</v>
      </c>
      <c r="E112" s="23" t="s">
        <v>313</v>
      </c>
    </row>
    <row r="113" customFormat="false" ht="15" hidden="false" customHeight="false" outlineLevel="0" collapsed="false">
      <c r="A113" s="23" t="s">
        <v>363</v>
      </c>
      <c r="B113" s="23" t="s">
        <v>318</v>
      </c>
      <c r="C113" s="24" t="n">
        <v>-6000</v>
      </c>
      <c r="D113" s="23" t="s">
        <v>312</v>
      </c>
      <c r="E113" s="23" t="s">
        <v>313</v>
      </c>
    </row>
    <row r="114" customFormat="false" ht="15" hidden="false" customHeight="false" outlineLevel="0" collapsed="false">
      <c r="A114" s="23" t="s">
        <v>432</v>
      </c>
      <c r="B114" s="23" t="s">
        <v>314</v>
      </c>
      <c r="C114" s="24" t="n">
        <v>-50000</v>
      </c>
      <c r="D114" s="23" t="s">
        <v>312</v>
      </c>
      <c r="E114" s="23" t="s">
        <v>313</v>
      </c>
    </row>
    <row r="115" customFormat="false" ht="15" hidden="false" customHeight="false" outlineLevel="0" collapsed="false">
      <c r="A115" s="23" t="s">
        <v>432</v>
      </c>
      <c r="B115" s="23" t="s">
        <v>478</v>
      </c>
      <c r="C115" s="24" t="n">
        <v>2813595</v>
      </c>
      <c r="D115" s="23" t="s">
        <v>307</v>
      </c>
      <c r="E115" s="23" t="s">
        <v>317</v>
      </c>
    </row>
    <row r="116" customFormat="false" ht="15" hidden="false" customHeight="false" outlineLevel="0" collapsed="false">
      <c r="A116" s="23" t="s">
        <v>438</v>
      </c>
      <c r="B116" s="23" t="s">
        <v>331</v>
      </c>
      <c r="C116" s="24" t="n">
        <v>-55000</v>
      </c>
      <c r="D116" s="23" t="s">
        <v>312</v>
      </c>
      <c r="E116" s="23" t="s">
        <v>313</v>
      </c>
    </row>
    <row r="117" customFormat="false" ht="15" hidden="false" customHeight="false" outlineLevel="0" collapsed="false">
      <c r="A117" s="23" t="s">
        <v>438</v>
      </c>
      <c r="B117" s="23" t="s">
        <v>479</v>
      </c>
      <c r="C117" s="24" t="n">
        <v>-1000000</v>
      </c>
      <c r="D117" s="23" t="s">
        <v>312</v>
      </c>
      <c r="E117" s="23" t="s">
        <v>5</v>
      </c>
    </row>
    <row r="118" customFormat="false" ht="15" hidden="false" customHeight="false" outlineLevel="0" collapsed="false">
      <c r="A118" s="23" t="s">
        <v>438</v>
      </c>
      <c r="B118" s="23" t="s">
        <v>332</v>
      </c>
      <c r="C118" s="24" t="n">
        <v>-150000</v>
      </c>
      <c r="D118" s="23" t="s">
        <v>312</v>
      </c>
      <c r="E118" s="23" t="s">
        <v>313</v>
      </c>
    </row>
    <row r="119" customFormat="false" ht="15" hidden="false" customHeight="false" outlineLevel="0" collapsed="false">
      <c r="A119" s="23" t="s">
        <v>438</v>
      </c>
      <c r="B119" s="23" t="s">
        <v>315</v>
      </c>
      <c r="C119" s="24" t="n">
        <v>-300000</v>
      </c>
      <c r="D119" s="23" t="s">
        <v>312</v>
      </c>
      <c r="E119" s="23" t="s">
        <v>313</v>
      </c>
    </row>
    <row r="120" customFormat="false" ht="15" hidden="false" customHeight="false" outlineLevel="0" collapsed="false">
      <c r="A120" s="23" t="s">
        <v>438</v>
      </c>
      <c r="B120" s="23" t="s">
        <v>314</v>
      </c>
      <c r="C120" s="24" t="n">
        <v>-70000</v>
      </c>
      <c r="D120" s="23" t="s">
        <v>312</v>
      </c>
      <c r="E120" s="23" t="s">
        <v>313</v>
      </c>
    </row>
    <row r="121" customFormat="false" ht="15" hidden="false" customHeight="false" outlineLevel="0" collapsed="false">
      <c r="A121" s="23" t="s">
        <v>438</v>
      </c>
      <c r="B121" s="23" t="s">
        <v>318</v>
      </c>
      <c r="C121" s="24" t="n">
        <v>-250000</v>
      </c>
      <c r="D121" s="23" t="s">
        <v>312</v>
      </c>
      <c r="E121" s="23" t="s">
        <v>313</v>
      </c>
    </row>
    <row r="122" customFormat="false" ht="15" hidden="false" customHeight="false" outlineLevel="0" collapsed="false">
      <c r="A122" s="23" t="s">
        <v>438</v>
      </c>
      <c r="B122" s="23" t="s">
        <v>343</v>
      </c>
      <c r="C122" s="24" t="n">
        <v>760000</v>
      </c>
      <c r="D122" s="23" t="s">
        <v>307</v>
      </c>
      <c r="E122" s="23" t="s">
        <v>334</v>
      </c>
    </row>
    <row r="123" customFormat="false" ht="15" hidden="false" customHeight="false" outlineLevel="0" collapsed="false">
      <c r="A123" s="23" t="s">
        <v>438</v>
      </c>
      <c r="B123" s="23" t="s">
        <v>311</v>
      </c>
      <c r="C123" s="24" t="n">
        <v>-400000</v>
      </c>
      <c r="D123" s="23" t="s">
        <v>312</v>
      </c>
      <c r="E123" s="23" t="s">
        <v>313</v>
      </c>
    </row>
    <row r="124" customFormat="false" ht="15" hidden="false" customHeight="false" outlineLevel="0" collapsed="false">
      <c r="A124" s="23" t="s">
        <v>438</v>
      </c>
      <c r="B124" s="23" t="s">
        <v>319</v>
      </c>
      <c r="C124" s="24" t="n">
        <v>-300000</v>
      </c>
      <c r="D124" s="23" t="s">
        <v>312</v>
      </c>
      <c r="E124" s="23" t="s">
        <v>313</v>
      </c>
    </row>
    <row r="125" customFormat="false" ht="15" hidden="false" customHeight="false" outlineLevel="0" collapsed="false">
      <c r="A125" s="23" t="s">
        <v>365</v>
      </c>
      <c r="B125" s="23" t="s">
        <v>314</v>
      </c>
      <c r="C125" s="24" t="n">
        <v>-17000</v>
      </c>
      <c r="D125" s="23" t="s">
        <v>312</v>
      </c>
      <c r="E125" s="23" t="s">
        <v>313</v>
      </c>
    </row>
    <row r="126" customFormat="false" ht="15" hidden="false" customHeight="false" outlineLevel="0" collapsed="false">
      <c r="A126" s="23" t="s">
        <v>365</v>
      </c>
      <c r="B126" s="23" t="s">
        <v>319</v>
      </c>
      <c r="C126" s="24" t="n">
        <v>-32000</v>
      </c>
      <c r="D126" s="23" t="s">
        <v>312</v>
      </c>
      <c r="E126" s="23" t="s">
        <v>313</v>
      </c>
    </row>
    <row r="127" customFormat="false" ht="15" hidden="false" customHeight="false" outlineLevel="0" collapsed="false">
      <c r="A127" s="23" t="s">
        <v>365</v>
      </c>
      <c r="B127" s="23" t="s">
        <v>480</v>
      </c>
      <c r="C127" s="24" t="n">
        <v>-9471</v>
      </c>
      <c r="D127" s="23" t="s">
        <v>312</v>
      </c>
      <c r="E127" s="23" t="s">
        <v>334</v>
      </c>
    </row>
    <row r="128" customFormat="false" ht="15" hidden="false" customHeight="false" outlineLevel="0" collapsed="false">
      <c r="A128" s="23" t="s">
        <v>448</v>
      </c>
      <c r="B128" s="23" t="s">
        <v>478</v>
      </c>
      <c r="C128" s="24" t="n">
        <v>2234722</v>
      </c>
      <c r="D128" s="23" t="s">
        <v>307</v>
      </c>
      <c r="E128" s="23" t="s">
        <v>317</v>
      </c>
    </row>
    <row r="129" customFormat="false" ht="15" hidden="false" customHeight="false" outlineLevel="0" collapsed="false">
      <c r="A129" s="23" t="s">
        <v>448</v>
      </c>
      <c r="B129" s="23" t="s">
        <v>318</v>
      </c>
      <c r="C129" s="24" t="n">
        <v>-12000</v>
      </c>
      <c r="D129" s="23" t="s">
        <v>312</v>
      </c>
      <c r="E129" s="23" t="s">
        <v>313</v>
      </c>
    </row>
    <row r="130" customFormat="false" ht="15" hidden="false" customHeight="false" outlineLevel="0" collapsed="false">
      <c r="A130" s="23" t="s">
        <v>448</v>
      </c>
      <c r="B130" s="23" t="s">
        <v>314</v>
      </c>
      <c r="C130" s="24" t="n">
        <v>-12000</v>
      </c>
      <c r="D130" s="23" t="s">
        <v>312</v>
      </c>
      <c r="E130" s="23" t="s">
        <v>313</v>
      </c>
    </row>
    <row r="131" customFormat="false" ht="15" hidden="false" customHeight="false" outlineLevel="0" collapsed="false">
      <c r="A131" s="23" t="s">
        <v>448</v>
      </c>
      <c r="B131" s="23" t="s">
        <v>481</v>
      </c>
      <c r="C131" s="24" t="n">
        <v>-31319</v>
      </c>
      <c r="D131" s="23" t="s">
        <v>312</v>
      </c>
      <c r="E131" s="23" t="s">
        <v>334</v>
      </c>
    </row>
    <row r="132" customFormat="false" ht="15" hidden="false" customHeight="false" outlineLevel="0" collapsed="false">
      <c r="A132" s="23" t="s">
        <v>448</v>
      </c>
      <c r="B132" s="23" t="s">
        <v>306</v>
      </c>
      <c r="C132" s="24" t="n">
        <v>198000</v>
      </c>
      <c r="D132" s="23" t="s">
        <v>307</v>
      </c>
      <c r="E132" s="23" t="s">
        <v>308</v>
      </c>
    </row>
    <row r="133" customFormat="false" ht="15" hidden="false" customHeight="false" outlineLevel="0" collapsed="false">
      <c r="A133" s="23" t="s">
        <v>454</v>
      </c>
      <c r="B133" s="23" t="s">
        <v>319</v>
      </c>
      <c r="C133" s="24" t="n">
        <v>-15000</v>
      </c>
      <c r="D133" s="23" t="s">
        <v>312</v>
      </c>
      <c r="E133" s="23" t="s">
        <v>313</v>
      </c>
    </row>
    <row r="134" customFormat="false" ht="15" hidden="false" customHeight="false" outlineLevel="0" collapsed="false">
      <c r="A134" s="23" t="s">
        <v>454</v>
      </c>
      <c r="B134" s="23" t="s">
        <v>482</v>
      </c>
      <c r="C134" s="24" t="n">
        <v>-405600</v>
      </c>
      <c r="D134" s="23" t="s">
        <v>312</v>
      </c>
      <c r="E134" s="23" t="s">
        <v>321</v>
      </c>
    </row>
    <row r="135" customFormat="false" ht="15" hidden="false" customHeight="false" outlineLevel="0" collapsed="false">
      <c r="A135" s="23" t="s">
        <v>454</v>
      </c>
      <c r="B135" s="23" t="s">
        <v>314</v>
      </c>
      <c r="C135" s="24" t="n">
        <v>-20000</v>
      </c>
      <c r="D135" s="23" t="s">
        <v>312</v>
      </c>
      <c r="E135" s="23" t="s">
        <v>313</v>
      </c>
    </row>
    <row r="136" customFormat="false" ht="15" hidden="false" customHeight="false" outlineLevel="0" collapsed="false">
      <c r="A136" s="23" t="s">
        <v>454</v>
      </c>
      <c r="B136" s="23" t="s">
        <v>483</v>
      </c>
      <c r="C136" s="24" t="n">
        <v>-5770</v>
      </c>
      <c r="D136" s="23" t="s">
        <v>312</v>
      </c>
      <c r="E136" s="23" t="s">
        <v>321</v>
      </c>
    </row>
    <row r="137" customFormat="false" ht="15" hidden="false" customHeight="false" outlineLevel="0" collapsed="false">
      <c r="A137" s="23" t="s">
        <v>454</v>
      </c>
      <c r="B137" s="23" t="s">
        <v>318</v>
      </c>
      <c r="C137" s="24" t="n">
        <v>-16000</v>
      </c>
      <c r="D137" s="23" t="s">
        <v>312</v>
      </c>
      <c r="E137" s="23" t="s">
        <v>313</v>
      </c>
    </row>
    <row r="138" customFormat="false" ht="15" hidden="false" customHeight="false" outlineLevel="0" collapsed="false">
      <c r="A138" s="23" t="s">
        <v>454</v>
      </c>
      <c r="B138" s="23" t="s">
        <v>331</v>
      </c>
      <c r="C138" s="24" t="n">
        <v>-350000</v>
      </c>
      <c r="D138" s="23" t="s">
        <v>312</v>
      </c>
      <c r="E138" s="23" t="s">
        <v>313</v>
      </c>
    </row>
    <row r="139" customFormat="false" ht="15" hidden="false" customHeight="false" outlineLevel="0" collapsed="false">
      <c r="A139" s="23" t="s">
        <v>457</v>
      </c>
      <c r="B139" s="23" t="s">
        <v>315</v>
      </c>
      <c r="C139" s="24" t="n">
        <v>-20000</v>
      </c>
      <c r="D139" s="23" t="s">
        <v>312</v>
      </c>
      <c r="E139" s="23" t="s">
        <v>313</v>
      </c>
    </row>
    <row r="140" customFormat="false" ht="15" hidden="false" customHeight="false" outlineLevel="0" collapsed="false">
      <c r="A140" s="23" t="s">
        <v>457</v>
      </c>
      <c r="B140" s="23" t="s">
        <v>319</v>
      </c>
      <c r="C140" s="24" t="n">
        <v>-29000</v>
      </c>
      <c r="D140" s="23" t="s">
        <v>312</v>
      </c>
      <c r="E140" s="23" t="s">
        <v>313</v>
      </c>
    </row>
    <row r="141" customFormat="false" ht="15" hidden="false" customHeight="false" outlineLevel="0" collapsed="false">
      <c r="A141" s="23" t="s">
        <v>457</v>
      </c>
      <c r="B141" s="23" t="s">
        <v>484</v>
      </c>
      <c r="C141" s="24" t="n">
        <v>357000</v>
      </c>
      <c r="D141" s="23" t="s">
        <v>307</v>
      </c>
      <c r="E141" s="23" t="s">
        <v>334</v>
      </c>
    </row>
    <row r="142" customFormat="false" ht="15" hidden="false" customHeight="false" outlineLevel="0" collapsed="false">
      <c r="A142" s="23" t="s">
        <v>457</v>
      </c>
      <c r="B142" s="23" t="s">
        <v>314</v>
      </c>
      <c r="C142" s="24" t="n">
        <v>-20000</v>
      </c>
      <c r="D142" s="23" t="s">
        <v>312</v>
      </c>
      <c r="E142" s="23" t="s">
        <v>313</v>
      </c>
    </row>
    <row r="143" customFormat="false" ht="15" hidden="false" customHeight="false" outlineLevel="0" collapsed="false">
      <c r="A143" s="23" t="s">
        <v>457</v>
      </c>
      <c r="B143" s="23" t="s">
        <v>318</v>
      </c>
      <c r="C143" s="24" t="n">
        <v>-20000</v>
      </c>
      <c r="D143" s="23" t="s">
        <v>312</v>
      </c>
      <c r="E143" s="23" t="s">
        <v>313</v>
      </c>
    </row>
    <row r="144" customFormat="false" ht="15" hidden="false" customHeight="false" outlineLevel="0" collapsed="false">
      <c r="A144" s="23" t="s">
        <v>485</v>
      </c>
      <c r="B144" s="23" t="s">
        <v>486</v>
      </c>
      <c r="C144" s="24" t="n">
        <v>-38000</v>
      </c>
      <c r="D144" s="23" t="s">
        <v>312</v>
      </c>
      <c r="E144" s="23" t="s">
        <v>321</v>
      </c>
    </row>
    <row r="145" customFormat="false" ht="15" hidden="false" customHeight="false" outlineLevel="0" collapsed="false">
      <c r="A145" s="23" t="s">
        <v>485</v>
      </c>
      <c r="B145" s="23" t="s">
        <v>315</v>
      </c>
      <c r="C145" s="24" t="n">
        <v>-25000</v>
      </c>
      <c r="D145" s="23" t="s">
        <v>312</v>
      </c>
      <c r="E145" s="23" t="s">
        <v>313</v>
      </c>
    </row>
    <row r="146" customFormat="false" ht="15" hidden="false" customHeight="false" outlineLevel="0" collapsed="false">
      <c r="A146" s="23" t="s">
        <v>485</v>
      </c>
      <c r="B146" s="23" t="s">
        <v>331</v>
      </c>
      <c r="C146" s="24" t="n">
        <v>-18000</v>
      </c>
      <c r="D146" s="23" t="s">
        <v>312</v>
      </c>
      <c r="E146" s="23" t="s">
        <v>313</v>
      </c>
    </row>
    <row r="147" customFormat="false" ht="15" hidden="false" customHeight="false" outlineLevel="0" collapsed="false">
      <c r="A147" s="23" t="s">
        <v>485</v>
      </c>
      <c r="B147" s="23" t="s">
        <v>314</v>
      </c>
      <c r="C147" s="24" t="n">
        <v>-3000</v>
      </c>
      <c r="D147" s="23" t="s">
        <v>312</v>
      </c>
      <c r="E147" s="23" t="s">
        <v>313</v>
      </c>
    </row>
    <row r="148" customFormat="false" ht="15" hidden="false" customHeight="false" outlineLevel="0" collapsed="false">
      <c r="A148" s="23" t="s">
        <v>485</v>
      </c>
      <c r="B148" s="23" t="s">
        <v>314</v>
      </c>
      <c r="C148" s="24" t="n">
        <v>-120000</v>
      </c>
      <c r="D148" s="23" t="s">
        <v>312</v>
      </c>
      <c r="E148" s="23" t="s">
        <v>313</v>
      </c>
    </row>
    <row r="149" customFormat="false" ht="15" hidden="false" customHeight="false" outlineLevel="0" collapsed="false">
      <c r="A149" s="23" t="s">
        <v>485</v>
      </c>
      <c r="B149" s="23" t="s">
        <v>318</v>
      </c>
      <c r="C149" s="24" t="n">
        <v>-70000</v>
      </c>
      <c r="D149" s="23" t="s">
        <v>312</v>
      </c>
      <c r="E149" s="23" t="s">
        <v>313</v>
      </c>
    </row>
    <row r="150" customFormat="false" ht="15" hidden="false" customHeight="false" outlineLevel="0" collapsed="false">
      <c r="A150" s="23" t="s">
        <v>485</v>
      </c>
      <c r="B150" s="23" t="s">
        <v>335</v>
      </c>
      <c r="C150" s="24" t="n">
        <v>1000000</v>
      </c>
      <c r="D150" s="23" t="s">
        <v>307</v>
      </c>
      <c r="E150" s="23" t="s">
        <v>313</v>
      </c>
    </row>
    <row r="151" customFormat="false" ht="15" hidden="false" customHeight="false" outlineLevel="0" collapsed="false">
      <c r="A151" s="23" t="s">
        <v>485</v>
      </c>
      <c r="B151" s="23" t="s">
        <v>487</v>
      </c>
      <c r="C151" s="24" t="n">
        <v>200000</v>
      </c>
      <c r="D151" s="23" t="s">
        <v>307</v>
      </c>
      <c r="E151" s="23" t="s">
        <v>334</v>
      </c>
    </row>
    <row r="153" customFormat="false" ht="15" hidden="false" customHeight="false" outlineLevel="0" collapsed="false">
      <c r="A153" s="21" t="s">
        <v>346</v>
      </c>
      <c r="B153" s="21"/>
      <c r="C153" s="21"/>
      <c r="D153" s="21"/>
      <c r="E153" s="21"/>
      <c r="F153" s="21"/>
      <c r="G153" s="21"/>
      <c r="H153" s="21"/>
      <c r="I153" s="21"/>
    </row>
    <row r="154" customFormat="false" ht="15" hidden="false" customHeight="false" outlineLevel="0" collapsed="false">
      <c r="A154" s="22" t="s">
        <v>2</v>
      </c>
      <c r="B154" s="22" t="s">
        <v>3</v>
      </c>
      <c r="C154" s="28" t="s">
        <v>347</v>
      </c>
      <c r="D154" s="28" t="s">
        <v>348</v>
      </c>
    </row>
    <row r="155" customFormat="false" ht="15" hidden="false" customHeight="false" outlineLevel="0" collapsed="false">
      <c r="A155" s="23" t="s">
        <v>349</v>
      </c>
      <c r="B155" s="24" t="n">
        <v>267206</v>
      </c>
    </row>
    <row r="156" customFormat="false" ht="15" hidden="false" customHeight="false" outlineLevel="0" collapsed="false">
      <c r="A156" s="23" t="s">
        <v>350</v>
      </c>
      <c r="B156" s="24" t="n">
        <v>14053438</v>
      </c>
      <c r="C156" s="29" t="n">
        <f aca="false">F11</f>
        <v>6122312</v>
      </c>
      <c r="D156" s="29" t="n">
        <f aca="false">B156-C156</f>
        <v>7931126</v>
      </c>
    </row>
    <row r="157" customFormat="false" ht="15" hidden="false" customHeight="false" outlineLevel="0" collapsed="false">
      <c r="A157" s="23" t="s">
        <v>351</v>
      </c>
      <c r="B157" s="24" t="n">
        <v>-13156244</v>
      </c>
    </row>
    <row r="158" customFormat="false" ht="15" hidden="false" customHeight="false" outlineLevel="0" collapsed="false">
      <c r="A158" s="25" t="s">
        <v>352</v>
      </c>
      <c r="B158" s="26" t="n">
        <f aca="false">SUM(B155:B157)</f>
        <v>1164400</v>
      </c>
    </row>
    <row r="159" customFormat="false" ht="15" hidden="false" customHeight="false" outlineLevel="0" collapsed="false">
      <c r="A159" s="25" t="s">
        <v>353</v>
      </c>
      <c r="B159" s="26" t="n">
        <v>1164400</v>
      </c>
    </row>
    <row r="160" customFormat="false" ht="15" hidden="false" customHeight="false" outlineLevel="0" collapsed="false">
      <c r="A160" s="25" t="s">
        <v>354</v>
      </c>
      <c r="B160" s="26" t="n">
        <f aca="false">B158-B159</f>
        <v>0</v>
      </c>
    </row>
    <row r="162" customFormat="false" ht="30" hidden="false" customHeight="true" outlineLevel="0" collapsed="false">
      <c r="A162" s="30" t="s">
        <v>355</v>
      </c>
      <c r="B162" s="30"/>
      <c r="C162" s="30"/>
      <c r="D162" s="30"/>
      <c r="E162" s="30"/>
      <c r="F162" s="30"/>
      <c r="G162" s="30"/>
      <c r="H162" s="30"/>
    </row>
  </sheetData>
  <mergeCells count="7">
    <mergeCell ref="A1:I1"/>
    <mergeCell ref="A2:I2"/>
    <mergeCell ref="A4:I4"/>
    <mergeCell ref="A13:I13"/>
    <mergeCell ref="A66:I66"/>
    <mergeCell ref="A153:I153"/>
    <mergeCell ref="A162:H16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9" min="2" style="0" width="15"/>
    <col collapsed="false" customWidth="true" hidden="false" outlineLevel="0" max="11" min="10" style="0" width="30"/>
  </cols>
  <sheetData>
    <row r="1" customFormat="false" ht="16.15" hidden="false" customHeight="false" outlineLevel="0" collapsed="false">
      <c r="A1" s="19" t="s">
        <v>488</v>
      </c>
      <c r="B1" s="19"/>
      <c r="C1" s="19"/>
      <c r="D1" s="19"/>
      <c r="E1" s="19"/>
      <c r="F1" s="19"/>
      <c r="G1" s="19"/>
      <c r="H1" s="19"/>
      <c r="I1" s="19"/>
      <c r="J1" s="19"/>
      <c r="K1" s="19"/>
    </row>
    <row r="2" customFormat="false" ht="45" hidden="false" customHeight="true" outlineLevel="0" collapsed="false">
      <c r="A2" s="31" t="s">
        <v>489</v>
      </c>
      <c r="B2" s="31"/>
      <c r="C2" s="31"/>
      <c r="D2" s="31"/>
      <c r="E2" s="31"/>
      <c r="F2" s="31"/>
      <c r="G2" s="31"/>
      <c r="H2" s="31"/>
      <c r="I2" s="31"/>
      <c r="J2" s="31"/>
      <c r="K2" s="31"/>
    </row>
    <row r="5" customFormat="false" ht="15" hidden="false" customHeight="false" outlineLevel="0" collapsed="false">
      <c r="A5" s="21" t="s">
        <v>490</v>
      </c>
      <c r="B5" s="21"/>
      <c r="C5" s="21"/>
      <c r="D5" s="21"/>
      <c r="E5" s="21"/>
      <c r="F5" s="21"/>
      <c r="G5" s="21"/>
      <c r="H5" s="21"/>
      <c r="I5" s="21"/>
      <c r="J5" s="21"/>
      <c r="K5" s="21"/>
    </row>
    <row r="6" customFormat="false" ht="26.85" hidden="false" customHeight="false" outlineLevel="0" collapsed="false">
      <c r="A6" s="22" t="s">
        <v>15</v>
      </c>
      <c r="B6" s="22" t="s">
        <v>491</v>
      </c>
      <c r="C6" s="22" t="s">
        <v>492</v>
      </c>
      <c r="D6" s="22" t="s">
        <v>493</v>
      </c>
      <c r="E6" s="22" t="s">
        <v>494</v>
      </c>
      <c r="F6" s="22" t="s">
        <v>495</v>
      </c>
      <c r="G6" s="22" t="s">
        <v>496</v>
      </c>
      <c r="H6" s="22" t="s">
        <v>497</v>
      </c>
      <c r="I6" s="22" t="s">
        <v>498</v>
      </c>
      <c r="J6" s="22" t="s">
        <v>499</v>
      </c>
      <c r="K6" s="22" t="s">
        <v>500</v>
      </c>
    </row>
    <row r="7" customFormat="false" ht="15" hidden="false" customHeight="false" outlineLevel="0" collapsed="false">
      <c r="A7" s="32" t="str">
        <f aca="false">Agosto!A20</f>
        <v>S0 (01-02 ago)</v>
      </c>
      <c r="B7" s="33" t="n">
        <f aca="false">Agosto!B20</f>
        <v>0</v>
      </c>
      <c r="C7" s="34"/>
      <c r="D7" s="24" t="str">
        <f aca="false">IF(C7="","",C7-B7)</f>
        <v/>
      </c>
      <c r="E7" s="33" t="n">
        <f aca="false">Agosto!C20</f>
        <v>3949000</v>
      </c>
      <c r="F7" s="34"/>
      <c r="G7" s="24" t="str">
        <f aca="false">IF(F7="","",F7-E7)</f>
        <v/>
      </c>
      <c r="H7" s="33" t="n">
        <f aca="false">Agosto!D20</f>
        <v>-3949000</v>
      </c>
      <c r="I7" s="24" t="str">
        <f aca="false">IF(OR(C7="",F7=""),"",C7-F7)</f>
        <v/>
      </c>
      <c r="J7" s="35" t="str">
        <f aca="false">IF(I7="","Pendiente",IF(I7&gt;=H7,"Sí","No"))</f>
        <v>Pendiente</v>
      </c>
      <c r="K7" s="36"/>
    </row>
    <row r="8" customFormat="false" ht="15" hidden="false" customHeight="false" outlineLevel="0" collapsed="false">
      <c r="A8" s="32" t="str">
        <f aca="false">Agosto!A21</f>
        <v>S1 (03-09 ago)</v>
      </c>
      <c r="B8" s="33" t="n">
        <f aca="false">Agosto!B21</f>
        <v>7390238</v>
      </c>
      <c r="C8" s="34"/>
      <c r="D8" s="24" t="str">
        <f aca="false">IF(C8="","",C8-B8)</f>
        <v/>
      </c>
      <c r="E8" s="33" t="n">
        <f aca="false">Agosto!C21</f>
        <v>6466656</v>
      </c>
      <c r="F8" s="34"/>
      <c r="G8" s="24" t="str">
        <f aca="false">IF(F8="","",F8-E8)</f>
        <v/>
      </c>
      <c r="H8" s="33" t="n">
        <f aca="false">Agosto!D21</f>
        <v>923582</v>
      </c>
      <c r="I8" s="24" t="str">
        <f aca="false">IF(OR(C8="",F8=""),"",C8-F8)</f>
        <v/>
      </c>
      <c r="J8" s="35" t="str">
        <f aca="false">IF(I8="","Pendiente",IF(I8&gt;=H8,"Sí","No"))</f>
        <v>Pendiente</v>
      </c>
      <c r="K8" s="36"/>
    </row>
    <row r="9" customFormat="false" ht="15" hidden="false" customHeight="false" outlineLevel="0" collapsed="false">
      <c r="A9" s="32" t="str">
        <f aca="false">Agosto!A22</f>
        <v>S2 (10-16 ago)</v>
      </c>
      <c r="B9" s="33" t="n">
        <f aca="false">Agosto!B22</f>
        <v>7390238</v>
      </c>
      <c r="C9" s="34"/>
      <c r="D9" s="24" t="str">
        <f aca="false">IF(C9="","",C9-B9)</f>
        <v/>
      </c>
      <c r="E9" s="33" t="n">
        <f aca="false">Agosto!C22</f>
        <v>5053147</v>
      </c>
      <c r="F9" s="34"/>
      <c r="G9" s="24" t="str">
        <f aca="false">IF(F9="","",F9-E9)</f>
        <v/>
      </c>
      <c r="H9" s="33" t="n">
        <f aca="false">Agosto!D22</f>
        <v>2337091</v>
      </c>
      <c r="I9" s="24" t="str">
        <f aca="false">IF(OR(C9="",F9=""),"",C9-F9)</f>
        <v/>
      </c>
      <c r="J9" s="35" t="str">
        <f aca="false">IF(I9="","Pendiente",IF(I9&gt;=H9,"Sí","No"))</f>
        <v>Pendiente</v>
      </c>
      <c r="K9" s="36"/>
    </row>
    <row r="10" customFormat="false" ht="15" hidden="false" customHeight="false" outlineLevel="0" collapsed="false">
      <c r="A10" s="32" t="str">
        <f aca="false">Agosto!A23</f>
        <v>S3 (17-23 ago)</v>
      </c>
      <c r="B10" s="33" t="n">
        <f aca="false">Agosto!B23</f>
        <v>7390238</v>
      </c>
      <c r="C10" s="34"/>
      <c r="D10" s="24" t="str">
        <f aca="false">IF(C10="","",C10-B10)</f>
        <v/>
      </c>
      <c r="E10" s="33" t="n">
        <f aca="false">Agosto!C23</f>
        <v>3390000</v>
      </c>
      <c r="F10" s="34"/>
      <c r="G10" s="24" t="str">
        <f aca="false">IF(F10="","",F10-E10)</f>
        <v/>
      </c>
      <c r="H10" s="33" t="n">
        <f aca="false">Agosto!D23</f>
        <v>4000238</v>
      </c>
      <c r="I10" s="24" t="str">
        <f aca="false">IF(OR(C10="",F10=""),"",C10-F10)</f>
        <v/>
      </c>
      <c r="J10" s="35" t="str">
        <f aca="false">IF(I10="","Pendiente",IF(I10&gt;=H10,"Sí","No"))</f>
        <v>Pendiente</v>
      </c>
      <c r="K10" s="36"/>
    </row>
    <row r="11" customFormat="false" ht="15" hidden="false" customHeight="false" outlineLevel="0" collapsed="false">
      <c r="A11" s="32" t="str">
        <f aca="false">Agosto!A24</f>
        <v>S4 (24-30 ago)</v>
      </c>
      <c r="B11" s="33" t="n">
        <f aca="false">Agosto!B24</f>
        <v>7390238</v>
      </c>
      <c r="C11" s="34"/>
      <c r="D11" s="24" t="str">
        <f aca="false">IF(C11="","",C11-B11)</f>
        <v/>
      </c>
      <c r="E11" s="33" t="n">
        <f aca="false">Agosto!C24</f>
        <v>2887500</v>
      </c>
      <c r="F11" s="34"/>
      <c r="G11" s="24" t="str">
        <f aca="false">IF(F11="","",F11-E11)</f>
        <v/>
      </c>
      <c r="H11" s="33" t="n">
        <f aca="false">Agosto!D24</f>
        <v>4502738</v>
      </c>
      <c r="I11" s="24" t="str">
        <f aca="false">IF(OR(C11="",F11=""),"",C11-F11)</f>
        <v/>
      </c>
      <c r="J11" s="35" t="str">
        <f aca="false">IF(I11="","Pendiente",IF(I11&gt;=H11,"Sí","No"))</f>
        <v>Pendiente</v>
      </c>
      <c r="K11" s="36"/>
    </row>
    <row r="12" customFormat="false" ht="15" hidden="false" customHeight="false" outlineLevel="0" collapsed="false">
      <c r="A12" s="32" t="str">
        <f aca="false">Agosto!A25</f>
        <v>S5 (31 ago)</v>
      </c>
      <c r="B12" s="33" t="n">
        <f aca="false">Agosto!B25</f>
        <v>1478048</v>
      </c>
      <c r="C12" s="34"/>
      <c r="D12" s="24" t="str">
        <f aca="false">IF(C12="","",C12-B12)</f>
        <v/>
      </c>
      <c r="E12" s="33" t="n">
        <f aca="false">Agosto!C25</f>
        <v>3540000</v>
      </c>
      <c r="F12" s="34"/>
      <c r="G12" s="24" t="str">
        <f aca="false">IF(F12="","",F12-E12)</f>
        <v/>
      </c>
      <c r="H12" s="33" t="n">
        <f aca="false">Agosto!D25</f>
        <v>-2061952</v>
      </c>
      <c r="I12" s="24" t="str">
        <f aca="false">IF(OR(C12="",F12=""),"",C12-F12)</f>
        <v/>
      </c>
      <c r="J12" s="35" t="str">
        <f aca="false">IF(I12="","Pendiente",IF(I12&gt;=H12,"Sí","No"))</f>
        <v>Pendiente</v>
      </c>
      <c r="K12" s="36"/>
    </row>
    <row r="14" customFormat="false" ht="15" hidden="false" customHeight="false" outlineLevel="0" collapsed="false">
      <c r="A14" s="21" t="s">
        <v>501</v>
      </c>
      <c r="B14" s="21"/>
      <c r="C14" s="21"/>
      <c r="D14" s="21"/>
      <c r="E14" s="21"/>
      <c r="F14" s="21"/>
      <c r="G14" s="21"/>
      <c r="H14" s="21"/>
      <c r="I14" s="21"/>
      <c r="J14" s="21"/>
      <c r="K14" s="21"/>
    </row>
    <row r="15" customFormat="false" ht="26.85" hidden="false" customHeight="false" outlineLevel="0" collapsed="false">
      <c r="A15" s="22" t="s">
        <v>15</v>
      </c>
      <c r="B15" s="22" t="s">
        <v>491</v>
      </c>
      <c r="C15" s="22" t="s">
        <v>492</v>
      </c>
      <c r="D15" s="22" t="s">
        <v>493</v>
      </c>
      <c r="E15" s="22" t="s">
        <v>494</v>
      </c>
      <c r="F15" s="22" t="s">
        <v>495</v>
      </c>
      <c r="G15" s="22" t="s">
        <v>496</v>
      </c>
      <c r="H15" s="22" t="s">
        <v>497</v>
      </c>
      <c r="I15" s="22" t="s">
        <v>498</v>
      </c>
      <c r="J15" s="22" t="s">
        <v>499</v>
      </c>
      <c r="K15" s="22" t="s">
        <v>500</v>
      </c>
    </row>
    <row r="16" customFormat="false" ht="15" hidden="false" customHeight="false" outlineLevel="0" collapsed="false">
      <c r="A16" s="32" t="str">
        <f aca="false">Septiembre!A20</f>
        <v>S0 (01-06 sep)</v>
      </c>
      <c r="B16" s="33" t="n">
        <f aca="false">Septiembre!B20</f>
        <v>7524608</v>
      </c>
      <c r="C16" s="34"/>
      <c r="D16" s="24" t="str">
        <f aca="false">IF(C16="","",C16-B16)</f>
        <v/>
      </c>
      <c r="E16" s="33" t="n">
        <f aca="false">Septiembre!C20</f>
        <v>11814844</v>
      </c>
      <c r="F16" s="34"/>
      <c r="G16" s="24" t="str">
        <f aca="false">IF(F16="","",F16-E16)</f>
        <v/>
      </c>
      <c r="H16" s="33" t="n">
        <f aca="false">Septiembre!D20</f>
        <v>-4290236</v>
      </c>
      <c r="I16" s="24" t="str">
        <f aca="false">IF(OR(C16="",F16=""),"",C16-F16)</f>
        <v/>
      </c>
      <c r="J16" s="35" t="str">
        <f aca="false">IF(I16="","Pendiente",IF(I16&gt;=H16,"Sí","No"))</f>
        <v>Pendiente</v>
      </c>
      <c r="K16" s="36"/>
    </row>
    <row r="17" customFormat="false" ht="15" hidden="false" customHeight="false" outlineLevel="0" collapsed="false">
      <c r="A17" s="32" t="str">
        <f aca="false">Septiembre!A21</f>
        <v>S1 (07-13 sep)</v>
      </c>
      <c r="B17" s="33" t="n">
        <f aca="false">Septiembre!B21</f>
        <v>9405760</v>
      </c>
      <c r="C17" s="34"/>
      <c r="D17" s="24" t="str">
        <f aca="false">IF(C17="","",C17-B17)</f>
        <v/>
      </c>
      <c r="E17" s="33" t="n">
        <f aca="false">Septiembre!C21</f>
        <v>6207692</v>
      </c>
      <c r="F17" s="34"/>
      <c r="G17" s="24" t="str">
        <f aca="false">IF(F17="","",F17-E17)</f>
        <v/>
      </c>
      <c r="H17" s="33" t="n">
        <f aca="false">Septiembre!D21</f>
        <v>3198068</v>
      </c>
      <c r="I17" s="24" t="str">
        <f aca="false">IF(OR(C17="",F17=""),"",C17-F17)</f>
        <v/>
      </c>
      <c r="J17" s="35" t="str">
        <f aca="false">IF(I17="","Pendiente",IF(I17&gt;=H17,"Sí","No"))</f>
        <v>Pendiente</v>
      </c>
      <c r="K17" s="36"/>
    </row>
    <row r="18" customFormat="false" ht="15" hidden="false" customHeight="false" outlineLevel="0" collapsed="false">
      <c r="A18" s="32" t="str">
        <f aca="false">Septiembre!A22</f>
        <v>S2 (14-20 sep)</v>
      </c>
      <c r="B18" s="33" t="n">
        <f aca="false">Septiembre!B22</f>
        <v>9405760</v>
      </c>
      <c r="C18" s="34"/>
      <c r="D18" s="24" t="str">
        <f aca="false">IF(C18="","",C18-B18)</f>
        <v/>
      </c>
      <c r="E18" s="33" t="n">
        <f aca="false">Septiembre!C22</f>
        <v>4374545</v>
      </c>
      <c r="F18" s="34"/>
      <c r="G18" s="24" t="str">
        <f aca="false">IF(F18="","",F18-E18)</f>
        <v/>
      </c>
      <c r="H18" s="33" t="n">
        <f aca="false">Septiembre!D22</f>
        <v>5031215</v>
      </c>
      <c r="I18" s="24" t="str">
        <f aca="false">IF(OR(C18="",F18=""),"",C18-F18)</f>
        <v/>
      </c>
      <c r="J18" s="35" t="str">
        <f aca="false">IF(I18="","Pendiente",IF(I18&gt;=H18,"Sí","No"))</f>
        <v>Pendiente</v>
      </c>
      <c r="K18" s="36"/>
    </row>
    <row r="19" customFormat="false" ht="15" hidden="false" customHeight="false" outlineLevel="0" collapsed="false">
      <c r="A19" s="32" t="str">
        <f aca="false">Septiembre!A23</f>
        <v>S3 (21-27 sep)</v>
      </c>
      <c r="B19" s="33" t="n">
        <f aca="false">Septiembre!B23</f>
        <v>9405760</v>
      </c>
      <c r="C19" s="34"/>
      <c r="D19" s="24" t="str">
        <f aca="false">IF(C19="","",C19-B19)</f>
        <v/>
      </c>
      <c r="E19" s="33" t="n">
        <f aca="false">Septiembre!C23</f>
        <v>3704545</v>
      </c>
      <c r="F19" s="34"/>
      <c r="G19" s="24" t="str">
        <f aca="false">IF(F19="","",F19-E19)</f>
        <v/>
      </c>
      <c r="H19" s="33" t="n">
        <f aca="false">Septiembre!D23</f>
        <v>5701215</v>
      </c>
      <c r="I19" s="24" t="str">
        <f aca="false">IF(OR(C19="",F19=""),"",C19-F19)</f>
        <v/>
      </c>
      <c r="J19" s="35" t="str">
        <f aca="false">IF(I19="","Pendiente",IF(I19&gt;=H19,"Sí","No"))</f>
        <v>Pendiente</v>
      </c>
      <c r="K19" s="36"/>
    </row>
    <row r="20" customFormat="false" ht="15" hidden="false" customHeight="false" outlineLevel="0" collapsed="false">
      <c r="A20" s="32" t="str">
        <f aca="false">Septiembre!A24</f>
        <v>S4 (28-30 sep)</v>
      </c>
      <c r="B20" s="33" t="n">
        <f aca="false">Septiembre!B24</f>
        <v>5643456</v>
      </c>
      <c r="C20" s="34"/>
      <c r="D20" s="24" t="str">
        <f aca="false">IF(C20="","",C20-B20)</f>
        <v/>
      </c>
      <c r="E20" s="33" t="n">
        <f aca="false">Septiembre!C24</f>
        <v>5912727</v>
      </c>
      <c r="F20" s="34"/>
      <c r="G20" s="24" t="str">
        <f aca="false">IF(F20="","",F20-E20)</f>
        <v/>
      </c>
      <c r="H20" s="33" t="n">
        <f aca="false">Septiembre!D24</f>
        <v>-269271</v>
      </c>
      <c r="I20" s="24" t="str">
        <f aca="false">IF(OR(C20="",F20=""),"",C20-F20)</f>
        <v/>
      </c>
      <c r="J20" s="35" t="str">
        <f aca="false">IF(I20="","Pendiente",IF(I20&gt;=H20,"Sí","No"))</f>
        <v>Pendiente</v>
      </c>
      <c r="K20" s="36"/>
    </row>
  </sheetData>
  <mergeCells count="4">
    <mergeCell ref="A1:K1"/>
    <mergeCell ref="A2:K2"/>
    <mergeCell ref="A5:K5"/>
    <mergeCell ref="A14:K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7" min="2" style="0" width="17"/>
  </cols>
  <sheetData>
    <row r="1" customFormat="false" ht="16.15" hidden="false" customHeight="false" outlineLevel="0" collapsed="false">
      <c r="A1" s="19" t="s">
        <v>502</v>
      </c>
      <c r="B1" s="19"/>
      <c r="C1" s="19"/>
      <c r="D1" s="19"/>
      <c r="E1" s="19"/>
      <c r="F1" s="19"/>
      <c r="G1" s="19"/>
    </row>
    <row r="2" customFormat="false" ht="45" hidden="false" customHeight="true" outlineLevel="0" collapsed="false">
      <c r="A2" s="31" t="s">
        <v>503</v>
      </c>
      <c r="B2" s="31"/>
      <c r="C2" s="31"/>
      <c r="D2" s="31"/>
      <c r="E2" s="31"/>
      <c r="F2" s="31"/>
      <c r="G2" s="31"/>
    </row>
    <row r="4" customFormat="false" ht="15" hidden="false" customHeight="false" outlineLevel="0" collapsed="false">
      <c r="A4" s="21" t="s">
        <v>504</v>
      </c>
      <c r="B4" s="21"/>
      <c r="C4" s="21"/>
      <c r="D4" s="21"/>
      <c r="E4" s="21"/>
      <c r="F4" s="21"/>
      <c r="G4" s="21"/>
    </row>
    <row r="5" customFormat="false" ht="39.55" hidden="false" customHeight="false" outlineLevel="0" collapsed="false">
      <c r="A5" s="22" t="s">
        <v>2</v>
      </c>
      <c r="B5" s="22" t="s">
        <v>505</v>
      </c>
      <c r="C5" s="22" t="s">
        <v>506</v>
      </c>
      <c r="D5" s="22" t="s">
        <v>507</v>
      </c>
      <c r="E5" s="22" t="s">
        <v>508</v>
      </c>
      <c r="F5" s="22" t="s">
        <v>509</v>
      </c>
      <c r="G5" s="22" t="s">
        <v>510</v>
      </c>
    </row>
    <row r="6" customFormat="false" ht="15" hidden="false" customHeight="false" outlineLevel="0" collapsed="false">
      <c r="A6" s="23" t="s">
        <v>16</v>
      </c>
      <c r="B6" s="33" t="n">
        <f aca="false">Agosto!B26</f>
        <v>31039000</v>
      </c>
      <c r="C6" s="24" t="n">
        <f aca="false">SUM(Real_vs_Presupuesto!C7:C12)</f>
        <v>0</v>
      </c>
      <c r="D6" s="35" t="str">
        <f aca="false">COUNT(Real_vs_Presupuesto!C7:C12)&amp;" de 6"</f>
        <v>0 de 6</v>
      </c>
      <c r="E6" s="24" t="n">
        <f aca="false">SUMIF(Real_vs_Presupuesto!C7:C12,"",Real_vs_Presupuesto!B7:B12)</f>
        <v>31039000</v>
      </c>
      <c r="F6" s="26" t="n">
        <f aca="false">C6+E6</f>
        <v>31039000</v>
      </c>
      <c r="G6" s="37" t="n">
        <f aca="false">F6/B6</f>
        <v>1</v>
      </c>
    </row>
    <row r="7" customFormat="false" ht="15" hidden="false" customHeight="false" outlineLevel="0" collapsed="false">
      <c r="A7" s="23" t="s">
        <v>17</v>
      </c>
      <c r="B7" s="33" t="n">
        <f aca="false">Agosto!C26</f>
        <v>25286303</v>
      </c>
      <c r="C7" s="24" t="n">
        <f aca="false">SUM(Real_vs_Presupuesto!F7:F12)</f>
        <v>0</v>
      </c>
      <c r="D7" s="35" t="str">
        <f aca="false">COUNT(Real_vs_Presupuesto!F7:F12)&amp;" de 6"</f>
        <v>0 de 6</v>
      </c>
      <c r="E7" s="24" t="n">
        <f aca="false">SUMIF(Real_vs_Presupuesto!F7:F12,"",Real_vs_Presupuesto!E7:E12)</f>
        <v>25286303</v>
      </c>
      <c r="F7" s="26" t="n">
        <f aca="false">C7+E7</f>
        <v>25286303</v>
      </c>
      <c r="G7" s="37" t="n">
        <f aca="false">F7/B7</f>
        <v>1</v>
      </c>
    </row>
    <row r="8" customFormat="false" ht="15" hidden="false" customHeight="false" outlineLevel="0" collapsed="false">
      <c r="A8" s="25" t="s">
        <v>511</v>
      </c>
      <c r="B8" s="26" t="n">
        <f aca="false">B6-B7</f>
        <v>5752697</v>
      </c>
      <c r="C8" s="26" t="n">
        <f aca="false">C6-C7</f>
        <v>0</v>
      </c>
      <c r="D8" s="38"/>
      <c r="E8" s="26" t="n">
        <f aca="false">E6-E7</f>
        <v>5752697</v>
      </c>
      <c r="F8" s="26" t="n">
        <f aca="false">F6-F7</f>
        <v>5752697</v>
      </c>
      <c r="G8" s="38"/>
    </row>
    <row r="10" customFormat="false" ht="15" hidden="false" customHeight="false" outlineLevel="0" collapsed="false">
      <c r="A10" s="21" t="s">
        <v>512</v>
      </c>
      <c r="B10" s="21"/>
      <c r="C10" s="21"/>
      <c r="D10" s="21"/>
      <c r="E10" s="21"/>
      <c r="F10" s="21"/>
      <c r="G10" s="21"/>
    </row>
    <row r="11" customFormat="false" ht="39.55" hidden="false" customHeight="false" outlineLevel="0" collapsed="false">
      <c r="A11" s="22" t="s">
        <v>2</v>
      </c>
      <c r="B11" s="22" t="s">
        <v>505</v>
      </c>
      <c r="C11" s="22" t="s">
        <v>506</v>
      </c>
      <c r="D11" s="22" t="s">
        <v>507</v>
      </c>
      <c r="E11" s="22" t="s">
        <v>508</v>
      </c>
      <c r="F11" s="22" t="s">
        <v>509</v>
      </c>
      <c r="G11" s="22" t="s">
        <v>510</v>
      </c>
    </row>
    <row r="12" customFormat="false" ht="15" hidden="false" customHeight="false" outlineLevel="0" collapsed="false">
      <c r="A12" s="23" t="s">
        <v>16</v>
      </c>
      <c r="B12" s="33" t="n">
        <f aca="false">Septiembre!B25</f>
        <v>41385344</v>
      </c>
      <c r="C12" s="24" t="n">
        <f aca="false">SUM(Real_vs_Presupuesto!C16:C20)</f>
        <v>0</v>
      </c>
      <c r="D12" s="35" t="str">
        <f aca="false">COUNT(Real_vs_Presupuesto!C16:C20)&amp;" de 5"</f>
        <v>0 de 5</v>
      </c>
      <c r="E12" s="24" t="n">
        <f aca="false">SUMIF(Real_vs_Presupuesto!C16:C20,"",Real_vs_Presupuesto!B16:B20)</f>
        <v>41385344</v>
      </c>
      <c r="F12" s="26" t="n">
        <f aca="false">C12+E12</f>
        <v>41385344</v>
      </c>
      <c r="G12" s="37" t="n">
        <f aca="false">F12/B12</f>
        <v>1</v>
      </c>
    </row>
    <row r="13" customFormat="false" ht="15" hidden="false" customHeight="false" outlineLevel="0" collapsed="false">
      <c r="A13" s="23" t="s">
        <v>17</v>
      </c>
      <c r="B13" s="33" t="n">
        <f aca="false">Septiembre!C25</f>
        <v>32014353</v>
      </c>
      <c r="C13" s="24" t="n">
        <f aca="false">SUM(Real_vs_Presupuesto!F16:F20)</f>
        <v>0</v>
      </c>
      <c r="D13" s="35" t="str">
        <f aca="false">COUNT(Real_vs_Presupuesto!F16:F20)&amp;" de 5"</f>
        <v>0 de 5</v>
      </c>
      <c r="E13" s="24" t="n">
        <f aca="false">SUMIF(Real_vs_Presupuesto!F16:F20,"",Real_vs_Presupuesto!E16:E20)</f>
        <v>32014353</v>
      </c>
      <c r="F13" s="26" t="n">
        <f aca="false">C13+E13</f>
        <v>32014353</v>
      </c>
      <c r="G13" s="37" t="n">
        <f aca="false">F13/B13</f>
        <v>1</v>
      </c>
    </row>
    <row r="14" customFormat="false" ht="15" hidden="false" customHeight="false" outlineLevel="0" collapsed="false">
      <c r="A14" s="25" t="s">
        <v>511</v>
      </c>
      <c r="B14" s="26" t="n">
        <f aca="false">B12-B13</f>
        <v>9370991</v>
      </c>
      <c r="C14" s="26" t="n">
        <f aca="false">C12-C13</f>
        <v>0</v>
      </c>
      <c r="D14" s="38"/>
      <c r="E14" s="26" t="n">
        <f aca="false">E12-E13</f>
        <v>9370991</v>
      </c>
      <c r="F14" s="26" t="n">
        <f aca="false">F12-F13</f>
        <v>9370991</v>
      </c>
      <c r="G14" s="38"/>
    </row>
  </sheetData>
  <mergeCells count="4">
    <mergeCell ref="A1:G1"/>
    <mergeCell ref="A2:G2"/>
    <mergeCell ref="A4:G4"/>
    <mergeCell ref="A10:G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2026-07-23T13:47:29Z</dcterms:created>
  <dc:creator>openpyxl</dc:creator>
  <dc:description/>
  <dc:language>en-US</dc:language>
  <cp:lastModifiedBy>Carlos Torres</cp:lastModifiedBy>
  <dcterms:modified xsi:type="dcterms:W3CDTF">2026-07-25T16:38:29Z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