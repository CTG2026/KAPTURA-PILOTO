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<sst xmlns="http://schemas.openxmlformats.org/spreadsheetml/2006/main" count="2076" uniqueCount="669">
  <si>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</si>
  <si>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</si>
  <si>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</si>
  <si>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</si>
  <si>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</si>
  <si>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</si>
  <si>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</si>
  <si>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</si>
  <si>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</si>
  <si>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</si>
  <si>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</si>
  <si>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</si>
  <si>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</si>
  <si>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</si>
  <si>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</si>
  <si>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</si>
  <si>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</si>
  <si>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</si>
  <si>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</si>
  <si>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</si>
  <si>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</si>
  <si>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</si>
  <si>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</si>
  <si>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</si>
  <si>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</si>
  <si>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</si>
  <si>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</si>
  <si>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</si>
  <si>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</si>
  <si>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</si>
  <si>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</si>
  <si>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</si>
  <si>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</si>
  <si>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</si>
  <si>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</si>
  <si>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</si>
  <si>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</si>
  <si>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</si>
  <si>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</si>
  <si>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</si>
  <si>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</si>
  <si>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</si>
  <si>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</si>
  <si>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</si>
  <si>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</si>
  <si>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</si>
  <si>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</si>
  <si>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</si>
  <si>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</si>
  <si>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</si>
  <si>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</si>
  <si>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</si>
  <si>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</si>
  <si>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</si>
  <si>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</si>
  <si>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</si>
  <si>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</si>
  <si>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</si>
  <si>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</si>
  <si>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</si>
  <si>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</si>
  <si>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</si>
  <si>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</si>
  <si>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</si>
  <si>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</si>
  <si>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</si>
  <si>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</si>
  <si>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</si>
  <si>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</si>
  <si>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</si>
  <si>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</si>
  <si>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</si>
  <si>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</si>
  <si>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</si>
  <si>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</si>
  <si>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</si>
  <si>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</si>
  <si>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</si>
  <si>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</si>
  <si>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</si>
  <si>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</si>
  <si>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</si>
  <si>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</si>
  <si>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</si>
  <si>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</si>
  <si>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</si>
  <si>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</si>
  <si>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</si>
  <si>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</si>
  <si>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</si>
  <si>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</si>
  <si>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</si>
  <si>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</si>
  <si>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</si>
  <si>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</si>
  <si>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</si>
  <si>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</si>
  <si>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</si>
  <si>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</si>
  <si>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</si>
  <si>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</si>
  <si>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</si>
  <si>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</si>
  <si>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</si>
  <si>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</si>
  <si>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</si>
  <si>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</si>
  <si>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</si>
  <si>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</si>
  <si>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</si>
  <si>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</si>
  <si>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</si>
  <si>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</si>
  <si>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</si>
  <si>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</si>
  <si>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</si>
  <si>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</si>
  <si>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</si>
  <si>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</si>
  <si>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</si>
  <si>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</si>
  <si>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</si>
  <si>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</si>
  <si>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</si>
  <si>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</si>
  <si>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</si>
  <si>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</si>
  <si>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</si>
  <si>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</si>
  <si>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</si>
  <si>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</si>
  <si>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</si>
  <si>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</si>
  <si>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</si>
  <si>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</si>
  <si>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</si>
  <si>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</si>
  <si>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</si>
  <si>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</si>
  <si>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</si>
  <si>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</si>
  <si>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</si>
  <si>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</si>
  <si>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</si>
  <si>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</si>
  <si>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</si>
  <si>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</si>
  <si>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</si>
  <si>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</si>
  <si>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</si>
  <si>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</si>
  <si>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</si>
  <si>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</si>
  <si>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</si>
  <si>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</si>
  <si>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</si>
  <si>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</si>
  <si>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</si>
  <si>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</si>
  <si>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</si>
  <si>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</si>
  <si>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</si>
  <si>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</si>
  <si>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</si>
  <si>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</si>
  <si>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</si>
  <si>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</si>
  <si>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</si>
  <si>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</si>
  <si>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</si>
  <si>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</si>
  <si>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</si>
  <si>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</si>
  <si>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</si>
  <si>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</si>
  <si>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</si>
  <si>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</si>
  <si>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</si>
  <si>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</si>
  <si>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</si>
  <si>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</si>
  <si>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</si>
  <si>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</si>
  <si>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</si>
  <si>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</si>
  <si>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</si>
  <si>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</si>
  <si>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</si>
  <si>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</si>
  <si>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</si>
  <si>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</si>
  <si>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</si>
  <si>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</si>
  <si>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</si>
  <si>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</si>
  <si>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</si>
  <si>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</si>
  <si>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</si>
  <si>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</si>
  <si>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</si>
  <si>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</si>
  <si>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</si>
  <si>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</si>
  <si>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</si>
  <si>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</si>
  <si>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</si>
  <si>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</si>
  <si>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</si>
  <si>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</si>
  <si>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</si>
  <si>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</si>
  <si>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</si>
  <si>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</si>
  <si>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</si>
  <si>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</si>
  <si>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</si>
  <si>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</si>
  <si>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</si>
  <si>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</si>
  <si>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</si>
  <si>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</si>
  <si>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</si>
  <si>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</si>
  <si>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</si>
  <si>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</si>
  <si>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</si>
  <si>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</si>
  <si>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</si>
  <si>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</si>
  <si>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</si>
  <si>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</si>
  <si>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</si>
  <si>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</si>
  <si>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</si>
  <si>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</si>
  <si>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</si>
  <si>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</si>
  <si>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</si>
  <si>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</si>
  <si>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</si>
  <si>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</si>
  <si>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</si>
  <si>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</si>
  <si>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</si>
  <si>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</si>
  <si>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</si>
  <si>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</si>
  <si>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</si>
  <si>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</si>
  <si>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</si>
  <si>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</si>
  <si>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</si>
  <si>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</si>
  <si>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</si>
  <si>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</si>
  <si>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</si>
  <si>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</si>
  <si>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</si>
  <si>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</si>
  <si>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</si>
  <si>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</si>
  <si>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</si>
  <si>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</si>
  <si>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</si>
  <si>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</si>
  <si>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</si>
  <si>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</si>
  <si>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</si>
  <si>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</si>
  <si>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</si>
  <si>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</si>
  <si>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</si>
  <si>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</si>
  <si>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</si>
  <si>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</si>
  <si>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</si>
  <si>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</si>
  <si>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</si>
  <si>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</si>
  <si>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</si>
  <si>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</si>
  <si>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</si>
  <si>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</si>
  <si>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</si>
  <si>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</si>
  <si>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</si>
  <si>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</si>
  <si>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</si>
  <si>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</si>
  <si>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</si>
  <si>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</si>
  <si>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</si>
  <si>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</si>
  <si>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</si>
  <si>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</si>
  <si>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</si>
  <si>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</si>
  <si>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</si>
  <si>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</si>
  <si>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</si>
  <si>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</si>
  <si>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</si>
  <si>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</si>
  <si>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</si>
  <si>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</si>
  <si>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</si>
  <si>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</si>
  <si>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</si>
  <si>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</si>
  <si>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</si>
  <si>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</si>
  <si>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</si>
  <si>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</si>
  <si>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</si>
  <si>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</si>
  <si>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</si>
  <si>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</si>
  <si>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</si>
  <si>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</si>
  <si>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</si>
  <si>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</si>
  <si>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</si>
  <si>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</si>
  <si>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</si>
  <si>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</si>
  <si>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</si>
  <si>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</si>
  <si>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</si>
  <si>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</si>
  <si>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</si>
  <si>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</si>
  <si>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</si>
  <si>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</si>
  <si>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</si>
  <si>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</si>
  <si>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</si>
  <si>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</si>
  <si>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</si>
  <si>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</si>
  <si>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</si>
  <si>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</si>
  <si>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</si>
  <si>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</si>
  <si>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</si>
  <si>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</si>
  <si>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</si>
  <si>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</si>
  <si>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</si>
  <si>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</si>
  <si>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</si>
  <si>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</si>
  <si>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</si>
  <si>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</si>
  <si>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</si>
  <si>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</si>
  <si>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</si>
  <si>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</si>
  <si>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</si>
  <si>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</si>
  <si>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</si>
  <si>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</si>
  <si>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</si>
  <si>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</si>
  <si>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</si>
  <si>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</si>
  <si>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</si>
  <si>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</si>
  <si>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</si>
  <si>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</si>
  <si>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</si>
  <si>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</si>
  <si>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</si>
  <si>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</si>
  <si>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</si>
  <si>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</si>
  <si>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</si>
  <si>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</si>
  <si>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</si>
  <si>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</si>
  <si>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</si>
  <si>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</si>
  <si>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</si>
  <si>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</si>
  <si>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</si>
  <si>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</si>
  <si>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</si>
  <si>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</si>
  <si>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</si>
  <si>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</si>
  <si>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</si>
  <si>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</si>
  <si>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</si>
  <si>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</si>
  <si>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</si>
  <si>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</si>
  <si>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</si>
  <si>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</si>
  <si>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</si>
  <si>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</si>
  <si>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</si>
  <si>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</si>
  <si>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</si>
  <si>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</si>
  <si>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</si>
  <si>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</si>
  <si>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</si>
  <si>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</si>
  <si>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</si>
  <si>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</si>
  <si>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</si>
  <si>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</si>
  <si>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</si>
  <si>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</si>
  <si>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</si>
  <si>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</si>
  <si>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</si>
  <si>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</si>
  <si>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</si>
  <si>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</si>
  <si>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</si>
  <si>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</si>
  <si>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</si>
  <si>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</si>
  <si>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</si>
  <si>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</si>
  <si>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</si>
  <si>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</si>
  <si>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</si>
  <si>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</si>
  <si>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</si>
  <si>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</si>
  <si>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N°3 al 30-07-2026)</t>
  </si>
  <si>
    <t xml:space="preserve">Fuente: Cartola provisoria (30/06 al 30/07/2026, 140 movimientos) + RCV Compra/Venta SII período 202607. Mes prácticamente cerrado (falta 1 día hábil), repetir con la cartola de cierre definitivo.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</si>
  <si>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</si>
  <si>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</si>
  <si>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</si>
  <si>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</si>
  <si>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</si>
  <si>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</si>
  <si>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</si>
  <si>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</si>
  <si>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</si>
  <si>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</si>
  <si>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</si>
  <si>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</si>
  <si>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</si>
  <si>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</si>
  <si>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</si>
  <si>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</si>
  <si>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</si>
  <si>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</si>
  <si>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</si>
  <si>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</si>
  <si>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</si>
  <si>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</si>
  <si>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</si>
  <si>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</si>
  <si>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</si>
  <si>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</si>
  <si>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</si>
  <si>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</si>
  <si>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</si>
  <si>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</si>
  <si>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</si>
  <si>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</si>
  <si>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</si>
  <si>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</si>
  <si>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</si>
  <si>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</si>
  <si>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</si>
  <si>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</si>
  <si>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</si>
  <si>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</si>
  <si>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</si>
  <si>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</si>
  <si>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</si>
  <si>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</si>
  <si>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</si>
  <si>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</si>
  <si>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</si>
  <si>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</si>
  <si>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</si>
  <si>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</si>
  <si>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</si>
  <si>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</si>
  <si>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</si>
  <si>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</si>
  <si>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</si>
  <si>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</si>
  <si>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</si>
  <si>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</si>
  <si>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</si>
  <si>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</si>
  <si>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</si>
  <si>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</si>
  <si>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</si>
  <si>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</si>
  <si>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</si>
  <si>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</si>
  <si>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</si>
  <si>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</si>
  <si>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</si>
  <si>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</si>
  <si>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</si>
  <si>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</si>
  <si>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</si>
  <si>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</si>
  <si>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</si>
  <si>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</si>
  <si>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</si>
  <si>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</si>
  <si>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</si>
  <si>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</si>
  <si>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</si>
  <si>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</si>
  <si>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</si>
  <si>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</si>
  <si>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</si>
  <si>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</si>
  <si>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</si>
  <si>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</si>
  <si>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</si>
  <si>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</si>
  <si>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</si>
  <si>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</si>
  <si>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</si>
  <si>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</si>
  <si>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</si>
  <si>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</si>
  <si>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</si>
  <si>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</si>
  <si>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</si>
  <si>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</si>
  <si>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</si>
  <si>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</si>
  <si>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</si>
  <si>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</si>
  <si>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</si>
  <si>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</si>
  <si>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</si>
  <si>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</si>
  <si>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</si>
  <si>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</si>
  <si>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</si>
  <si>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</si>
  <si>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</si>
  <si>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</si>
  <si>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</si>
  <si>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</si>
  <si>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</si>
  <si>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</si>
  <si>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</si>
  <si>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</si>
  <si>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</si>
  <si>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</si>
  <si>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</si>
  <si>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</si>
  <si>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</si>
  <si>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</si>
  <si>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</si>
  <si>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</si>
  <si>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</si>
  <si>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</si>
  <si>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</si>
  <si>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</si>
  <si>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</si>
  <si>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</si>
  <si>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</si>
  <si>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</si>
  <si>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</si>
  <si>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MERCADOPAGO *ELECTROS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</si>
  <si>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</si>
  <si>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</si>
  <si>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</si>
  <si>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</si>
  <si>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</si>
  <si>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</si>
  <si>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</si>
  <si>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</si>
  <si>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</si>
  <si>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</si>
  <si>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</si>
  <si>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COMERCIAL RIHE LTDA</t>
  </si>
  <si>
    <t xml:space="preserve">6767525</t>
  </si>
  <si>
    <t xml:space="preserve">9363</t>
  </si>
  <si>
    <t xml:space="preserve">Cargo cartola 27-07-2026 — GUILLERMO TOBIAS MOLIN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</si>
  <si>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</si>
  <si>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</si>
  <si>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</si>
  <si>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</si>
  <si>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</si>
  <si>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</si>
  <si>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</si>
  <si>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</si>
  <si>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</si>
  <si>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76288622-7</t>
  </si>
  <si>
    <t xml:space="preserve">2514</t>
  </si>
  <si>
    <t xml:space="preserve">302316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</si>
  <si>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</si>
  <si>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</si>
  <si>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</si>
  <si>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</si>
  <si>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</si>
  <si>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</si>
  <si>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</si>
  <si>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</si>
  <si>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44 de 79 ($8,960,511)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</si>
  <si>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</si>
  <si>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</si>
  <si>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</si>
  <si>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</si>
  <si>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</si>
  <si>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</si>
  <si>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</si>
  <si>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</si>
  <si>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</si>
  <si>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</t>
  </si>
  <si>
    <t xml:space="preserve">PAGO EN LINEA ESMAX</t>
  </si>
  <si>
    <t xml:space="preserve">PAGO EN LINEA S.I.I.</t>
  </si>
  <si>
    <t xml:space="preserve">RedGloba*PCY LTDA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</si>
  <si>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</si>
  <si>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</si>
  <si>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</si>
  <si>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GUILLERMO TOBIAS MOLIN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</si>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</sst>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595</v>
      </c>
      <c r="B89" s="3" t="s">
        <v>596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597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197</v>
      </c>
      <c r="H90" s="3" t="s">
        <v>235</v>
      </c>
    </row>
    <row r="91" customFormat="false" ht="15" hidden="false" customHeight="false" outlineLevel="0" collapsed="false">
      <c r="A91" s="3" t="s">
        <v>256</v>
      </c>
      <c r="B91" s="3" t="s">
        <v>598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599</v>
      </c>
    </row>
    <row r="92" customFormat="false" ht="15" hidden="false" customHeight="false" outlineLevel="0" collapsed="false">
      <c r="A92" s="3" t="s">
        <v>362</v>
      </c>
      <c r="B92" s="3" t="s">
        <v>600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601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602</v>
      </c>
      <c r="B94" s="3" t="s">
        <v>603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604</v>
      </c>
    </row>
    <row r="95" customFormat="false" ht="15" hidden="false" customHeight="false" outlineLevel="0" collapsed="false">
      <c r="A95" s="3" t="s">
        <v>309</v>
      </c>
      <c r="B95" s="3" t="s">
        <v>605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606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386</v>
      </c>
      <c r="C101" s="12" t="n">
        <v>-27000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-6000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381</v>
      </c>
      <c r="C104" s="12" t="n">
        <v>2326472</v>
      </c>
      <c r="D104" s="3" t="s">
        <v>382</v>
      </c>
      <c r="E104" s="3" t="s">
        <v>383</v>
      </c>
    </row>
    <row r="105" customFormat="false" ht="15" hidden="false" customHeight="false" outlineLevel="0" collapsed="false">
      <c r="A105" s="3" t="s">
        <v>459</v>
      </c>
      <c r="B105" s="3" t="s">
        <v>607</v>
      </c>
      <c r="C105" s="12" t="n">
        <v>-190000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608</v>
      </c>
      <c r="C106" s="12" t="n">
        <v>-54000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406</v>
      </c>
      <c r="C107" s="12" t="n">
        <v>-225000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609</v>
      </c>
      <c r="C108" s="12" t="n">
        <v>-2700</v>
      </c>
      <c r="D108" s="3" t="s">
        <v>387</v>
      </c>
      <c r="E108" s="3" t="s">
        <v>409</v>
      </c>
    </row>
    <row r="109" customFormat="false" ht="15" hidden="false" customHeight="false" outlineLevel="0" collapsed="false">
      <c r="A109" s="3" t="s">
        <v>473</v>
      </c>
      <c r="B109" s="3" t="s">
        <v>410</v>
      </c>
      <c r="C109" s="12" t="n">
        <v>1200000</v>
      </c>
      <c r="D109" s="3" t="s">
        <v>382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610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420</v>
      </c>
      <c r="C112" s="12" t="n">
        <v>83100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386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408</v>
      </c>
      <c r="C114" s="12" t="n">
        <v>270000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393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477</v>
      </c>
      <c r="B117" s="3" t="s">
        <v>611</v>
      </c>
      <c r="C117" s="12" t="n">
        <v>320000</v>
      </c>
      <c r="D117" s="3" t="s">
        <v>382</v>
      </c>
      <c r="E117" s="3" t="s">
        <v>409</v>
      </c>
    </row>
    <row r="118" customFormat="false" ht="15" hidden="false" customHeight="false" outlineLevel="0" collapsed="false">
      <c r="A118" s="3" t="s">
        <v>477</v>
      </c>
      <c r="B118" s="3" t="s">
        <v>407</v>
      </c>
      <c r="C118" s="12" t="n">
        <v>-100000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386</v>
      </c>
      <c r="C119" s="12" t="n">
        <v>-250000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393</v>
      </c>
      <c r="C120" s="12" t="n">
        <v>-120000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389</v>
      </c>
      <c r="C121" s="12" t="n">
        <v>-180000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-150000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406</v>
      </c>
      <c r="C123" s="12" t="n">
        <v>-225000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390</v>
      </c>
      <c r="C124" s="12" t="n">
        <v>-270000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612</v>
      </c>
      <c r="C125" s="12" t="n">
        <v>-4700</v>
      </c>
      <c r="D125" s="3" t="s">
        <v>387</v>
      </c>
      <c r="E125" s="3" t="s">
        <v>409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-8000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409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-32000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409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409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609</v>
      </c>
      <c r="C135" s="12" t="n">
        <v>-21470</v>
      </c>
      <c r="D135" s="3" t="s">
        <v>387</v>
      </c>
      <c r="E135" s="3" t="s">
        <v>409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381</v>
      </c>
      <c r="C137" s="12" t="n">
        <v>1650249</v>
      </c>
      <c r="D137" s="3" t="s">
        <v>382</v>
      </c>
      <c r="E137" s="3" t="s">
        <v>383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393</v>
      </c>
      <c r="C139" s="12" t="n">
        <v>-16000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406</v>
      </c>
      <c r="C140" s="12" t="n">
        <v>-225000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-6800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393</v>
      </c>
      <c r="C143" s="12" t="n">
        <v>-6000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389</v>
      </c>
      <c r="C144" s="12" t="n">
        <v>-15000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617</v>
      </c>
      <c r="C147" s="12" t="n">
        <v>-1000000</v>
      </c>
      <c r="D147" s="3" t="s">
        <v>387</v>
      </c>
      <c r="E147" s="3" t="s">
        <v>78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390</v>
      </c>
      <c r="C150" s="12" t="n">
        <v>-300000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418</v>
      </c>
      <c r="C151" s="12" t="n">
        <v>760000</v>
      </c>
      <c r="D151" s="3" t="s">
        <v>382</v>
      </c>
      <c r="E151" s="3" t="s">
        <v>409</v>
      </c>
    </row>
    <row r="152" customFormat="false" ht="15" hidden="false" customHeight="false" outlineLevel="0" collapsed="false">
      <c r="A152" s="3" t="s">
        <v>522</v>
      </c>
      <c r="B152" s="3" t="s">
        <v>394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393</v>
      </c>
      <c r="C153" s="12" t="n">
        <v>-250000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389</v>
      </c>
      <c r="C154" s="12" t="n">
        <v>-70000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386</v>
      </c>
      <c r="C155" s="12" t="n">
        <v>-400000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440</v>
      </c>
      <c r="B156" s="3" t="s">
        <v>389</v>
      </c>
      <c r="C156" s="12" t="n">
        <v>-17000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394</v>
      </c>
      <c r="C157" s="12" t="n">
        <v>-32000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616</v>
      </c>
      <c r="C159" s="12" t="n">
        <v>2234722</v>
      </c>
      <c r="D159" s="3" t="s">
        <v>382</v>
      </c>
      <c r="E159" s="3" t="s">
        <v>392</v>
      </c>
    </row>
    <row r="160" customFormat="false" ht="15" hidden="false" customHeight="false" outlineLevel="0" collapsed="false">
      <c r="A160" s="3" t="s">
        <v>532</v>
      </c>
      <c r="B160" s="3" t="s">
        <v>389</v>
      </c>
      <c r="C160" s="12" t="n">
        <v>-12000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532</v>
      </c>
      <c r="B161" s="3" t="s">
        <v>393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381</v>
      </c>
      <c r="C162" s="12" t="n">
        <v>198000</v>
      </c>
      <c r="D162" s="3" t="s">
        <v>382</v>
      </c>
      <c r="E162" s="3" t="s">
        <v>383</v>
      </c>
    </row>
    <row r="163" customFormat="false" ht="15" hidden="false" customHeight="false" outlineLevel="0" collapsed="false">
      <c r="A163" s="3" t="s">
        <v>532</v>
      </c>
      <c r="B163" s="3" t="s">
        <v>619</v>
      </c>
      <c r="C163" s="12" t="n">
        <v>-31319</v>
      </c>
      <c r="D163" s="3" t="s">
        <v>387</v>
      </c>
      <c r="E163" s="3" t="s">
        <v>409</v>
      </c>
    </row>
    <row r="164" customFormat="false" ht="15" hidden="false" customHeight="false" outlineLevel="0" collapsed="false">
      <c r="A164" s="3" t="s">
        <v>542</v>
      </c>
      <c r="B164" s="3" t="s">
        <v>394</v>
      </c>
      <c r="C164" s="12" t="n">
        <v>-15000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389</v>
      </c>
      <c r="C165" s="12" t="n">
        <v>-20000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620</v>
      </c>
      <c r="C166" s="12" t="n">
        <v>-5770</v>
      </c>
      <c r="D166" s="3" t="s">
        <v>387</v>
      </c>
      <c r="E166" s="3" t="s">
        <v>396</v>
      </c>
    </row>
    <row r="167" customFormat="false" ht="15" hidden="false" customHeight="false" outlineLevel="0" collapsed="false">
      <c r="A167" s="3" t="s">
        <v>542</v>
      </c>
      <c r="B167" s="3" t="s">
        <v>393</v>
      </c>
      <c r="C167" s="12" t="n">
        <v>-16000</v>
      </c>
      <c r="D167" s="3" t="s">
        <v>387</v>
      </c>
      <c r="E167" s="3" t="s">
        <v>388</v>
      </c>
    </row>
    <row r="168" customFormat="false" ht="15" hidden="false" customHeight="false" outlineLevel="0" collapsed="false">
      <c r="A168" s="3" t="s">
        <v>542</v>
      </c>
      <c r="B168" s="3" t="s">
        <v>406</v>
      </c>
      <c r="C168" s="12" t="n">
        <v>-350000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394</v>
      </c>
      <c r="C169" s="12" t="n">
        <v>-29000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390</v>
      </c>
      <c r="C171" s="12" t="n">
        <v>-20000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389</v>
      </c>
      <c r="C174" s="12" t="n">
        <v>-12000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490200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623</v>
      </c>
      <c r="C176" s="12" t="n">
        <v>-16500</v>
      </c>
      <c r="D176" s="3" t="s">
        <v>387</v>
      </c>
      <c r="E176" s="3" t="s">
        <v>409</v>
      </c>
    </row>
    <row r="177" customFormat="false" ht="15" hidden="false" customHeight="false" outlineLevel="0" collapsed="false">
      <c r="A177" s="3" t="s">
        <v>559</v>
      </c>
      <c r="B177" s="3" t="s">
        <v>622</v>
      </c>
      <c r="C177" s="12" t="n">
        <v>200000</v>
      </c>
      <c r="D177" s="3" t="s">
        <v>382</v>
      </c>
      <c r="E177" s="3" t="s">
        <v>409</v>
      </c>
    </row>
    <row r="178" customFormat="false" ht="15" hidden="false" customHeight="false" outlineLevel="0" collapsed="false">
      <c r="A178" s="3" t="s">
        <v>559</v>
      </c>
      <c r="B178" s="3" t="s">
        <v>410</v>
      </c>
      <c r="C178" s="12" t="n">
        <v>1000000</v>
      </c>
      <c r="D178" s="3" t="s">
        <v>382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393</v>
      </c>
      <c r="C179" s="12" t="n">
        <v>-15000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389</v>
      </c>
      <c r="C180" s="12" t="n">
        <v>-120000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389</v>
      </c>
      <c r="C181" s="12" t="n">
        <v>-3000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406</v>
      </c>
      <c r="C182" s="12" t="n">
        <v>-18000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390</v>
      </c>
      <c r="C183" s="12" t="n">
        <v>-25000</v>
      </c>
      <c r="D183" s="3" t="s">
        <v>387</v>
      </c>
      <c r="E183" s="3" t="s">
        <v>388</v>
      </c>
    </row>
    <row r="184" customFormat="false" ht="15" hidden="false" customHeight="false" outlineLevel="0" collapsed="false">
      <c r="A184" s="3" t="s">
        <v>559</v>
      </c>
      <c r="B184" s="3" t="s">
        <v>393</v>
      </c>
      <c r="C184" s="12" t="n">
        <v>-70000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389</v>
      </c>
      <c r="C185" s="12" t="n">
        <v>-20000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390</v>
      </c>
      <c r="C186" s="12" t="n">
        <v>-170000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389</v>
      </c>
      <c r="C188" s="12" t="n">
        <v>-53000</v>
      </c>
      <c r="D188" s="3" t="s">
        <v>387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393</v>
      </c>
      <c r="C189" s="12" t="n">
        <v>-12000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-12000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381</v>
      </c>
      <c r="C192" s="12" t="n">
        <v>500000</v>
      </c>
      <c r="D192" s="3" t="s">
        <v>382</v>
      </c>
      <c r="E192" s="3" t="s">
        <v>383</v>
      </c>
    </row>
    <row r="193" customFormat="false" ht="15" hidden="false" customHeight="false" outlineLevel="0" collapsed="false">
      <c r="A193" s="3" t="s">
        <v>445</v>
      </c>
      <c r="B193" s="3" t="s">
        <v>410</v>
      </c>
      <c r="C193" s="12" t="n">
        <v>500000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389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393</v>
      </c>
      <c r="C195" s="12" t="n">
        <v>-20000</v>
      </c>
      <c r="D195" s="3" t="s">
        <v>387</v>
      </c>
      <c r="E195" s="3" t="s">
        <v>388</v>
      </c>
    </row>
    <row r="197" customFormat="false" ht="15" hidden="false" customHeight="false" outlineLevel="0" collapsed="false">
      <c r="A197" s="2" t="s">
        <v>421</v>
      </c>
      <c r="B197" s="2"/>
      <c r="C197" s="2"/>
      <c r="D197" s="2"/>
      <c r="E197" s="2"/>
      <c r="F197" s="2"/>
      <c r="G197" s="2"/>
      <c r="H197" s="2"/>
      <c r="I197" s="2"/>
    </row>
    <row r="198" customFormat="false" ht="15" hidden="false" customHeight="false" outlineLevel="0" collapsed="false">
      <c r="A198" s="9" t="s">
        <v>66</v>
      </c>
      <c r="B198" s="9" t="s">
        <v>378</v>
      </c>
      <c r="C198" s="30" t="s">
        <v>422</v>
      </c>
      <c r="D198" s="30" t="s">
        <v>423</v>
      </c>
    </row>
    <row r="199" customFormat="false" ht="15" hidden="false" customHeight="false" outlineLevel="0" collapsed="false">
      <c r="A199" s="3" t="s">
        <v>424</v>
      </c>
      <c r="B199" s="12" t="n">
        <v>267206</v>
      </c>
    </row>
    <row r="200" customFormat="false" ht="15" hidden="false" customHeight="false" outlineLevel="0" collapsed="false">
      <c r="A200" s="3" t="s">
        <v>425</v>
      </c>
      <c r="B200" s="12" t="n">
        <v>15543638</v>
      </c>
      <c r="C200" s="31" t="n">
        <f aca="false">F14</f>
        <v>14685671</v>
      </c>
      <c r="D200" s="31" t="n">
        <f aca="false">B200-C200</f>
        <v>857967</v>
      </c>
    </row>
    <row r="201" customFormat="false" ht="15" hidden="false" customHeight="false" outlineLevel="0" collapsed="false">
      <c r="A201" s="3" t="s">
        <v>426</v>
      </c>
      <c r="B201" s="12" t="n">
        <v>-15627141</v>
      </c>
    </row>
    <row r="202" customFormat="false" ht="15" hidden="false" customHeight="false" outlineLevel="0" collapsed="false">
      <c r="A202" s="18" t="s">
        <v>427</v>
      </c>
      <c r="B202" s="14" t="n">
        <f aca="false">SUM(B199:B201)</f>
        <v>183703</v>
      </c>
    </row>
    <row r="203" customFormat="false" ht="15" hidden="false" customHeight="false" outlineLevel="0" collapsed="false">
      <c r="A203" s="18" t="s">
        <v>428</v>
      </c>
      <c r="B203" s="14" t="n">
        <v>183703</v>
      </c>
    </row>
    <row r="204" customFormat="false" ht="15" hidden="false" customHeight="false" outlineLevel="0" collapsed="false">
      <c r="A204" s="18" t="s">
        <v>429</v>
      </c>
      <c r="B204" s="14" t="n">
        <f aca="false">B202-B203</f>
        <v>0</v>
      </c>
    </row>
    <row r="206" customFormat="false" ht="15" hidden="false" customHeight="true" outlineLevel="0" collapsed="false">
      <c r="A206" s="10" t="s">
        <v>430</v>
      </c>
      <c r="B206" s="10"/>
      <c r="C206" s="10"/>
      <c r="D206" s="10"/>
      <c r="E206" s="10"/>
      <c r="F206" s="10"/>
      <c r="G206" s="10"/>
      <c r="H206" s="10"/>
    </row>
  </sheetData>
  <mergeCells count="7">
    <mergeCell ref="A1:I1"/>
    <mergeCell ref="A2:I2"/>
    <mergeCell ref="A4:I4"/>
    <mergeCell ref="A16:I16"/>
    <mergeCell ref="A99:I99"/>
    <mergeCell ref="A197:I197"/>
    <mergeCell ref="A206:H2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646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647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648</v>
      </c>
      <c r="C23" s="9" t="s">
        <v>649</v>
      </c>
      <c r="D23" s="9" t="s">
        <v>650</v>
      </c>
      <c r="E23" s="9" t="s">
        <v>651</v>
      </c>
      <c r="F23" s="9" t="s">
        <v>652</v>
      </c>
      <c r="G23" s="9" t="s">
        <v>653</v>
      </c>
    </row>
    <row r="24" customFormat="false" ht="15" hidden="false" customHeight="false" outlineLevel="0" collapsed="false">
      <c r="A24" s="3" t="s">
        <v>654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655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656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657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648</v>
      </c>
      <c r="C29" s="9" t="s">
        <v>649</v>
      </c>
      <c r="D29" s="9" t="s">
        <v>650</v>
      </c>
      <c r="E29" s="9" t="s">
        <v>651</v>
      </c>
      <c r="F29" s="9" t="s">
        <v>652</v>
      </c>
      <c r="G29" s="9" t="s">
        <v>653</v>
      </c>
    </row>
    <row r="30" customFormat="false" ht="15" hidden="false" customHeight="false" outlineLevel="0" collapsed="false">
      <c r="A30" s="3" t="s">
        <v>654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655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656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658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659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660</v>
      </c>
      <c r="C4" s="9" t="s">
        <v>661</v>
      </c>
      <c r="D4" s="9" t="s">
        <v>662</v>
      </c>
      <c r="E4" s="9" t="s">
        <v>663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664</v>
      </c>
      <c r="D5" s="37"/>
      <c r="E5" s="37"/>
      <c r="F5" s="3" t="s">
        <v>665</v>
      </c>
    </row>
    <row r="6" customFormat="false" ht="15" hidden="false" customHeight="false" outlineLevel="0" collapsed="false">
      <c r="A6" s="3" t="s">
        <v>666</v>
      </c>
      <c r="B6" s="12" t="n">
        <v>1275801</v>
      </c>
      <c r="C6" s="3" t="s">
        <v>667</v>
      </c>
      <c r="D6" s="34"/>
      <c r="E6" s="12" t="str">
        <f aca="false">IF(D6="","",B6-D6)</f>
        <v/>
      </c>
      <c r="F6" s="3" t="s">
        <v>668</v>
      </c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  <row r="31" customFormat="false" ht="15" hidden="false" customHeight="false" outlineLevel="0" collapsed="false">
      <c r="A31" s="38"/>
      <c r="B31" s="34"/>
      <c r="C31" s="38"/>
      <c r="D31" s="34"/>
      <c r="E31" s="12" t="str">
        <f aca="false">IF(OR(B31="",D31=""),"",B31-D31)</f>
        <v/>
      </c>
      <c r="F31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2026-08-01T22:29:41Z</dcterms:created>
  <dc:creator>openpyxl</dc:creator>
  <dc:description/>
  <dc:language>en-US</dc:language>
  <cp:lastModifiedBy/>
  <dcterms:modified xsi:type="dcterms:W3CDTF">2026-08-01T22:29:42Z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