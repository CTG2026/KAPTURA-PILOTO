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_Presupuesto" sheetId="1" state="visible" r:id="rId3"/>
    <sheet name="Sollem" sheetId="2" state="visible" r:id="rId4"/>
    <sheet name="TRAST" sheetId="3" state="visible" r:id="rId5"/>
    <sheet name="Consolidado" sheetId="4" state="visible" r:id="rId6"/>
    <sheet name="Conciliación_Junio" sheetId="5" state="visible" r:id="rId7"/>
    <sheet name="Conciliación_Julio" sheetId="6" state="visible" r:id="rId8"/>
    <sheet name="Real_vs_Presupuesto" sheetId="7" state="visible" r:id="rId9"/>
    <sheet name="Resumen_Ejecutivo" sheetId="8" state="visible" r:id="rId10"/>
    <sheet name="Bitácora_Saldo_Diari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<sst xmlns="http://schemas.openxmlformats.org/spreadsheetml/2006/main" count="1935" uniqueCount="622">
  <si>
    <t xml:space="preserve">SUPUESTOS DEL PRESUPUESTO — SOLLEM + TRAST</t>
  </si>
  <si>
    <t xml:space="preserve">GENERAL</t>
  </si>
  <si>
    <t xml:space="preserve">Tasa IVA</t>
  </si>
  <si>
    <t xml:space="preserve">SOLLEM</t>
  </si>
  <si>
    <t xml:space="preserve">Servicios por equipo al mes</t>
  </si>
  <si>
    <t xml:space="preserve">3 servicios/semana × ~4,3 semanas</t>
  </si>
  <si>
    <t xml:space="preserve">Días por servicio (base viático/sueldo)</t>
  </si>
  <si>
    <t xml:space="preserve">Supuesto original: 1 servicio cada 1,5 días</t>
  </si>
  <si>
    <t xml:space="preserve">Km base servicio 1 punto</t>
  </si>
  <si>
    <t xml:space="preserve">Real, estudio de 48 combos reales (control Pablo) 25-07-2026</t>
  </si>
  <si>
    <t xml:space="preserve">Km adicional por punto extra</t>
  </si>
  <si>
    <t xml:space="preserve">Real, mediana 40km/promedio 50km, 35 pares GPS limpios de outliers — estudio 25-07-2026</t>
  </si>
  <si>
    <t xml:space="preserve">Rendimiento (km/lt)</t>
  </si>
  <si>
    <t xml:space="preserve">Precio combustible ($/lt, IVA incluido)</t>
  </si>
  <si>
    <t xml:space="preserve">Peajes por servicio (flat, exento IVA)</t>
  </si>
  <si>
    <t xml:space="preserve">Confirmado por el usuario 25-07-2026 — no varía por día ni km (dato real exacto no disponible)</t>
  </si>
  <si>
    <t xml:space="preserve">Mantención ($/km, neto)</t>
  </si>
  <si>
    <t xml:space="preserve">250.000 ÷ 10.000km</t>
  </si>
  <si>
    <t xml:space="preserve">Sueldo conductor ($/día)</t>
  </si>
  <si>
    <t xml:space="preserve">Viático ($/día)</t>
  </si>
  <si>
    <t xml:space="preserve">Comisión conductor (%, sobre tarifa NETA)</t>
  </si>
  <si>
    <t xml:space="preserve">Factoring (%, sobre tarifa BRUTA)</t>
  </si>
  <si>
    <t xml:space="preserve">Confirmado por el usuario 25-07-2026 — reemplaza 3% s/neto (servicios_piloto) y 6,4% (LIQ-001), ambos descartados</t>
  </si>
  <si>
    <t xml:space="preserve">Equipos — Agosto</t>
  </si>
  <si>
    <t xml:space="preserve">Equipos — Septiembre</t>
  </si>
  <si>
    <t xml:space="preserve">Puntos de entrega por servicio (mínimo)</t>
  </si>
  <si>
    <t xml:space="preserve">Confirmado por el usuario 25-07-2026 — todo servicio SIEMPRE tiene al menos 1 punto adicional</t>
  </si>
  <si>
    <t xml:space="preserve">Pago por punto adicional desde el 2° (neto)</t>
  </si>
  <si>
    <t xml:space="preserve">Confirmado por el usuario 25-07-2026</t>
  </si>
  <si>
    <t xml:space="preserve">Costo Fijo Equipo Sollem ($/día)</t>
  </si>
  <si>
    <t xml:space="preserve">Real, evidencia costo_fijo_dia S-58/S-59/S-60 en servicios_piloto — reemplaza estimado de $36.000 prestado de TRAST</t>
  </si>
  <si>
    <t xml:space="preserve">Contingencia ($/día)</t>
  </si>
  <si>
    <t xml:space="preserve">Real, costo_contingencia en servicios_piloto — línea que faltaba en el modelo anterior</t>
  </si>
  <si>
    <t xml:space="preserve">TRAST (combo real de referencia: Padre Hurtado→Quilicura→Llay Llay→Talca→Talca)</t>
  </si>
  <si>
    <t xml:space="preserve">Ingreso por combo (neto)</t>
  </si>
  <si>
    <t xml:space="preserve">Simulador_Combos_TRAST_V8.xlsx, combo 001</t>
  </si>
  <si>
    <t xml:space="preserve">Combustible por combo (bruto, IVA incluido)</t>
  </si>
  <si>
    <t xml:space="preserve">Mantención por combo (neto)</t>
  </si>
  <si>
    <t xml:space="preserve">715km × $26,67/km</t>
  </si>
  <si>
    <t xml:space="preserve">Provisión reparaciones por combo</t>
  </si>
  <si>
    <t xml:space="preserve">$25.000/día × 2 días</t>
  </si>
  <si>
    <t xml:space="preserve">Peajes por combo (ida+vuelta, exento IVA)</t>
  </si>
  <si>
    <t xml:space="preserve">Local+Reposicionamiento+Sur+Retorno</t>
  </si>
  <si>
    <t xml:space="preserve">Sueldo conductor por combo</t>
  </si>
  <si>
    <t xml:space="preserve">$33.000/día × 2 días</t>
  </si>
  <si>
    <t xml:space="preserve">Viático por combo</t>
  </si>
  <si>
    <t xml:space="preserve">$12.000/día × 2 días</t>
  </si>
  <si>
    <t xml:space="preserve">Costo fijo equipo por combo</t>
  </si>
  <si>
    <t xml:space="preserve">$36.000/día × 2 días</t>
  </si>
  <si>
    <t xml:space="preserve">Comisión conductor por combo</t>
  </si>
  <si>
    <t xml:space="preserve">8% del ingreso del combo</t>
  </si>
  <si>
    <t xml:space="preserve">Factoring por combo (%, sobre ingreso bruto)</t>
  </si>
  <si>
    <t xml:space="preserve">1,5% del ingreso</t>
  </si>
  <si>
    <t xml:space="preserve">Días por combo</t>
  </si>
  <si>
    <t xml:space="preserve">Combos por mes (1 equipo)</t>
  </si>
  <si>
    <t xml:space="preserve">Aún no partimos con este servicio — usar este combo de referencia</t>
  </si>
  <si>
    <t xml:space="preserve">COMPARTIDOS / EMPRESA (no atribuibles a un cliente)</t>
  </si>
  <si>
    <t xml:space="preserve">Costo Cuenta Corriente Bancaria ($/mes, exento IVA)</t>
  </si>
  <si>
    <t xml:space="preserve">Costo fijo estructural ($/mes, neto)</t>
  </si>
  <si>
    <t xml:space="preserve">Coordinador+Mantenedor+Controller+Arriendo+Contabilidad+Gastos comunes+GPS</t>
  </si>
  <si>
    <t xml:space="preserve">IVA de julio a pagar (vence 12-ago)</t>
  </si>
  <si>
    <t xml:space="preserve">Real, mes anterior — dato manual de caja, con desfase de un mes</t>
  </si>
  <si>
    <t xml:space="preserve">IVA de agosto a pagar (vence 12-sep)</t>
  </si>
  <si>
    <t xml:space="preserve">Estimado — dato manual de caja, con desfase de un mes</t>
  </si>
  <si>
    <t xml:space="preserve">SOLLEM — INGRESO, COSTOS DIRECTOS Y MARGEN (Agosto vs. Septiembre)</t>
  </si>
  <si>
    <t xml:space="preserve">Concepto</t>
  </si>
  <si>
    <t xml:space="preserve">Agosto</t>
  </si>
  <si>
    <t xml:space="preserve">Septiembre</t>
  </si>
  <si>
    <t xml:space="preserve">MEMORIA DE CÁLCULO — COMBOS REALES (control Pablo, 79 combos de 127 servicios en Sexta Región ampliada, 25-07-2026)</t>
  </si>
  <si>
    <t xml:space="preserve">Muestra de 15 combos más frecuentes = 60 de 127 servicios reales (127 = servicios con destino 100% Sexta Región, de 167 totales). Tarifa Base = "Nueva Tarifa Final" (con baja) del destino de mayor valor de la ruta, tarifario Agosto. Puntos usados = máx(puntos reales, 2) — mínimo 2 puntos siempre. Km = Km base 1 punto + Km adicional × (Puntos usados − 1).</t>
  </si>
  <si>
    <t xml:space="preserve">Combo</t>
  </si>
  <si>
    <t xml:space="preserve">N obs.</t>
  </si>
  <si>
    <t xml:space="preserve">Ptos
reales</t>
  </si>
  <si>
    <t xml:space="preserve">Ptos
usados</t>
  </si>
  <si>
    <t xml:space="preserve">Tarifa
Base</t>
  </si>
  <si>
    <t xml:space="preserve">Tarifa
Neta</t>
  </si>
  <si>
    <t xml:space="preserve">Km</t>
  </si>
  <si>
    <t xml:space="preserve">Combustible</t>
  </si>
  <si>
    <t xml:space="preserve">Mantención</t>
  </si>
  <si>
    <t xml:space="preserve">Peajes</t>
  </si>
  <si>
    <t xml:space="preserve">Sueldo</t>
  </si>
  <si>
    <t xml:space="preserve">Viático</t>
  </si>
  <si>
    <t xml:space="preserve">C.Fijo</t>
  </si>
  <si>
    <t xml:space="preserve">Continge.</t>
  </si>
  <si>
    <t xml:space="preserve">Comisión</t>
  </si>
  <si>
    <t xml:space="preserve">Factoring</t>
  </si>
  <si>
    <t xml:space="preserve">Utilidad</t>
  </si>
  <si>
    <t xml:space="preserve">San Fernando (solo)</t>
  </si>
  <si>
    <t xml:space="preserve">Pichidegua (solo)</t>
  </si>
  <si>
    <t xml:space="preserve">Santa Cruz (solo)</t>
  </si>
  <si>
    <t xml:space="preserve">San Vicente (solo)</t>
  </si>
  <si>
    <t xml:space="preserve">Rengo (solo)</t>
  </si>
  <si>
    <t xml:space="preserve">Peralillo + Santa Cruz</t>
  </si>
  <si>
    <t xml:space="preserve">San Fernando + Santa Cruz</t>
  </si>
  <si>
    <t xml:space="preserve">San Fernando + San Vicente + Santa Cruz</t>
  </si>
  <si>
    <t xml:space="preserve">Peumo + Pichidegua</t>
  </si>
  <si>
    <t xml:space="preserve">Peralillo (solo)</t>
  </si>
  <si>
    <t xml:space="preserve">Graneros (solo)</t>
  </si>
  <si>
    <t xml:space="preserve">Malloa + Rancagua</t>
  </si>
  <si>
    <t xml:space="preserve">Peumo + Pichidegua + San Vicente</t>
  </si>
  <si>
    <t xml:space="preserve">Requínoa (solo)</t>
  </si>
  <si>
    <t xml:space="preserve">Marchigüe (solo)</t>
  </si>
  <si>
    <t xml:space="preserve">PROMEDIO PONDERADO POR FRECUENCIA</t>
  </si>
  <si>
    <t xml:space="preserve">Ingreso Neto (ventas, tarifa+puntos promedio ponderado real)</t>
  </si>
  <si>
    <t xml:space="preserve">IVA Débito Fiscal (19%, informativo)</t>
  </si>
  <si>
    <t xml:space="preserve">Ingreso Bruto (facturado)</t>
  </si>
  <si>
    <t xml:space="preserve">COSTOS OPERACIONALES DIRECTOS (netos, sin IVA salvo que se indique)</t>
  </si>
  <si>
    <t xml:space="preserve">Combustible (neto — precio de bomba÷1,19)</t>
  </si>
  <si>
    <t xml:space="preserve">Peajes (flat/servicio, exento IVA)</t>
  </si>
  <si>
    <t xml:space="preserve">Mantención (neto)</t>
  </si>
  <si>
    <t xml:space="preserve">Sueldo Conductor</t>
  </si>
  <si>
    <t xml:space="preserve">Comisión Conductor</t>
  </si>
  <si>
    <t xml:space="preserve">Contingencia</t>
  </si>
  <si>
    <t xml:space="preserve">Costo Fijo Equipo (real, evidencia Kaptura)</t>
  </si>
  <si>
    <t xml:space="preserve">Total Costos Operacionales Directos</t>
  </si>
  <si>
    <t xml:space="preserve">Combustible pagado (bruto, cash)</t>
  </si>
  <si>
    <t xml:space="preserve">MARGEN DIRECTO (Ingreso Neto − Costos Directos)</t>
  </si>
  <si>
    <t xml:space="preserve">Factoring (3% sobre tarifa BRUTA)</t>
  </si>
  <si>
    <t xml:space="preserve">MARGEN DIRECTO NETO DE FACTORING</t>
  </si>
  <si>
    <t xml:space="preserve">COSTEO POR KM (metodología de mercado: Costo Fijo + Costo Variable)</t>
  </si>
  <si>
    <t xml:space="preserve">Km Totales del Mes</t>
  </si>
  <si>
    <t xml:space="preserve">Costo Fijo por Km  (Costo Fijo Equipo ÷ Km)</t>
  </si>
  <si>
    <t xml:space="preserve">Costo Variable por Km  (Combustible+Mantención+Peajes ÷ Km)</t>
  </si>
  <si>
    <t xml:space="preserve">Costo por Km de Conductor  (Sueldo+Viático+Comisión ÷ Km)</t>
  </si>
  <si>
    <t xml:space="preserve">Provisión Fondo Reserva/Reparaciones por Km</t>
  </si>
  <si>
    <t xml:space="preserve">COSTO TOTAL POR KM</t>
  </si>
  <si>
    <t xml:space="preserve">Tarifa por Km efectiva  (Ingreso Neto ÷ Km)</t>
  </si>
  <si>
    <t xml:space="preserve">Margen por Km  (Tarifa/Km − Costo Total/Km)</t>
  </si>
  <si>
    <t xml:space="preserve">MEMORIA DE CÁLCULO</t>
  </si>
  <si>
    <t xml:space="preserve">Ingreso Neto = lo que realmente factura el cliente (sin IVA). Ingreso Bruto = lo que efectivamente se deposita en el banco (Neto × 1,19). El margen se calcula SIEMPRE sobre Neto — el IVA no es ingreso ni costo real, es un impuesto de paso.</t>
  </si>
  <si>
    <t xml:space="preserve">Combustible: el precio de $1.200/lt YA incluye IVA (precio de bomba). Para el margen (neto) se divide por 1,19; para caja se paga el bruto completo (fila de referencia 'Combustible pagado').</t>
  </si>
  <si>
    <t xml:space="preserve">Peajes y Provisión de Fondo de Reserva/Reparaciones no llevan IVA (no son compras facturadas por terceros).</t>
  </si>
  <si>
    <t xml:space="preserve">Factoring se calcula sobre el Ingreso Bruto realmente descontado por la entidad de factoring (dato real observado en Kaptura), y se resta DESPUÉS del margen directo porque es un costo financiero, no operacional.</t>
  </si>
  <si>
    <t xml:space="preserve">Todas las celdas de esta hoja son fórmulas ligadas a 'Supuestos_Presupuesto' — cambiar un supuesto ahí recalcula todo.</t>
  </si>
  <si>
    <t xml:space="preserve">TRAST — INGRESO, COSTOS DIRECTOS Y MARGEN (Agosto vs. Septiembre)</t>
  </si>
  <si>
    <t xml:space="preserve">Ingreso Neto (ventas)</t>
  </si>
  <si>
    <t xml:space="preserve">Peajes (exento IVA)</t>
  </si>
  <si>
    <t xml:space="preserve">Provisión Reparaciones</t>
  </si>
  <si>
    <t xml:space="preserve">Costo Fijo Equipo</t>
  </si>
  <si>
    <t xml:space="preserve">CONSOLIDADO — SOLLEM + TRAST (Estado de Resultados y Flujo de Caja)</t>
  </si>
  <si>
    <t xml:space="preserve">ESTADO DE RESULTADOS (base neta, sin IVA)</t>
  </si>
  <si>
    <t xml:space="preserve">Total Costos Operacionales Directos (Sollem+TRAST)</t>
  </si>
  <si>
    <t xml:space="preserve">MARGEN DIRECTO</t>
  </si>
  <si>
    <t xml:space="preserve">Factoring (Sollem+TRAST)</t>
  </si>
  <si>
    <t xml:space="preserve">Margen Directo neto de Factoring</t>
  </si>
  <si>
    <t xml:space="preserve">COSTOS DE ESTRUCTURA (no atribuibles a un cliente)</t>
  </si>
  <si>
    <t xml:space="preserve">Costo fijo estructural</t>
  </si>
  <si>
    <t xml:space="preserve">Costo Cuenta Corriente Bancaria</t>
  </si>
  <si>
    <t xml:space="preserve">UTILIDAD ANTES DE IMPUESTOS</t>
  </si>
  <si>
    <t xml:space="preserve">% Utilidad / Ingreso Bruto</t>
  </si>
  <si>
    <t xml:space="preserve">TOTAL EGRESOS DE CAJA DEL MES (base bruta/cash — para el flujo semanal)</t>
  </si>
  <si>
    <t xml:space="preserve">Total Egresos de Caja del Mes</t>
  </si>
  <si>
    <t xml:space="preserve">FLUJO DE CAJA PROYECTADO — AGOSTO (por semana, calendario real)</t>
  </si>
  <si>
    <t xml:space="preserve">Semana</t>
  </si>
  <si>
    <t xml:space="preserve">Ingreso</t>
  </si>
  <si>
    <t xml:space="preserve">Egreso</t>
  </si>
  <si>
    <t xml:space="preserve">Saldo Semana</t>
  </si>
  <si>
    <t xml:space="preserve">Acumulado</t>
  </si>
  <si>
    <t xml:space="preserve">S0 (01-02 ago)</t>
  </si>
  <si>
    <t xml:space="preserve">S1 (03-09 ago)</t>
  </si>
  <si>
    <t xml:space="preserve">S2 (10-16 ago)</t>
  </si>
  <si>
    <t xml:space="preserve">S3 (17-23 ago)</t>
  </si>
  <si>
    <t xml:space="preserve">S4 (24-30 ago)</t>
  </si>
  <si>
    <t xml:space="preserve">S5 (31 ago)</t>
  </si>
  <si>
    <t xml:space="preserve">TOTAL</t>
  </si>
  <si>
    <t xml:space="preserve">FLUJO DE CAJA PROYECTADO — SEPTIEMBRE (por semana, calendario real)</t>
  </si>
  <si>
    <t xml:space="preserve">S0 (01-06 sep)</t>
  </si>
  <si>
    <t xml:space="preserve">S1 (07-13 sep)</t>
  </si>
  <si>
    <t xml:space="preserve">S2 (14-20 sep)</t>
  </si>
  <si>
    <t xml:space="preserve">S3 (21-27 sep)</t>
  </si>
  <si>
    <t xml:space="preserve">S4 (28-30 sep)</t>
  </si>
  <si>
    <t xml:space="preserve">MEMORIA DE CÁLCULO Y SUPUESTOS</t>
  </si>
  <si>
    <t xml:space="preserve">El Estado de Resultados usa SIEMPRE valores netos (sin IVA) — es la utilidad real del negocio. El Flujo de Caja usa valores brutos (con IVA) — es lo que efectivamente entra y sale del banco. No son el mismo número y no deberían confundirse: el Ingreso Bruto incluye ~19% de IVA que no es ganancia, es plata que hay que devolverle al Fisco (por eso existe la línea IVA a pagar, con un mes de desfase).</t>
  </si>
  <si>
    <t xml:space="preserve">Costos de Estructura (Costo fijo estructural, Costo Cuenta Corriente) no se dividen entre Sollem y TRAST porque no dependen de qué cliente se atienda — son costos de la empresa completa.</t>
  </si>
  <si>
    <t xml:space="preserve">El Flujo de Caja Semanal reparte el Ingreso Bruto y el Egreso de Caja del mes usando los mismos porcentajes semanales que tenía el archivo original (reflejan el calendario real de pagos: IVA, liquidaciones, anticipos) — si cambia el calendario real de pagos, estos porcentajes hay que revisarlos a mano.</t>
  </si>
  <si>
    <t xml:space="preserve">IVA a pagar en el Flujo de Caja es el del MES ANTERIOR (desfase real de un mes) — dato manual en Supuestos_Presupuesto, no depende de los supuestos del mes actual.</t>
  </si>
  <si>
    <t xml:space="preserve">Detalle línea por línea de cada cliente (Sollem, TRAST) está en sus propias hojas — esta hoja solo consolida.</t>
  </si>
  <si>
    <t xml:space="preserve">CONCILIACIÓN BANCARIA — JUNIO 2026 (Global Solutions SPA, cuenta 0-000-3776731-0)</t>
  </si>
  <si>
    <t xml:space="preserve">Fuente: Cartola histórica N°2 (29/05 al 30/06/2026) + RCV Compra/Venta SII período 202606.</t>
  </si>
  <si>
    <t xml:space="preserve">A) VENTAS (RCV) vs ABONOS EN CARTOLA</t>
  </si>
  <si>
    <t xml:space="preserve">Cliente</t>
  </si>
  <si>
    <t xml:space="preserve">Folio</t>
  </si>
  <si>
    <t xml:space="preserve">Fecha Factura</t>
  </si>
  <si>
    <t xml:space="preserve">Monto Neto</t>
  </si>
  <si>
    <t xml:space="preserve">IVA</t>
  </si>
  <si>
    <t xml:space="preserve">Monto Total</t>
  </si>
  <si>
    <t xml:space="preserve">Estado</t>
  </si>
  <si>
    <t xml:space="preserve">Observación</t>
  </si>
  <si>
    <t xml:space="preserve">SOLLEM SPA</t>
  </si>
  <si>
    <t xml:space="preserve">1</t>
  </si>
  <si>
    <t xml:space="preserve">02-06-2026</t>
  </si>
  <si>
    <t xml:space="preserve">Factorizada</t>
  </si>
  <si>
    <t xml:space="preserve">Factoring confirmado (Sollem se factoriza 100% — validado con Kaptura/Supabase).</t>
  </si>
  <si>
    <t xml:space="preserve">TECNOLOGIA Y SERVICIOS LOSKO LIMITADA</t>
  </si>
  <si>
    <t xml:space="preserve">2</t>
  </si>
  <si>
    <t xml:space="preserve">06-06-2026</t>
  </si>
  <si>
    <t xml:space="preserve">Sin identificar</t>
  </si>
  <si>
    <t xml:space="preserve">No hay abono directo por este monto en la cartola — posible factoring u otro medio, o pago aún pendiente.</t>
  </si>
  <si>
    <t xml:space="preserve">3</t>
  </si>
  <si>
    <t xml:space="preserve">09-06-2026</t>
  </si>
  <si>
    <t xml:space="preserve">SERVICIOS LOGISTICOS INTEGRALES SPA</t>
  </si>
  <si>
    <t xml:space="preserve">4</t>
  </si>
  <si>
    <t xml:space="preserve">AGRICOLA Y PACKING CACHAPOAL S A</t>
  </si>
  <si>
    <t xml:space="preserve">5</t>
  </si>
  <si>
    <t xml:space="preserve">15-06-2026</t>
  </si>
  <si>
    <t xml:space="preserve">AGRICOLA GEORUCA SPA</t>
  </si>
  <si>
    <t xml:space="preserve">7</t>
  </si>
  <si>
    <t xml:space="preserve">8</t>
  </si>
  <si>
    <t xml:space="preserve">INVERSIONES Y ASESORIAS CITRUS LIMITADA</t>
  </si>
  <si>
    <t xml:space="preserve">9</t>
  </si>
  <si>
    <t xml:space="preserve">ANDONI LUCIANO SANDOVAL PAVEZ</t>
  </si>
  <si>
    <t xml:space="preserve">11</t>
  </si>
  <si>
    <t xml:space="preserve">22-06-2026</t>
  </si>
  <si>
    <t xml:space="preserve">AGRICOLA Y COMERCIAL EL ENANO SPA</t>
  </si>
  <si>
    <t xml:space="preserve">12</t>
  </si>
  <si>
    <t xml:space="preserve">13</t>
  </si>
  <si>
    <t xml:space="preserve">24-06-2026</t>
  </si>
  <si>
    <t xml:space="preserve">SOCIEDAD DE TRANSPORTE  SANTA BERENICE SPA</t>
  </si>
  <si>
    <t xml:space="preserve">15</t>
  </si>
  <si>
    <t xml:space="preserve">26-06-2026</t>
  </si>
  <si>
    <t xml:space="preserve">18</t>
  </si>
  <si>
    <t xml:space="preserve">30-06-2026</t>
  </si>
  <si>
    <t xml:space="preserve">TOTAL VENTAS RCV</t>
  </si>
  <si>
    <t xml:space="preserve">Identificado: 0 de 14 ($0 de $16,410,814)</t>
  </si>
  <si>
    <t xml:space="preserve">B) COMPRAS (RCV) vs CARGOS EN CARTOLA</t>
  </si>
  <si>
    <t xml:space="preserve">Proveedor (RUT)</t>
  </si>
  <si>
    <t xml:space="preserve">79588870-5</t>
  </si>
  <si>
    <t xml:space="preserve">2733997</t>
  </si>
  <si>
    <t xml:space="preserve">01-06-2026</t>
  </si>
  <si>
    <t xml:space="preserve">Pagada</t>
  </si>
  <si>
    <t xml:space="preserve">Cargo cartola 01-06-2026 — PAGO EN LINEA ESMAX</t>
  </si>
  <si>
    <t xml:space="preserve">77400268-5</t>
  </si>
  <si>
    <t xml:space="preserve">2446</t>
  </si>
  <si>
    <t xml:space="preserve">29-05-2026</t>
  </si>
  <si>
    <t xml:space="preserve">No hay cargo por este monto exacto en la cartola — revisar si se pagó en otra fecha/cuenta o si sigue pendiente.</t>
  </si>
  <si>
    <t xml:space="preserve">77398220-1</t>
  </si>
  <si>
    <t xml:space="preserve">13690952</t>
  </si>
  <si>
    <t xml:space="preserve">96907830-9</t>
  </si>
  <si>
    <t xml:space="preserve">1844288</t>
  </si>
  <si>
    <t xml:space="preserve">76197149-2</t>
  </si>
  <si>
    <t xml:space="preserve">731182</t>
  </si>
  <si>
    <t xml:space="preserve">Cargo cartola 02-06-2026 — 0142013436 Transf a Felipe Madaria</t>
  </si>
  <si>
    <t xml:space="preserve">96511460-2</t>
  </si>
  <si>
    <t xml:space="preserve">22769192</t>
  </si>
  <si>
    <t xml:space="preserve">03-06-2026</t>
  </si>
  <si>
    <t xml:space="preserve">2480</t>
  </si>
  <si>
    <t xml:space="preserve">2491</t>
  </si>
  <si>
    <t xml:space="preserve">04-06-2026</t>
  </si>
  <si>
    <t xml:space="preserve">2494</t>
  </si>
  <si>
    <t xml:space="preserve">05-06-2026</t>
  </si>
  <si>
    <t xml:space="preserve">9094801-6</t>
  </si>
  <si>
    <t xml:space="preserve">10619</t>
  </si>
  <si>
    <t xml:space="preserve">2511</t>
  </si>
  <si>
    <t xml:space="preserve">08-06-2026</t>
  </si>
  <si>
    <t xml:space="preserve">2510</t>
  </si>
  <si>
    <t xml:space="preserve">99520000-7</t>
  </si>
  <si>
    <t xml:space="preserve">32008006</t>
  </si>
  <si>
    <t xml:space="preserve">Cargo cartola 12-06-2026 — 0142013436 Transf a Felipe Madaria</t>
  </si>
  <si>
    <t xml:space="preserve">2738246</t>
  </si>
  <si>
    <t xml:space="preserve">Cargo cartola 08-06-2026 — PAGO EN LINEA ESMAX</t>
  </si>
  <si>
    <t xml:space="preserve">2516</t>
  </si>
  <si>
    <t xml:space="preserve">77268975-6</t>
  </si>
  <si>
    <t xml:space="preserve">357</t>
  </si>
  <si>
    <t xml:space="preserve">Cargo cartola 09-06-2026 — Compra Nacional MD SOCIEDAD DE SER</t>
  </si>
  <si>
    <t xml:space="preserve">77460910-5</t>
  </si>
  <si>
    <t xml:space="preserve">550309</t>
  </si>
  <si>
    <t xml:space="preserve">78924030-2</t>
  </si>
  <si>
    <t xml:space="preserve">6652259</t>
  </si>
  <si>
    <t xml:space="preserve">Cargo cartola 11-06-2026 — Compra Nacional MD IMPLEMENTOS S.A</t>
  </si>
  <si>
    <t xml:space="preserve">77658344-8</t>
  </si>
  <si>
    <t xml:space="preserve">81</t>
  </si>
  <si>
    <t xml:space="preserve">10-06-2026</t>
  </si>
  <si>
    <t xml:space="preserve">550379</t>
  </si>
  <si>
    <t xml:space="preserve">2545</t>
  </si>
  <si>
    <t xml:space="preserve">11-06-2026</t>
  </si>
  <si>
    <t xml:space="preserve">2546</t>
  </si>
  <si>
    <t xml:space="preserve">6652465</t>
  </si>
  <si>
    <t xml:space="preserve">2739034</t>
  </si>
  <si>
    <t xml:space="preserve">Cargo cartola 12-06-2026 — PAGO EN LINEA ESMAX</t>
  </si>
  <si>
    <t xml:space="preserve">76111900-1</t>
  </si>
  <si>
    <t xml:space="preserve">620219</t>
  </si>
  <si>
    <t xml:space="preserve">12-06-2026</t>
  </si>
  <si>
    <t xml:space="preserve">2550</t>
  </si>
  <si>
    <t xml:space="preserve">2554</t>
  </si>
  <si>
    <t xml:space="preserve">Cargo cartola 12-06-2026 — Compra Nacional MD RedGloba*PCY LT</t>
  </si>
  <si>
    <t xml:space="preserve">76186213-8</t>
  </si>
  <si>
    <t xml:space="preserve">400454</t>
  </si>
  <si>
    <t xml:space="preserve">13-06-2026</t>
  </si>
  <si>
    <t xml:space="preserve">Cargo cartola 15-06-2026 — 0153706123 Transf a Francisco Manc</t>
  </si>
  <si>
    <t xml:space="preserve">86617300-1</t>
  </si>
  <si>
    <t xml:space="preserve">1075571</t>
  </si>
  <si>
    <t xml:space="preserve">Cargo cartola 15-06-2026 — Compra Nacional MD RACO SANTIAGO</t>
  </si>
  <si>
    <t xml:space="preserve">7253395-K</t>
  </si>
  <si>
    <t xml:space="preserve">829874</t>
  </si>
  <si>
    <t xml:space="preserve">Cargo cartola 15-06-2026 — Compra Nacional MD COMERCIAL ECUAD</t>
  </si>
  <si>
    <t xml:space="preserve">9593813-2</t>
  </si>
  <si>
    <t xml:space="preserve">13675</t>
  </si>
  <si>
    <t xml:space="preserve">Cargo cartola 12-06-2026 — 0153706123 Transf a Francisco Manc</t>
  </si>
  <si>
    <t xml:space="preserve">77698239-3</t>
  </si>
  <si>
    <t xml:space="preserve">265</t>
  </si>
  <si>
    <t xml:space="preserve">Cargo cartola 10-06-2026 — 0175018409 Transf a Felipe Vidal</t>
  </si>
  <si>
    <t xml:space="preserve">19724422-4</t>
  </si>
  <si>
    <t xml:space="preserve">3265</t>
  </si>
  <si>
    <t xml:space="preserve">76610718-4</t>
  </si>
  <si>
    <t xml:space="preserve">86656</t>
  </si>
  <si>
    <t xml:space="preserve">16-06-2026</t>
  </si>
  <si>
    <t xml:space="preserve">2573</t>
  </si>
  <si>
    <t xml:space="preserve">2574</t>
  </si>
  <si>
    <t xml:space="preserve">79703410-K</t>
  </si>
  <si>
    <t xml:space="preserve">298107</t>
  </si>
  <si>
    <t xml:space="preserve">Cargo cartola 17-06-2026 — Compra Nacional MD COMERCIAL RIHE</t>
  </si>
  <si>
    <t xml:space="preserve">298108</t>
  </si>
  <si>
    <t xml:space="preserve">8662116-9</t>
  </si>
  <si>
    <t xml:space="preserve">33404</t>
  </si>
  <si>
    <t xml:space="preserve">Cargo cartola 17-06-2026 — Compra Nacional MD GIL FRENOS DE A</t>
  </si>
  <si>
    <t xml:space="preserve">92475000-6</t>
  </si>
  <si>
    <t xml:space="preserve">7059897</t>
  </si>
  <si>
    <t xml:space="preserve">17-06-2026</t>
  </si>
  <si>
    <t xml:space="preserve">84634200-1</t>
  </si>
  <si>
    <t xml:space="preserve">1059063</t>
  </si>
  <si>
    <t xml:space="preserve">2585</t>
  </si>
  <si>
    <t xml:space="preserve">2589</t>
  </si>
  <si>
    <t xml:space="preserve">2597</t>
  </si>
  <si>
    <t xml:space="preserve">18-06-2026</t>
  </si>
  <si>
    <t xml:space="preserve">22822096</t>
  </si>
  <si>
    <t xml:space="preserve">19-06-2026</t>
  </si>
  <si>
    <t xml:space="preserve">76004297-8</t>
  </si>
  <si>
    <t xml:space="preserve">92752</t>
  </si>
  <si>
    <t xml:space="preserve">20-06-2026</t>
  </si>
  <si>
    <t xml:space="preserve">Cargo cartola 22-06-2026 — Compra Nacional MD SOCIEDAD COMERC</t>
  </si>
  <si>
    <t xml:space="preserve">2743406</t>
  </si>
  <si>
    <t xml:space="preserve">Cargo cartola 23-06-2026 — PAGO EN LINEA ESMAX</t>
  </si>
  <si>
    <t xml:space="preserve">2609</t>
  </si>
  <si>
    <t xml:space="preserve">2608</t>
  </si>
  <si>
    <t xml:space="preserve">2611</t>
  </si>
  <si>
    <t xml:space="preserve">77890722-4</t>
  </si>
  <si>
    <t xml:space="preserve">35093</t>
  </si>
  <si>
    <t xml:space="preserve">23-06-2026</t>
  </si>
  <si>
    <t xml:space="preserve">Cargo cartola 23-06-2026 — 0142013436 Transf a Felipe Madaria</t>
  </si>
  <si>
    <t xml:space="preserve">2622</t>
  </si>
  <si>
    <t xml:space="preserve">273</t>
  </si>
  <si>
    <t xml:space="preserve">Cargo cartola 24-06-2026 — 0153706123 Transf a Francisco Manc</t>
  </si>
  <si>
    <t xml:space="preserve">78854730-7</t>
  </si>
  <si>
    <t xml:space="preserve">6242</t>
  </si>
  <si>
    <t xml:space="preserve">Cargo cartola 23-06-2026 — 0153706123 Transf a Francisco Manc</t>
  </si>
  <si>
    <t xml:space="preserve">2743991</t>
  </si>
  <si>
    <t xml:space="preserve">Cargo cartola 25-06-2026 — PAGO EN LINEA ESMAX</t>
  </si>
  <si>
    <t xml:space="preserve">2628</t>
  </si>
  <si>
    <t xml:space="preserve">81756300-7</t>
  </si>
  <si>
    <t xml:space="preserve">4781943</t>
  </si>
  <si>
    <t xml:space="preserve">25-06-2026</t>
  </si>
  <si>
    <t xml:space="preserve">35276</t>
  </si>
  <si>
    <t xml:space="preserve">Cargo cartola 08-06-2026 — 0145516471 Transf a Mario Vargas p</t>
  </si>
  <si>
    <t xml:space="preserve">8614218-K</t>
  </si>
  <si>
    <t xml:space="preserve">9001</t>
  </si>
  <si>
    <t xml:space="preserve">2645</t>
  </si>
  <si>
    <t xml:space="preserve">2647</t>
  </si>
  <si>
    <t xml:space="preserve">32085885</t>
  </si>
  <si>
    <t xml:space="preserve">830941</t>
  </si>
  <si>
    <t xml:space="preserve">27-06-2026</t>
  </si>
  <si>
    <t xml:space="preserve">299301</t>
  </si>
  <si>
    <t xml:space="preserve">78050538-9</t>
  </si>
  <si>
    <t xml:space="preserve">293</t>
  </si>
  <si>
    <t xml:space="preserve">6690195</t>
  </si>
  <si>
    <t xml:space="preserve">Cargo cartola 30-06-2026 — Compra Nacional MD IMPLEMENTOS S.A</t>
  </si>
  <si>
    <t xml:space="preserve">32092444</t>
  </si>
  <si>
    <t xml:space="preserve">29-06-2026</t>
  </si>
  <si>
    <t xml:space="preserve">Cargo cartola 30-06-2026 — 0153706123 Transf a Francisco Manc</t>
  </si>
  <si>
    <t xml:space="preserve">77190692-3</t>
  </si>
  <si>
    <t xml:space="preserve">6024095</t>
  </si>
  <si>
    <t xml:space="preserve">328</t>
  </si>
  <si>
    <t xml:space="preserve">13973319</t>
  </si>
  <si>
    <t xml:space="preserve">TOTAL COMPRAS RCV</t>
  </si>
  <si>
    <t xml:space="preserve">Identificado: 25 de 70 ($8,568,601)</t>
  </si>
  <si>
    <t xml:space="preserve">C) MOVIMIENTOS DE CARTOLA SIN FACTURA RCV ASOCIADA (clasificados)</t>
  </si>
  <si>
    <t xml:space="preserve">Fecha</t>
  </si>
  <si>
    <t xml:space="preserve">Descripción</t>
  </si>
  <si>
    <t xml:space="preserve">Monto</t>
  </si>
  <si>
    <t xml:space="preserve">Cargo/Abono</t>
  </si>
  <si>
    <t xml:space="preserve">Clasificación</t>
  </si>
  <si>
    <t xml:space="preserve">0783031345 Transf. GLOBAL SOLUTION</t>
  </si>
  <si>
    <t xml:space="preserve">A</t>
  </si>
  <si>
    <t xml:space="preserve">Transferencia interna Global Solutions</t>
  </si>
  <si>
    <t xml:space="preserve">Abono Ventas GETNET 29/05/26 CIERR</t>
  </si>
  <si>
    <t xml:space="preserve">Venta POS/Tarjeta (no es factura RCV)</t>
  </si>
  <si>
    <t xml:space="preserve">0175018409 Transf a Felipe Vidal</t>
  </si>
  <si>
    <t xml:space="preserve">C</t>
  </si>
  <si>
    <t xml:space="preserve">Transferencia conductor/personal</t>
  </si>
  <si>
    <t xml:space="preserve">0153706123 Transf a Francisco Manc</t>
  </si>
  <si>
    <t xml:space="preserve">0159957802 Transf a RIQUELME OLEA</t>
  </si>
  <si>
    <t xml:space="preserve">0966265701 Transf. INCOFIN S A</t>
  </si>
  <si>
    <t xml:space="preserve">Factoring confirmado (Sollem se factoriza 100%)</t>
  </si>
  <si>
    <t xml:space="preserve">0142013436 Transf a Felipe Madaria</t>
  </si>
  <si>
    <t xml:space="preserve">0125155197 Transf a Manuel Madrid</t>
  </si>
  <si>
    <t xml:space="preserve">Compra Nacional MD TUU*comercialEs</t>
  </si>
  <si>
    <t xml:space="preserve">Compra con tarjeta (gasto operativo menor)</t>
  </si>
  <si>
    <t xml:space="preserve">019592435K Transf a GONZALEZ BALCA</t>
  </si>
  <si>
    <t xml:space="preserve">Abono Ventas GETNET 05/06/26 CIERR</t>
  </si>
  <si>
    <t xml:space="preserve">Compra Nacional MD MERCADOPAGO *RA</t>
  </si>
  <si>
    <t xml:space="preserve">Cobro Servicio GETNET</t>
  </si>
  <si>
    <t xml:space="preserve">Abono Ventas GETNET 11/06/26 CIERR</t>
  </si>
  <si>
    <t xml:space="preserve">0038458213 Transf a Marta Zúñiga</t>
  </si>
  <si>
    <t xml:space="preserve">Compra Nacional MD MERCADOPAGO *CA</t>
  </si>
  <si>
    <t xml:space="preserve">Compra Nacional MD RedGloba*COMERC</t>
  </si>
  <si>
    <t xml:space="preserve">Compra Nacional MD TUU*COMERCIAL E</t>
  </si>
  <si>
    <t xml:space="preserve">0168844255 Transf a Sebastián Zúñi</t>
  </si>
  <si>
    <t xml:space="preserve">0142954591 Transf a Marcelo Lira</t>
  </si>
  <si>
    <t xml:space="preserve">0776497649 Transf.</t>
  </si>
  <si>
    <t xml:space="preserve">Otro / revisar manualmente</t>
  </si>
  <si>
    <t xml:space="preserve">0159957802 Transf de PABLO SEBASTI</t>
  </si>
  <si>
    <t xml:space="preserve">0038458213 Transf. ZUNIGA ZUNIGA M</t>
  </si>
  <si>
    <t xml:space="preserve">0080234333 Transf a Héctor Silva A</t>
  </si>
  <si>
    <t xml:space="preserve">Compra Nacional MD MERCADOPAGO *PR</t>
  </si>
  <si>
    <t xml:space="preserve">Compra Nacional MD ARAMCO</t>
  </si>
  <si>
    <t xml:space="preserve">Compra Nacional MD PATITA S</t>
  </si>
  <si>
    <t xml:space="preserve">Compra Nacional MD MERCADOPAGO *LO</t>
  </si>
  <si>
    <t xml:space="preserve">Compra Nacional MD GOGO</t>
  </si>
  <si>
    <t xml:space="preserve">0186584856 Transf. Andoni Luciano</t>
  </si>
  <si>
    <t xml:space="preserve">0783031345 Transf a Global Solutio</t>
  </si>
  <si>
    <t xml:space="preserve">0772906366 Transf. SERVICIOS EL EN</t>
  </si>
  <si>
    <t xml:space="preserve">D) CUADRE DE SALDO (control matemático de la cartola)</t>
  </si>
  <si>
    <t xml:space="preserve">VENTAS SII</t>
  </si>
  <si>
    <t xml:space="preserve">DIFERENCIA</t>
  </si>
  <si>
    <t xml:space="preserve">Saldo Inicial</t>
  </si>
  <si>
    <t xml:space="preserve">+ Abonos</t>
  </si>
  <si>
    <t xml:space="preserve">- Cargos</t>
  </si>
  <si>
    <t xml:space="preserve">SALDO FINAL (calculado)</t>
  </si>
  <si>
    <t xml:space="preserve">SALDO FINAL (según cartola banco)</t>
  </si>
  <si>
    <t xml:space="preserve">Diferencia (debe ser $0)</t>
  </si>
  <si>
    <t xml:space="preserve">Nota: comparación agregada entre Abonos reales de la cartola y total facturado en Ventas RCV del mismo mes.</t>
  </si>
  <si>
    <t xml:space="preserve">CONCILIACIÓN BANCARIA — JULIO 2026 (Global Solutions SPA, cartola completa al 29-07-2026)</t>
  </si>
  <si>
    <t xml:space="preserve">Fuente: Cartola de movimientos completa (01/07 al 29/07/2026, 131 movimientos) + RCV Compra/Venta SII período 202607. Mes en curso (faltan 2 días hábiles), repetir con la cartola de cierre de mes.</t>
  </si>
  <si>
    <t xml:space="preserve">LOGÍSTICA Y TRANSPORTES ALFA JAM SPA</t>
  </si>
  <si>
    <t xml:space="preserve">19</t>
  </si>
  <si>
    <t xml:space="preserve">01-07-2026</t>
  </si>
  <si>
    <t xml:space="preserve">Abono cartola 09-07-2026 — 0780993812 Transf. LOGISTICA Y TRANSPORTES A </t>
  </si>
  <si>
    <t xml:space="preserve">20</t>
  </si>
  <si>
    <t xml:space="preserve">15-07-2026</t>
  </si>
  <si>
    <t xml:space="preserve">22</t>
  </si>
  <si>
    <t xml:space="preserve">21-07-2026</t>
  </si>
  <si>
    <t xml:space="preserve">DANILO ENRIQUE NUNEZ OSORIO</t>
  </si>
  <si>
    <t xml:space="preserve">24</t>
  </si>
  <si>
    <t xml:space="preserve">25-07-2026</t>
  </si>
  <si>
    <t xml:space="preserve">Identificado: 1 de 5 ($440,300 de $6,122,312)</t>
  </si>
  <si>
    <t xml:space="preserve">76307389-0</t>
  </si>
  <si>
    <t xml:space="preserve">319591</t>
  </si>
  <si>
    <t xml:space="preserve">319592</t>
  </si>
  <si>
    <t xml:space="preserve">2745962</t>
  </si>
  <si>
    <t xml:space="preserve">Cargo cartola 01-07-2026 — PAGO EN LINEA ESMAX</t>
  </si>
  <si>
    <t xml:space="preserve">76630639-K</t>
  </si>
  <si>
    <t xml:space="preserve">4071</t>
  </si>
  <si>
    <t xml:space="preserve">02-07-2026</t>
  </si>
  <si>
    <t xml:space="preserve">Cargo cartola 02-07-2026 — 076630639K Transf a Servicios integrales FYR </t>
  </si>
  <si>
    <t xml:space="preserve">2666</t>
  </si>
  <si>
    <t xml:space="preserve">299681</t>
  </si>
  <si>
    <t xml:space="preserve">Cargo cartola 03-07-2026 — COMERCIAL RIHE LTDA</t>
  </si>
  <si>
    <t xml:space="preserve">299686</t>
  </si>
  <si>
    <t xml:space="preserve">552096</t>
  </si>
  <si>
    <t xml:space="preserve">Cargo cartola 03-07-2026 — Compra Nacional MD VALPAR LTDA.</t>
  </si>
  <si>
    <t xml:space="preserve">6711841</t>
  </si>
  <si>
    <t xml:space="preserve">Cargo cartola 03-07-2026 — IMPLEMENTOS S.A.</t>
  </si>
  <si>
    <t xml:space="preserve">99581430-7</t>
  </si>
  <si>
    <t xml:space="preserve">1150357</t>
  </si>
  <si>
    <t xml:space="preserve">32107271</t>
  </si>
  <si>
    <t xml:space="preserve">32124365</t>
  </si>
  <si>
    <t xml:space="preserve">03-07-2026</t>
  </si>
  <si>
    <t xml:space="preserve">32124410</t>
  </si>
  <si>
    <t xml:space="preserve">Cargo cartola 06-07-2026 — 0153706123 Transf a Francisco Mancilla</t>
  </si>
  <si>
    <t xml:space="preserve">32133874</t>
  </si>
  <si>
    <t xml:space="preserve">06-07-2026</t>
  </si>
  <si>
    <t xml:space="preserve">2683</t>
  </si>
  <si>
    <t xml:space="preserve">07-07-2026</t>
  </si>
  <si>
    <t xml:space="preserve">831704</t>
  </si>
  <si>
    <t xml:space="preserve">08-07-2026</t>
  </si>
  <si>
    <t xml:space="preserve">Cargo cartola 09-07-2026 — COMERCIAL ECUADOR SPA</t>
  </si>
  <si>
    <t xml:space="preserve">300297</t>
  </si>
  <si>
    <t xml:space="preserve">300298</t>
  </si>
  <si>
    <t xml:space="preserve">32142210</t>
  </si>
  <si>
    <t xml:space="preserve">Cargo cartola 13-07-2026 — 0153706123 Transf a Francisco Mancilla</t>
  </si>
  <si>
    <t xml:space="preserve">96815130-4</t>
  </si>
  <si>
    <t xml:space="preserve">350990</t>
  </si>
  <si>
    <t xml:space="preserve">Cargo cartola 09-07-2026 — TTP S.A RANCAGUA</t>
  </si>
  <si>
    <t xml:space="preserve">6729429</t>
  </si>
  <si>
    <t xml:space="preserve">09-07-2026</t>
  </si>
  <si>
    <t xml:space="preserve">Cargo cartola 10-07-2026 — Compra Nacional MD IMPLEMENTOS S.A</t>
  </si>
  <si>
    <t xml:space="preserve">2701</t>
  </si>
  <si>
    <t xml:space="preserve">32154215</t>
  </si>
  <si>
    <t xml:space="preserve">11-07-2026</t>
  </si>
  <si>
    <t xml:space="preserve">Cargo cartola 13-07-2026 — 0142013436 Transf a Felipe Madariaga Parra</t>
  </si>
  <si>
    <t xml:space="preserve">2706</t>
  </si>
  <si>
    <t xml:space="preserve">10-07-2026</t>
  </si>
  <si>
    <t xml:space="preserve">36094</t>
  </si>
  <si>
    <t xml:space="preserve">Cargo cartola 13-07-2026 — Compra Nacional MD ARAMCO</t>
  </si>
  <si>
    <t xml:space="preserve">2750776</t>
  </si>
  <si>
    <t xml:space="preserve">12-07-2026</t>
  </si>
  <si>
    <t xml:space="preserve">Cargo cartola 13-07-2026 — PAGO EN LINEA ESMAX</t>
  </si>
  <si>
    <t xml:space="preserve">22889011</t>
  </si>
  <si>
    <t xml:space="preserve">13-07-2026</t>
  </si>
  <si>
    <t xml:space="preserve">32162084</t>
  </si>
  <si>
    <t xml:space="preserve">77264074-9</t>
  </si>
  <si>
    <t xml:space="preserve">6475</t>
  </si>
  <si>
    <t xml:space="preserve">14-07-2026</t>
  </si>
  <si>
    <t xml:space="preserve">Cargo cartola 13-07-2026 — 0772640749 Transf a Fijasur</t>
  </si>
  <si>
    <t xml:space="preserve">32166690</t>
  </si>
  <si>
    <t xml:space="preserve">Cargo cartola 09-07-2026 — 0153706123 Transf a Francisco Mancilla</t>
  </si>
  <si>
    <t xml:space="preserve">36566</t>
  </si>
  <si>
    <t xml:space="preserve">17-07-2026</t>
  </si>
  <si>
    <t xml:space="preserve">Cargo cartola 20-07-2026 — Compra Nacional MD ARAMCO</t>
  </si>
  <si>
    <t xml:space="preserve">14260930</t>
  </si>
  <si>
    <t xml:space="preserve">18-07-2026</t>
  </si>
  <si>
    <t xml:space="preserve">14260932</t>
  </si>
  <si>
    <t xml:space="preserve">2751869</t>
  </si>
  <si>
    <t xml:space="preserve">20-07-2026</t>
  </si>
  <si>
    <t xml:space="preserve">Cargo cartola 20-07-2026 — PAGO EN LINEA ESMAX</t>
  </si>
  <si>
    <t xml:space="preserve">96798550-3</t>
  </si>
  <si>
    <t xml:space="preserve">869217</t>
  </si>
  <si>
    <t xml:space="preserve">96882280-2</t>
  </si>
  <si>
    <t xml:space="preserve">678717</t>
  </si>
  <si>
    <t xml:space="preserve">Cargo cartola 20-07-2026 — TRANSAGRO RANCAGUA</t>
  </si>
  <si>
    <t xml:space="preserve">32186742</t>
  </si>
  <si>
    <t xml:space="preserve">Cargo cartola 21-07-2026 — 0142013436 Transf a Felipe Madariaga Parra</t>
  </si>
  <si>
    <t xml:space="preserve">2754792</t>
  </si>
  <si>
    <t xml:space="preserve">22-07-2026</t>
  </si>
  <si>
    <t xml:space="preserve">Cargo cartola 22-07-2026 — PAGO EN LINEA ESMAX</t>
  </si>
  <si>
    <t xml:space="preserve">2754805</t>
  </si>
  <si>
    <t xml:space="preserve">2754887</t>
  </si>
  <si>
    <t xml:space="preserve">Cargo cartola 23-07-2026 — PAGO EN LINEA ESMAX</t>
  </si>
  <si>
    <t xml:space="preserve">32198037</t>
  </si>
  <si>
    <t xml:space="preserve">23-07-2026</t>
  </si>
  <si>
    <t xml:space="preserve">Cargo cartola 23-07-2026 — 0783031345 Transf a Global Solutions</t>
  </si>
  <si>
    <t xml:space="preserve">301679</t>
  </si>
  <si>
    <t xml:space="preserve">24-07-2026</t>
  </si>
  <si>
    <t xml:space="preserve">Cargo cartola 24-07-2026 — COMERCIAL RIHE LTDA</t>
  </si>
  <si>
    <t xml:space="preserve">301680</t>
  </si>
  <si>
    <t xml:space="preserve">32203513</t>
  </si>
  <si>
    <t xml:space="preserve">Cargo cartola 27-07-2026 — 0783031345 Transf a Global Solutions</t>
  </si>
  <si>
    <t xml:space="preserve">22908735</t>
  </si>
  <si>
    <t xml:space="preserve">Cargo cartola 27-07-2026 — CONSTRU-MART RANCAGUA</t>
  </si>
  <si>
    <t xml:space="preserve">32204802</t>
  </si>
  <si>
    <t xml:space="preserve">76575460-7</t>
  </si>
  <si>
    <t xml:space="preserve">89054</t>
  </si>
  <si>
    <t xml:space="preserve">20435</t>
  </si>
  <si>
    <t xml:space="preserve">Identificado: 28 de 49 ($6,200,514)</t>
  </si>
  <si>
    <t xml:space="preserve">0783031345 Transf. GLOBAL SOLUTIONS SPA</t>
  </si>
  <si>
    <t xml:space="preserve">0159957802 Transf a RIQUELME OLEA PABLO</t>
  </si>
  <si>
    <t xml:space="preserve">TUU*COMERCIAL ESCORPIO</t>
  </si>
  <si>
    <t xml:space="preserve">0175020268 Transf a Nicolás Carvallo</t>
  </si>
  <si>
    <t xml:space="preserve">0119944848 Transf a José Acevedo</t>
  </si>
  <si>
    <t xml:space="preserve">0168844255 Transf a Sebastián Zúñiga</t>
  </si>
  <si>
    <t xml:space="preserve">0772906366 Transf. SERVICIOS EL ENANO SPA</t>
  </si>
  <si>
    <t xml:space="preserve">0776497649 Transf. COMERCIALIZADORA Y PR</t>
  </si>
  <si>
    <t xml:space="preserve">0197068833 Transf a Felipe Tapia Diez</t>
  </si>
  <si>
    <t xml:space="preserve">0142013436 Transf a Felipe Madariaga Parra</t>
  </si>
  <si>
    <t xml:space="preserve">0159957802 Transf de PABLO SEBASTIAN RIQ</t>
  </si>
  <si>
    <t xml:space="preserve">0153706123 Transf a Francisco Mancilla</t>
  </si>
  <si>
    <t xml:space="preserve">019591141K Transf. Nicolas Matias Vega</t>
  </si>
  <si>
    <t xml:space="preserve">TUU*comercialEscorpion</t>
  </si>
  <si>
    <t xml:space="preserve">40574-SBX ROSARIO 100</t>
  </si>
  <si>
    <t xml:space="preserve">COMERCIAL RIHE LTDA</t>
  </si>
  <si>
    <t xml:space="preserve">EL PALACIO DEL POROTO</t>
  </si>
  <si>
    <t xml:space="preserve">0761971018 Transf. Financia Capital</t>
  </si>
  <si>
    <t xml:space="preserve">0186584856 Transf. Andoni Luciano Sandova</t>
  </si>
  <si>
    <t xml:space="preserve">0967985503 Transf a Multiaceros SA</t>
  </si>
  <si>
    <t xml:space="preserve">PAGO EN LINEA S.I.I.</t>
  </si>
  <si>
    <t xml:space="preserve">RedGloba*PCY LTDA</t>
  </si>
  <si>
    <t xml:space="preserve">Compra Nacional MD PROSERCOM SPA</t>
  </si>
  <si>
    <t xml:space="preserve">Compra Nacional MD VULKO</t>
  </si>
  <si>
    <t xml:space="preserve">0771337724 PAGO PROVEEDOR Agricola Ge</t>
  </si>
  <si>
    <t xml:space="preserve">27-07-2026</t>
  </si>
  <si>
    <t xml:space="preserve">MERCADOPAGO *ELECTROS</t>
  </si>
  <si>
    <t xml:space="preserve">Compra Nacional MD FEDICAR</t>
  </si>
  <si>
    <t xml:space="preserve">Compra Nacional MD APRO</t>
  </si>
  <si>
    <t xml:space="preserve">0140569097 Transf. ANDREA CLEMENTINA ALARCON LARA</t>
  </si>
  <si>
    <t xml:space="preserve">GUILLERMO TOBIAS MOLIN</t>
  </si>
  <si>
    <t xml:space="preserve">Compra Nacional MD SOLMET SPA</t>
  </si>
  <si>
    <t xml:space="preserve">28-07-2026</t>
  </si>
  <si>
    <t xml:space="preserve">0070082349 Transf a VALDES CORNEJO NIBA</t>
  </si>
  <si>
    <t xml:space="preserve">0783031345 Transf a Global Solutions</t>
  </si>
  <si>
    <t xml:space="preserve">PAGO EN LINEA ESMAX</t>
  </si>
  <si>
    <t xml:space="preserve">29-07-2026</t>
  </si>
  <si>
    <t xml:space="preserve">CONTROL DE CUMPLIMIENTO — REAL vs. PRESUPUESTO Y FLUJO DE CAJA</t>
  </si>
  <si>
    <t xml:space="preserve">Proyectado se vincula a la hoja Consolidado (flujo de caja semanal, base bruta/cash). Real (amarillo) se completa cada semana con la conciliación bancaria.</t>
  </si>
  <si>
    <t xml:space="preserve">CONTROL SEMANAL — AGOSTO (Consolidado)</t>
  </si>
  <si>
    <t xml:space="preserve">Ingreso
Proyectado</t>
  </si>
  <si>
    <t xml:space="preserve">Ingreso
Real</t>
  </si>
  <si>
    <t xml:space="preserve">Diferencia
Ingreso</t>
  </si>
  <si>
    <t xml:space="preserve">Egreso
Proyectado</t>
  </si>
  <si>
    <t xml:space="preserve">Egreso
Real</t>
  </si>
  <si>
    <t xml:space="preserve">Diferencia
Egreso</t>
  </si>
  <si>
    <t xml:space="preserve">Saldo
Proyectado</t>
  </si>
  <si>
    <t xml:space="preserve">Saldo
Real</t>
  </si>
  <si>
    <t xml:space="preserve">¿Cumplió?</t>
  </si>
  <si>
    <t xml:space="preserve">Causa (si no cumplió) / Corrección propuesta</t>
  </si>
  <si>
    <t xml:space="preserve">CONTROL SEMANAL — SEPTIEMBRE (Consolidado)</t>
  </si>
  <si>
    <t xml:space="preserve">RESUMEN EJECUTIVO</t>
  </si>
  <si>
    <t xml:space="preserve">INFORME DE RESULTADOS FINANCIEROS (Estado de Resultados, base neta sin IVA)</t>
  </si>
  <si>
    <t xml:space="preserve">Agosto 2026</t>
  </si>
  <si>
    <t xml:space="preserve">Septiembre 2026</t>
  </si>
  <si>
    <t xml:space="preserve">IVA Débito Fiscal (informativo)</t>
  </si>
  <si>
    <t xml:space="preserve">Margen Directo</t>
  </si>
  <si>
    <t xml:space="preserve">Este informe usa valores NETOS (sin IVA) — es la utilidad real, distinta del Saldo de caja semanal (que incluye IVA cobrado, aún no pagado al Fisco). Ver hoja Consolidado para el detalle completo.</t>
  </si>
  <si>
    <t xml:space="preserve">PLAN vs. REAL vs. REPROYECCIÓN (flujo de caja semanal)</t>
  </si>
  <si>
    <t xml:space="preserve">Tomado de Real_vs_Presupuesto. Reproyección Fin de Mes = Real acumulado + Presupuesto de semanas sin dato real.</t>
  </si>
  <si>
    <t xml:space="preserve">AGOSTO 2026</t>
  </si>
  <si>
    <t xml:space="preserve">Presupuesto
Mensual (caja)</t>
  </si>
  <si>
    <t xml:space="preserve">Real
Acumulado</t>
  </si>
  <si>
    <t xml:space="preserve">Semanas
con dato real</t>
  </si>
  <si>
    <t xml:space="preserve">Presupuesto
de lo que falta</t>
  </si>
  <si>
    <t xml:space="preserve">Reproyección
Fin de Mes</t>
  </si>
  <si>
    <t xml:space="preserve">% Cumplimiento</t>
  </si>
  <si>
    <t xml:space="preserve">Ingreso (bruto, caja)</t>
  </si>
  <si>
    <t xml:space="preserve">Egreso (bruto, caja)</t>
  </si>
  <si>
    <t xml:space="preserve">Saldo (Ingreso − Egreso)</t>
  </si>
  <si>
    <t xml:space="preserve">SEPTIEMBRE 2026</t>
  </si>
  <si>
    <t xml:space="preserve">BITÁCORA DE SALDO DIARIO — Banco Santander 0-000-3776731-0</t>
  </si>
  <si>
    <t xml:space="preserve">Registro diario del "Saldo de Cuentas Corrientes" (reporte simple, sin movimientos). Alerta temprana: compara el saldo real contra el Saldo Acumulado que proyecta Consolidado para esa semana. Al cierre de cada semana, esto se cruza con la conciliación completa (Conciliación_Junio/Julio como plantilla) — la bitácora es la alerta, la conciliación semanal es la confirmación con facturas.</t>
  </si>
  <si>
    <t xml:space="preserve">Saldo Disponible
(real, del reporte)</t>
  </si>
  <si>
    <t xml:space="preserve">Semana
Consolidado</t>
  </si>
  <si>
    <t xml:space="preserve">Saldo Acumulado
Proyectado</t>
  </si>
  <si>
    <t xml:space="preserve">Diferencia</t>
  </si>
  <si>
    <t xml:space="preserve">Julio (fuera de Consolidado, mes en curso pre-agosto)</t>
  </si>
  <si>
    <t xml:space="preserve">Saldo real del 29-07-2026, cartola completa conciliada. Punto de partida de la bitácora.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</si>
</sst>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$#,##0;&quot;($&quot;#,##0\);\-"/>
    <numFmt numFmtId="167" formatCode="0.0"/>
    <numFmt numFmtId="168" formatCode="0"/>
    <numFmt numFmtId="169" formatCode="#,##0"/>
    <numFmt numFmtId="170" formatCode="#,##0.0"/>
    <numFmt numFmtId="171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0.19</v>
      </c>
    </row>
    <row r="6" customFormat="false" ht="15" hidden="false" customHeight="false" outlineLevel="0" collapsed="false">
      <c r="A6" s="2" t="s">
        <v>3</v>
      </c>
      <c r="B6" s="2"/>
      <c r="C6" s="2"/>
    </row>
    <row r="7" customFormat="false" ht="15" hidden="false" customHeight="false" outlineLevel="0" collapsed="false">
      <c r="A7" s="3" t="s">
        <v>4</v>
      </c>
      <c r="B7" s="5" t="n">
        <v>13</v>
      </c>
      <c r="C7" s="6" t="s">
        <v>5</v>
      </c>
    </row>
    <row r="8" customFormat="false" ht="15" hidden="false" customHeight="false" outlineLevel="0" collapsed="false">
      <c r="A8" s="3" t="s">
        <v>6</v>
      </c>
      <c r="B8" s="7" t="n">
        <v>1.5</v>
      </c>
      <c r="C8" s="6" t="s">
        <v>7</v>
      </c>
    </row>
    <row r="9" customFormat="false" ht="15" hidden="false" customHeight="false" outlineLevel="0" collapsed="false">
      <c r="A9" s="3" t="s">
        <v>8</v>
      </c>
      <c r="B9" s="5" t="n">
        <v>359</v>
      </c>
      <c r="C9" s="6" t="s">
        <v>9</v>
      </c>
    </row>
    <row r="10" customFormat="false" ht="15" hidden="false" customHeight="false" outlineLevel="0" collapsed="false">
      <c r="A10" s="3" t="s">
        <v>10</v>
      </c>
      <c r="B10" s="5" t="n">
        <v>50</v>
      </c>
      <c r="C10" s="6" t="s">
        <v>11</v>
      </c>
    </row>
    <row r="11" customFormat="false" ht="15" hidden="false" customHeight="false" outlineLevel="0" collapsed="false">
      <c r="A11" s="3" t="s">
        <v>12</v>
      </c>
      <c r="B11" s="7" t="n">
        <v>2.5</v>
      </c>
    </row>
    <row r="12" customFormat="false" ht="15" hidden="false" customHeight="false" outlineLevel="0" collapsed="false">
      <c r="A12" s="3" t="s">
        <v>13</v>
      </c>
      <c r="B12" s="5" t="n">
        <v>1200</v>
      </c>
    </row>
    <row r="13" customFormat="false" ht="15" hidden="false" customHeight="false" outlineLevel="0" collapsed="false">
      <c r="A13" s="3" t="s">
        <v>14</v>
      </c>
      <c r="B13" s="5" t="n">
        <v>50000</v>
      </c>
      <c r="C13" s="6" t="s">
        <v>15</v>
      </c>
    </row>
    <row r="14" customFormat="false" ht="15" hidden="false" customHeight="false" outlineLevel="0" collapsed="false">
      <c r="A14" s="3" t="s">
        <v>16</v>
      </c>
      <c r="B14" s="5" t="n">
        <v>25</v>
      </c>
      <c r="C14" s="6" t="s">
        <v>17</v>
      </c>
    </row>
    <row r="15" customFormat="false" ht="15" hidden="false" customHeight="false" outlineLevel="0" collapsed="false">
      <c r="A15" s="3" t="s">
        <v>18</v>
      </c>
      <c r="B15" s="5" t="n">
        <v>33000</v>
      </c>
    </row>
    <row r="16" customFormat="false" ht="15" hidden="false" customHeight="false" outlineLevel="0" collapsed="false">
      <c r="A16" s="3" t="s">
        <v>19</v>
      </c>
      <c r="B16" s="5" t="n">
        <v>12000</v>
      </c>
    </row>
    <row r="17" customFormat="false" ht="15" hidden="false" customHeight="false" outlineLevel="0" collapsed="false">
      <c r="A17" s="3" t="s">
        <v>20</v>
      </c>
      <c r="B17" s="4" t="n">
        <v>0.08</v>
      </c>
    </row>
    <row r="18" customFormat="false" ht="15" hidden="false" customHeight="false" outlineLevel="0" collapsed="false">
      <c r="A18" s="3" t="s">
        <v>21</v>
      </c>
      <c r="B18" s="4" t="n">
        <v>0.03</v>
      </c>
      <c r="C18" s="6" t="s">
        <v>22</v>
      </c>
    </row>
    <row r="19" customFormat="false" ht="15" hidden="false" customHeight="false" outlineLevel="0" collapsed="false">
      <c r="A19" s="3" t="s">
        <v>23</v>
      </c>
      <c r="B19" s="8" t="n">
        <v>2</v>
      </c>
    </row>
    <row r="20" customFormat="false" ht="15" hidden="false" customHeight="false" outlineLevel="0" collapsed="false">
      <c r="A20" s="3" t="s">
        <v>24</v>
      </c>
      <c r="B20" s="8" t="n">
        <v>3</v>
      </c>
    </row>
    <row r="21" customFormat="false" ht="15" hidden="false" customHeight="false" outlineLevel="0" collapsed="false">
      <c r="A21" s="3" t="s">
        <v>25</v>
      </c>
      <c r="B21" s="8" t="n">
        <v>2</v>
      </c>
      <c r="C21" s="6" t="s">
        <v>26</v>
      </c>
    </row>
    <row r="22" customFormat="false" ht="15" hidden="false" customHeight="false" outlineLevel="0" collapsed="false">
      <c r="A22" s="3" t="s">
        <v>27</v>
      </c>
      <c r="B22" s="5" t="n">
        <v>60000</v>
      </c>
      <c r="C22" s="6" t="s">
        <v>28</v>
      </c>
    </row>
    <row r="23" customFormat="false" ht="15" hidden="false" customHeight="false" outlineLevel="0" collapsed="false">
      <c r="A23" s="3" t="s">
        <v>29</v>
      </c>
      <c r="B23" s="5" t="n">
        <v>29167</v>
      </c>
      <c r="C23" s="6" t="s">
        <v>30</v>
      </c>
    </row>
    <row r="24" customFormat="false" ht="15" hidden="false" customHeight="false" outlineLevel="0" collapsed="false">
      <c r="A24" s="3" t="s">
        <v>31</v>
      </c>
      <c r="B24" s="5" t="n">
        <v>25000</v>
      </c>
      <c r="C24" s="6" t="s">
        <v>32</v>
      </c>
    </row>
    <row r="26" customFormat="false" ht="15" hidden="false" customHeight="false" outlineLevel="0" collapsed="false">
      <c r="A26" s="2" t="s">
        <v>33</v>
      </c>
      <c r="B26" s="2"/>
      <c r="C26" s="2"/>
    </row>
    <row r="27" customFormat="false" ht="15" hidden="false" customHeight="false" outlineLevel="0" collapsed="false">
      <c r="A27" s="3" t="s">
        <v>34</v>
      </c>
      <c r="B27" s="5" t="n">
        <v>1020776.8</v>
      </c>
      <c r="C27" s="6" t="s">
        <v>35</v>
      </c>
    </row>
    <row r="28" customFormat="false" ht="15" hidden="false" customHeight="false" outlineLevel="0" collapsed="false">
      <c r="A28" s="3" t="s">
        <v>36</v>
      </c>
      <c r="B28" s="5" t="n">
        <v>286000</v>
      </c>
    </row>
    <row r="29" customFormat="false" ht="15" hidden="false" customHeight="false" outlineLevel="0" collapsed="false">
      <c r="A29" s="3" t="s">
        <v>37</v>
      </c>
      <c r="B29" s="5" t="n">
        <v>19069</v>
      </c>
      <c r="C29" s="6" t="s">
        <v>38</v>
      </c>
    </row>
    <row r="30" customFormat="false" ht="15" hidden="false" customHeight="false" outlineLevel="0" collapsed="false">
      <c r="A30" s="3" t="s">
        <v>39</v>
      </c>
      <c r="B30" s="5" t="n">
        <v>50000</v>
      </c>
      <c r="C30" s="6" t="s">
        <v>40</v>
      </c>
    </row>
    <row r="31" customFormat="false" ht="15" hidden="false" customHeight="false" outlineLevel="0" collapsed="false">
      <c r="A31" s="3" t="s">
        <v>41</v>
      </c>
      <c r="B31" s="5" t="n">
        <v>142644</v>
      </c>
      <c r="C31" s="6" t="s">
        <v>42</v>
      </c>
    </row>
    <row r="32" customFormat="false" ht="15" hidden="false" customHeight="false" outlineLevel="0" collapsed="false">
      <c r="A32" s="3" t="s">
        <v>43</v>
      </c>
      <c r="B32" s="5" t="n">
        <v>66000</v>
      </c>
      <c r="C32" s="6" t="s">
        <v>44</v>
      </c>
    </row>
    <row r="33" customFormat="false" ht="15" hidden="false" customHeight="false" outlineLevel="0" collapsed="false">
      <c r="A33" s="3" t="s">
        <v>45</v>
      </c>
      <c r="B33" s="5" t="n">
        <v>24000</v>
      </c>
      <c r="C33" s="6" t="s">
        <v>46</v>
      </c>
    </row>
    <row r="34" customFormat="false" ht="15" hidden="false" customHeight="false" outlineLevel="0" collapsed="false">
      <c r="A34" s="3" t="s">
        <v>47</v>
      </c>
      <c r="B34" s="5" t="n">
        <v>72000</v>
      </c>
      <c r="C34" s="6" t="s">
        <v>48</v>
      </c>
    </row>
    <row r="35" customFormat="false" ht="15" hidden="false" customHeight="false" outlineLevel="0" collapsed="false">
      <c r="A35" s="3" t="s">
        <v>49</v>
      </c>
      <c r="B35" s="5" t="n">
        <v>81662</v>
      </c>
      <c r="C35" s="6" t="s">
        <v>50</v>
      </c>
    </row>
    <row r="36" customFormat="false" ht="15" hidden="false" customHeight="false" outlineLevel="0" collapsed="false">
      <c r="A36" s="3" t="s">
        <v>51</v>
      </c>
      <c r="B36" s="4" t="n">
        <v>0.015</v>
      </c>
      <c r="C36" s="6" t="s">
        <v>52</v>
      </c>
    </row>
    <row r="37" customFormat="false" ht="15" hidden="false" customHeight="false" outlineLevel="0" collapsed="false">
      <c r="A37" s="3" t="s">
        <v>53</v>
      </c>
      <c r="B37" s="8" t="n">
        <v>2</v>
      </c>
    </row>
    <row r="38" customFormat="false" ht="15" hidden="false" customHeight="false" outlineLevel="0" collapsed="false">
      <c r="A38" s="3" t="s">
        <v>54</v>
      </c>
      <c r="B38" s="8" t="n">
        <v>10</v>
      </c>
      <c r="C38" s="6" t="s">
        <v>55</v>
      </c>
    </row>
    <row r="39" customFormat="false" ht="15" hidden="false" customHeight="false" outlineLevel="0" collapsed="false">
      <c r="A39" s="3" t="s">
        <v>23</v>
      </c>
      <c r="B39" s="8" t="n">
        <v>1</v>
      </c>
    </row>
    <row r="40" customFormat="false" ht="15" hidden="false" customHeight="false" outlineLevel="0" collapsed="false">
      <c r="A40" s="3" t="s">
        <v>24</v>
      </c>
      <c r="B40" s="8" t="n">
        <v>1</v>
      </c>
    </row>
    <row r="42" customFormat="false" ht="15" hidden="false" customHeight="false" outlineLevel="0" collapsed="false">
      <c r="A42" s="2" t="s">
        <v>56</v>
      </c>
      <c r="B42" s="2"/>
      <c r="C42" s="2"/>
    </row>
    <row r="43" customFormat="false" ht="15" hidden="false" customHeight="false" outlineLevel="0" collapsed="false">
      <c r="A43" s="3" t="s">
        <v>57</v>
      </c>
      <c r="B43" s="5" t="n">
        <v>9000</v>
      </c>
    </row>
    <row r="44" customFormat="false" ht="15" hidden="false" customHeight="false" outlineLevel="0" collapsed="false">
      <c r="A44" s="3" t="s">
        <v>58</v>
      </c>
      <c r="B44" s="5" t="n">
        <v>3940000</v>
      </c>
      <c r="C44" s="6" t="s">
        <v>59</v>
      </c>
    </row>
    <row r="45" customFormat="false" ht="15" hidden="false" customHeight="false" outlineLevel="0" collapsed="false">
      <c r="A45" s="3" t="s">
        <v>60</v>
      </c>
      <c r="B45" s="5" t="n">
        <v>2653147</v>
      </c>
      <c r="C45" s="6" t="s">
        <v>61</v>
      </c>
    </row>
    <row r="46" customFormat="false" ht="15" hidden="false" customHeight="false" outlineLevel="0" collapsed="false">
      <c r="A46" s="3" t="s">
        <v>62</v>
      </c>
      <c r="B46" s="5" t="n">
        <v>3153147</v>
      </c>
      <c r="C46" s="6" t="s">
        <v>63</v>
      </c>
    </row>
  </sheetData>
  <mergeCells count="5">
    <mergeCell ref="A1:C1"/>
    <mergeCell ref="A3:C3"/>
    <mergeCell ref="A6:C6"/>
    <mergeCell ref="A26:C26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7"/>
    <col collapsed="false" customWidth="true" hidden="false" outlineLevel="0" max="6" min="4" style="0" width="10"/>
    <col collapsed="false" customWidth="true" hidden="false" outlineLevel="0" max="8" min="7" style="0" width="12"/>
    <col collapsed="false" customWidth="true" hidden="false" outlineLevel="0" max="15" min="9" style="0" width="10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16.15" hidden="false" customHeight="false" outlineLevel="0" collapsed="false">
      <c r="A1" s="1" t="s">
        <v>64</v>
      </c>
      <c r="B1" s="1"/>
      <c r="C1" s="1"/>
    </row>
    <row r="3" customFormat="false" ht="15" hidden="false" customHeight="false" outlineLevel="0" collapsed="false">
      <c r="A3" s="9" t="s">
        <v>65</v>
      </c>
      <c r="B3" s="9" t="s">
        <v>66</v>
      </c>
      <c r="C3" s="9" t="s">
        <v>67</v>
      </c>
    </row>
    <row r="4" customFormat="false" ht="15" hidden="false" customHeight="false" outlineLevel="0" collapsed="false">
      <c r="A4" s="2" t="s">
        <v>68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25.5" hidden="false" customHeight="true" outlineLevel="0" collapsed="false">
      <c r="A5" s="10" t="s">
        <v>69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customFormat="false" ht="26.85" hidden="false" customHeight="false" outlineLevel="0" collapsed="false">
      <c r="A6" s="9" t="s">
        <v>70</v>
      </c>
      <c r="B6" s="9" t="s">
        <v>71</v>
      </c>
      <c r="C6" s="9" t="s">
        <v>72</v>
      </c>
      <c r="D6" s="9" t="s">
        <v>73</v>
      </c>
      <c r="E6" s="9" t="s">
        <v>74</v>
      </c>
      <c r="F6" s="9" t="s">
        <v>75</v>
      </c>
      <c r="G6" s="9" t="s">
        <v>76</v>
      </c>
      <c r="H6" s="9" t="s">
        <v>77</v>
      </c>
      <c r="I6" s="9" t="s">
        <v>78</v>
      </c>
      <c r="J6" s="9" t="s">
        <v>79</v>
      </c>
      <c r="K6" s="9" t="s">
        <v>80</v>
      </c>
      <c r="L6" s="9" t="s">
        <v>81</v>
      </c>
      <c r="M6" s="9" t="s">
        <v>82</v>
      </c>
      <c r="N6" s="9" t="s">
        <v>83</v>
      </c>
      <c r="O6" s="9" t="s">
        <v>84</v>
      </c>
      <c r="P6" s="9" t="s">
        <v>85</v>
      </c>
      <c r="Q6" s="9" t="s">
        <v>86</v>
      </c>
    </row>
    <row r="7" customFormat="false" ht="15" hidden="false" customHeight="false" outlineLevel="0" collapsed="false">
      <c r="A7" s="3" t="s">
        <v>87</v>
      </c>
      <c r="B7" s="11" t="n">
        <v>11</v>
      </c>
      <c r="C7" s="11" t="n">
        <v>1</v>
      </c>
      <c r="D7" s="3" t="n">
        <f aca="false">MAX(C7,Supuestos_Presupuesto!$B$21)</f>
        <v>2</v>
      </c>
      <c r="E7" s="5" t="n">
        <v>549716.4</v>
      </c>
      <c r="F7" s="12" t="n">
        <f aca="false">E7+(D7-1)*Supuestos_Presupuesto!$B$22</f>
        <v>609716.4</v>
      </c>
      <c r="G7" s="13" t="n">
        <f aca="false">Supuestos_Presupuesto!$B$9+(D7-1)*Supuestos_Presupuesto!$B$10</f>
        <v>409</v>
      </c>
      <c r="H7" s="12" t="n">
        <f aca="false">G7/Supuestos_Presupuesto!$B$11*Supuestos_Presupuesto!$B$12/(1+Supuestos_Presupuesto!$B$4)</f>
        <v>164974.789915966</v>
      </c>
      <c r="I7" s="12" t="n">
        <f aca="false">G7*Supuestos_Presupuesto!$B$14</f>
        <v>10225</v>
      </c>
      <c r="J7" s="12" t="n">
        <f aca="false">Supuestos_Presupuesto!$B$13</f>
        <v>50000</v>
      </c>
      <c r="K7" s="12" t="n">
        <f aca="false">Supuestos_Presupuesto!$B$8*Supuestos_Presupuesto!$B$15</f>
        <v>49500</v>
      </c>
      <c r="L7" s="12" t="n">
        <f aca="false">Supuestos_Presupuesto!$B$8*Supuestos_Presupuesto!$B$16</f>
        <v>18000</v>
      </c>
      <c r="M7" s="12" t="n">
        <f aca="false">Supuestos_Presupuesto!$B$8*Supuestos_Presupuesto!$B$23</f>
        <v>43750.5</v>
      </c>
      <c r="N7" s="12" t="n">
        <f aca="false">Supuestos_Presupuesto!$B$8*Supuestos_Presupuesto!$B$24</f>
        <v>37500</v>
      </c>
      <c r="O7" s="12" t="n">
        <f aca="false">F7*Supuestos_Presupuesto!$B$17</f>
        <v>48777.312</v>
      </c>
      <c r="P7" s="12" t="n">
        <f aca="false">F7*(1+Supuestos_Presupuesto!$B$4)*Supuestos_Presupuesto!$B$18</f>
        <v>21766.87548</v>
      </c>
      <c r="Q7" s="14" t="n">
        <f aca="false">F7-SUM(H7:P7)</f>
        <v>165221.922604034</v>
      </c>
    </row>
    <row r="8" customFormat="false" ht="15" hidden="false" customHeight="false" outlineLevel="0" collapsed="false">
      <c r="A8" s="3" t="s">
        <v>88</v>
      </c>
      <c r="B8" s="11" t="n">
        <v>8</v>
      </c>
      <c r="C8" s="11" t="n">
        <v>1</v>
      </c>
      <c r="D8" s="3" t="n">
        <f aca="false">MAX(C8,Supuestos_Presupuesto!$B$21)</f>
        <v>2</v>
      </c>
      <c r="E8" s="5" t="n">
        <v>458699.2</v>
      </c>
      <c r="F8" s="12" t="n">
        <f aca="false">E8+(D8-1)*Supuestos_Presupuesto!$B$22</f>
        <v>518699.2</v>
      </c>
      <c r="G8" s="13" t="n">
        <f aca="false">Supuestos_Presupuesto!$B$9+(D8-1)*Supuestos_Presupuesto!$B$10</f>
        <v>409</v>
      </c>
      <c r="H8" s="12" t="n">
        <f aca="false">G8/Supuestos_Presupuesto!$B$11*Supuestos_Presupuesto!$B$12/(1+Supuestos_Presupuesto!$B$4)</f>
        <v>164974.789915966</v>
      </c>
      <c r="I8" s="12" t="n">
        <f aca="false">G8*Supuestos_Presupuesto!$B$14</f>
        <v>10225</v>
      </c>
      <c r="J8" s="12" t="n">
        <f aca="false">Supuestos_Presupuesto!$B$13</f>
        <v>50000</v>
      </c>
      <c r="K8" s="12" t="n">
        <f aca="false">Supuestos_Presupuesto!$B$8*Supuestos_Presupuesto!$B$15</f>
        <v>49500</v>
      </c>
      <c r="L8" s="12" t="n">
        <f aca="false">Supuestos_Presupuesto!$B$8*Supuestos_Presupuesto!$B$16</f>
        <v>18000</v>
      </c>
      <c r="M8" s="12" t="n">
        <f aca="false">Supuestos_Presupuesto!$B$8*Supuestos_Presupuesto!$B$23</f>
        <v>43750.5</v>
      </c>
      <c r="N8" s="12" t="n">
        <f aca="false">Supuestos_Presupuesto!$B$8*Supuestos_Presupuesto!$B$24</f>
        <v>37500</v>
      </c>
      <c r="O8" s="12" t="n">
        <f aca="false">F8*Supuestos_Presupuesto!$B$17</f>
        <v>41495.936</v>
      </c>
      <c r="P8" s="12" t="n">
        <f aca="false">F8*(1+Supuestos_Presupuesto!$B$4)*Supuestos_Presupuesto!$B$18</f>
        <v>18517.56144</v>
      </c>
      <c r="Q8" s="14" t="n">
        <f aca="false">F8-SUM(H8:P8)</f>
        <v>84735.4126440336</v>
      </c>
    </row>
    <row r="9" customFormat="false" ht="15" hidden="false" customHeight="false" outlineLevel="0" collapsed="false">
      <c r="A9" s="3" t="s">
        <v>89</v>
      </c>
      <c r="B9" s="11" t="n">
        <v>6</v>
      </c>
      <c r="C9" s="11" t="n">
        <v>1</v>
      </c>
      <c r="D9" s="3" t="n">
        <f aca="false">MAX(C9,Supuestos_Presupuesto!$B$21)</f>
        <v>2</v>
      </c>
      <c r="E9" s="5" t="n">
        <v>470166.68</v>
      </c>
      <c r="F9" s="12" t="n">
        <f aca="false">E9+(D9-1)*Supuestos_Presupuesto!$B$22</f>
        <v>530166.68</v>
      </c>
      <c r="G9" s="13" t="n">
        <f aca="false">Supuestos_Presupuesto!$B$9+(D9-1)*Supuestos_Presupuesto!$B$10</f>
        <v>409</v>
      </c>
      <c r="H9" s="12" t="n">
        <f aca="false">G9/Supuestos_Presupuesto!$B$11*Supuestos_Presupuesto!$B$12/(1+Supuestos_Presupuesto!$B$4)</f>
        <v>164974.789915966</v>
      </c>
      <c r="I9" s="12" t="n">
        <f aca="false">G9*Supuestos_Presupuesto!$B$14</f>
        <v>10225</v>
      </c>
      <c r="J9" s="12" t="n">
        <f aca="false">Supuestos_Presupuesto!$B$13</f>
        <v>50000</v>
      </c>
      <c r="K9" s="12" t="n">
        <f aca="false">Supuestos_Presupuesto!$B$8*Supuestos_Presupuesto!$B$15</f>
        <v>49500</v>
      </c>
      <c r="L9" s="12" t="n">
        <f aca="false">Supuestos_Presupuesto!$B$8*Supuestos_Presupuesto!$B$16</f>
        <v>18000</v>
      </c>
      <c r="M9" s="12" t="n">
        <f aca="false">Supuestos_Presupuesto!$B$8*Supuestos_Presupuesto!$B$23</f>
        <v>43750.5</v>
      </c>
      <c r="N9" s="12" t="n">
        <f aca="false">Supuestos_Presupuesto!$B$8*Supuestos_Presupuesto!$B$24</f>
        <v>37500</v>
      </c>
      <c r="O9" s="12" t="n">
        <f aca="false">F9*Supuestos_Presupuesto!$B$17</f>
        <v>42413.3344</v>
      </c>
      <c r="P9" s="12" t="n">
        <f aca="false">F9*(1+Supuestos_Presupuesto!$B$4)*Supuestos_Presupuesto!$B$18</f>
        <v>18926.950476</v>
      </c>
      <c r="Q9" s="14" t="n">
        <f aca="false">F9-SUM(H9:P9)</f>
        <v>94876.1052080336</v>
      </c>
    </row>
    <row r="10" customFormat="false" ht="15" hidden="false" customHeight="false" outlineLevel="0" collapsed="false">
      <c r="A10" s="3" t="s">
        <v>90</v>
      </c>
      <c r="B10" s="11" t="n">
        <v>5</v>
      </c>
      <c r="C10" s="11" t="n">
        <v>1</v>
      </c>
      <c r="D10" s="3" t="n">
        <f aca="false">MAX(C10,Supuestos_Presupuesto!$B$21)</f>
        <v>2</v>
      </c>
      <c r="E10" s="5" t="n">
        <v>516036.6</v>
      </c>
      <c r="F10" s="12" t="n">
        <f aca="false">E10+(D10-1)*Supuestos_Presupuesto!$B$22</f>
        <v>576036.6</v>
      </c>
      <c r="G10" s="13" t="n">
        <f aca="false">Supuestos_Presupuesto!$B$9+(D10-1)*Supuestos_Presupuesto!$B$10</f>
        <v>409</v>
      </c>
      <c r="H10" s="12" t="n">
        <f aca="false">G10/Supuestos_Presupuesto!$B$11*Supuestos_Presupuesto!$B$12/(1+Supuestos_Presupuesto!$B$4)</f>
        <v>164974.789915966</v>
      </c>
      <c r="I10" s="12" t="n">
        <f aca="false">G10*Supuestos_Presupuesto!$B$14</f>
        <v>10225</v>
      </c>
      <c r="J10" s="12" t="n">
        <f aca="false">Supuestos_Presupuesto!$B$13</f>
        <v>50000</v>
      </c>
      <c r="K10" s="12" t="n">
        <f aca="false">Supuestos_Presupuesto!$B$8*Supuestos_Presupuesto!$B$15</f>
        <v>49500</v>
      </c>
      <c r="L10" s="12" t="n">
        <f aca="false">Supuestos_Presupuesto!$B$8*Supuestos_Presupuesto!$B$16</f>
        <v>18000</v>
      </c>
      <c r="M10" s="12" t="n">
        <f aca="false">Supuestos_Presupuesto!$B$8*Supuestos_Presupuesto!$B$23</f>
        <v>43750.5</v>
      </c>
      <c r="N10" s="12" t="n">
        <f aca="false">Supuestos_Presupuesto!$B$8*Supuestos_Presupuesto!$B$24</f>
        <v>37500</v>
      </c>
      <c r="O10" s="12" t="n">
        <f aca="false">F10*Supuestos_Presupuesto!$B$17</f>
        <v>46082.928</v>
      </c>
      <c r="P10" s="12" t="n">
        <f aca="false">F10*(1+Supuestos_Presupuesto!$B$4)*Supuestos_Presupuesto!$B$18</f>
        <v>20564.50662</v>
      </c>
      <c r="Q10" s="14" t="n">
        <f aca="false">F10-SUM(H10:P10)</f>
        <v>135438.875464034</v>
      </c>
    </row>
    <row r="11" customFormat="false" ht="15" hidden="false" customHeight="false" outlineLevel="0" collapsed="false">
      <c r="A11" s="3" t="s">
        <v>91</v>
      </c>
      <c r="B11" s="11" t="n">
        <v>4</v>
      </c>
      <c r="C11" s="11" t="n">
        <v>1</v>
      </c>
      <c r="D11" s="3" t="n">
        <f aca="false">MAX(C11,Supuestos_Presupuesto!$B$21)</f>
        <v>2</v>
      </c>
      <c r="E11" s="5" t="n">
        <v>470166.68</v>
      </c>
      <c r="F11" s="12" t="n">
        <f aca="false">E11+(D11-1)*Supuestos_Presupuesto!$B$22</f>
        <v>530166.68</v>
      </c>
      <c r="G11" s="13" t="n">
        <f aca="false">Supuestos_Presupuesto!$B$9+(D11-1)*Supuestos_Presupuesto!$B$10</f>
        <v>409</v>
      </c>
      <c r="H11" s="12" t="n">
        <f aca="false">G11/Supuestos_Presupuesto!$B$11*Supuestos_Presupuesto!$B$12/(1+Supuestos_Presupuesto!$B$4)</f>
        <v>164974.789915966</v>
      </c>
      <c r="I11" s="12" t="n">
        <f aca="false">G11*Supuestos_Presupuesto!$B$14</f>
        <v>10225</v>
      </c>
      <c r="J11" s="12" t="n">
        <f aca="false">Supuestos_Presupuesto!$B$13</f>
        <v>50000</v>
      </c>
      <c r="K11" s="12" t="n">
        <f aca="false">Supuestos_Presupuesto!$B$8*Supuestos_Presupuesto!$B$15</f>
        <v>49500</v>
      </c>
      <c r="L11" s="12" t="n">
        <f aca="false">Supuestos_Presupuesto!$B$8*Supuestos_Presupuesto!$B$16</f>
        <v>18000</v>
      </c>
      <c r="M11" s="12" t="n">
        <f aca="false">Supuestos_Presupuesto!$B$8*Supuestos_Presupuesto!$B$23</f>
        <v>43750.5</v>
      </c>
      <c r="N11" s="12" t="n">
        <f aca="false">Supuestos_Presupuesto!$B$8*Supuestos_Presupuesto!$B$24</f>
        <v>37500</v>
      </c>
      <c r="O11" s="12" t="n">
        <f aca="false">F11*Supuestos_Presupuesto!$B$17</f>
        <v>42413.3344</v>
      </c>
      <c r="P11" s="12" t="n">
        <f aca="false">F11*(1+Supuestos_Presupuesto!$B$4)*Supuestos_Presupuesto!$B$18</f>
        <v>18926.950476</v>
      </c>
      <c r="Q11" s="14" t="n">
        <f aca="false">F11-SUM(H11:P11)</f>
        <v>94876.1052080336</v>
      </c>
    </row>
    <row r="12" customFormat="false" ht="15" hidden="false" customHeight="false" outlineLevel="0" collapsed="false">
      <c r="A12" s="3" t="s">
        <v>92</v>
      </c>
      <c r="B12" s="11" t="n">
        <v>3</v>
      </c>
      <c r="C12" s="11" t="n">
        <v>2</v>
      </c>
      <c r="D12" s="3" t="n">
        <f aca="false">MAX(C12,Supuestos_Presupuesto!$B$21)</f>
        <v>2</v>
      </c>
      <c r="E12" s="5" t="n">
        <v>470166.68</v>
      </c>
      <c r="F12" s="12" t="n">
        <f aca="false">E12+(D12-1)*Supuestos_Presupuesto!$B$22</f>
        <v>530166.68</v>
      </c>
      <c r="G12" s="13" t="n">
        <f aca="false">Supuestos_Presupuesto!$B$9+(D12-1)*Supuestos_Presupuesto!$B$10</f>
        <v>409</v>
      </c>
      <c r="H12" s="12" t="n">
        <f aca="false">G12/Supuestos_Presupuesto!$B$11*Supuestos_Presupuesto!$B$12/(1+Supuestos_Presupuesto!$B$4)</f>
        <v>164974.789915966</v>
      </c>
      <c r="I12" s="12" t="n">
        <f aca="false">G12*Supuestos_Presupuesto!$B$14</f>
        <v>10225</v>
      </c>
      <c r="J12" s="12" t="n">
        <f aca="false">Supuestos_Presupuesto!$B$13</f>
        <v>50000</v>
      </c>
      <c r="K12" s="12" t="n">
        <f aca="false">Supuestos_Presupuesto!$B$8*Supuestos_Presupuesto!$B$15</f>
        <v>49500</v>
      </c>
      <c r="L12" s="12" t="n">
        <f aca="false">Supuestos_Presupuesto!$B$8*Supuestos_Presupuesto!$B$16</f>
        <v>18000</v>
      </c>
      <c r="M12" s="12" t="n">
        <f aca="false">Supuestos_Presupuesto!$B$8*Supuestos_Presupuesto!$B$23</f>
        <v>43750.5</v>
      </c>
      <c r="N12" s="12" t="n">
        <f aca="false">Supuestos_Presupuesto!$B$8*Supuestos_Presupuesto!$B$24</f>
        <v>37500</v>
      </c>
      <c r="O12" s="12" t="n">
        <f aca="false">F12*Supuestos_Presupuesto!$B$17</f>
        <v>42413.3344</v>
      </c>
      <c r="P12" s="12" t="n">
        <f aca="false">F12*(1+Supuestos_Presupuesto!$B$4)*Supuestos_Presupuesto!$B$18</f>
        <v>18926.950476</v>
      </c>
      <c r="Q12" s="14" t="n">
        <f aca="false">F12-SUM(H12:P12)</f>
        <v>94876.1052080336</v>
      </c>
    </row>
    <row r="13" customFormat="false" ht="15" hidden="false" customHeight="false" outlineLevel="0" collapsed="false">
      <c r="A13" s="3" t="s">
        <v>93</v>
      </c>
      <c r="B13" s="11" t="n">
        <v>3</v>
      </c>
      <c r="C13" s="11" t="n">
        <v>2</v>
      </c>
      <c r="D13" s="3" t="n">
        <f aca="false">MAX(C13,Supuestos_Presupuesto!$B$21)</f>
        <v>2</v>
      </c>
      <c r="E13" s="5" t="n">
        <v>549716.4</v>
      </c>
      <c r="F13" s="12" t="n">
        <f aca="false">E13+(D13-1)*Supuestos_Presupuesto!$B$22</f>
        <v>609716.4</v>
      </c>
      <c r="G13" s="13" t="n">
        <f aca="false">Supuestos_Presupuesto!$B$9+(D13-1)*Supuestos_Presupuesto!$B$10</f>
        <v>409</v>
      </c>
      <c r="H13" s="12" t="n">
        <f aca="false">G13/Supuestos_Presupuesto!$B$11*Supuestos_Presupuesto!$B$12/(1+Supuestos_Presupuesto!$B$4)</f>
        <v>164974.789915966</v>
      </c>
      <c r="I13" s="12" t="n">
        <f aca="false">G13*Supuestos_Presupuesto!$B$14</f>
        <v>10225</v>
      </c>
      <c r="J13" s="12" t="n">
        <f aca="false">Supuestos_Presupuesto!$B$13</f>
        <v>50000</v>
      </c>
      <c r="K13" s="12" t="n">
        <f aca="false">Supuestos_Presupuesto!$B$8*Supuestos_Presupuesto!$B$15</f>
        <v>49500</v>
      </c>
      <c r="L13" s="12" t="n">
        <f aca="false">Supuestos_Presupuesto!$B$8*Supuestos_Presupuesto!$B$16</f>
        <v>18000</v>
      </c>
      <c r="M13" s="12" t="n">
        <f aca="false">Supuestos_Presupuesto!$B$8*Supuestos_Presupuesto!$B$23</f>
        <v>43750.5</v>
      </c>
      <c r="N13" s="12" t="n">
        <f aca="false">Supuestos_Presupuesto!$B$8*Supuestos_Presupuesto!$B$24</f>
        <v>37500</v>
      </c>
      <c r="O13" s="12" t="n">
        <f aca="false">F13*Supuestos_Presupuesto!$B$17</f>
        <v>48777.312</v>
      </c>
      <c r="P13" s="12" t="n">
        <f aca="false">F13*(1+Supuestos_Presupuesto!$B$4)*Supuestos_Presupuesto!$B$18</f>
        <v>21766.87548</v>
      </c>
      <c r="Q13" s="14" t="n">
        <f aca="false">F13-SUM(H13:P13)</f>
        <v>165221.922604034</v>
      </c>
    </row>
    <row r="14" customFormat="false" ht="15" hidden="false" customHeight="false" outlineLevel="0" collapsed="false">
      <c r="A14" s="3" t="s">
        <v>94</v>
      </c>
      <c r="B14" s="11" t="n">
        <v>3</v>
      </c>
      <c r="C14" s="11" t="n">
        <v>3</v>
      </c>
      <c r="D14" s="3" t="n">
        <f aca="false">MAX(C14,Supuestos_Presupuesto!$B$21)</f>
        <v>3</v>
      </c>
      <c r="E14" s="5" t="n">
        <v>549716.4</v>
      </c>
      <c r="F14" s="12" t="n">
        <f aca="false">E14+(D14-1)*Supuestos_Presupuesto!$B$22</f>
        <v>669716.4</v>
      </c>
      <c r="G14" s="13" t="n">
        <f aca="false">Supuestos_Presupuesto!$B$9+(D14-1)*Supuestos_Presupuesto!$B$10</f>
        <v>459</v>
      </c>
      <c r="H14" s="12" t="n">
        <f aca="false">G14/Supuestos_Presupuesto!$B$11*Supuestos_Presupuesto!$B$12/(1+Supuestos_Presupuesto!$B$4)</f>
        <v>185142.857142857</v>
      </c>
      <c r="I14" s="12" t="n">
        <f aca="false">G14*Supuestos_Presupuesto!$B$14</f>
        <v>11475</v>
      </c>
      <c r="J14" s="12" t="n">
        <f aca="false">Supuestos_Presupuesto!$B$13</f>
        <v>50000</v>
      </c>
      <c r="K14" s="12" t="n">
        <f aca="false">Supuestos_Presupuesto!$B$8*Supuestos_Presupuesto!$B$15</f>
        <v>49500</v>
      </c>
      <c r="L14" s="12" t="n">
        <f aca="false">Supuestos_Presupuesto!$B$8*Supuestos_Presupuesto!$B$16</f>
        <v>18000</v>
      </c>
      <c r="M14" s="12" t="n">
        <f aca="false">Supuestos_Presupuesto!$B$8*Supuestos_Presupuesto!$B$23</f>
        <v>43750.5</v>
      </c>
      <c r="N14" s="12" t="n">
        <f aca="false">Supuestos_Presupuesto!$B$8*Supuestos_Presupuesto!$B$24</f>
        <v>37500</v>
      </c>
      <c r="O14" s="12" t="n">
        <f aca="false">F14*Supuestos_Presupuesto!$B$17</f>
        <v>53577.312</v>
      </c>
      <c r="P14" s="12" t="n">
        <f aca="false">F14*(1+Supuestos_Presupuesto!$B$4)*Supuestos_Presupuesto!$B$18</f>
        <v>23908.87548</v>
      </c>
      <c r="Q14" s="14" t="n">
        <f aca="false">F14-SUM(H14:P14)</f>
        <v>196861.855377143</v>
      </c>
    </row>
    <row r="15" customFormat="false" ht="15" hidden="false" customHeight="false" outlineLevel="0" collapsed="false">
      <c r="A15" s="3" t="s">
        <v>95</v>
      </c>
      <c r="B15" s="11" t="n">
        <v>3</v>
      </c>
      <c r="C15" s="11" t="n">
        <v>2</v>
      </c>
      <c r="D15" s="3" t="n">
        <f aca="false">MAX(C15,Supuestos_Presupuesto!$B$21)</f>
        <v>2</v>
      </c>
      <c r="E15" s="5" t="n">
        <v>458699.2</v>
      </c>
      <c r="F15" s="12" t="n">
        <f aca="false">E15+(D15-1)*Supuestos_Presupuesto!$B$22</f>
        <v>518699.2</v>
      </c>
      <c r="G15" s="13" t="n">
        <f aca="false">Supuestos_Presupuesto!$B$9+(D15-1)*Supuestos_Presupuesto!$B$10</f>
        <v>409</v>
      </c>
      <c r="H15" s="12" t="n">
        <f aca="false">G15/Supuestos_Presupuesto!$B$11*Supuestos_Presupuesto!$B$12/(1+Supuestos_Presupuesto!$B$4)</f>
        <v>164974.789915966</v>
      </c>
      <c r="I15" s="12" t="n">
        <f aca="false">G15*Supuestos_Presupuesto!$B$14</f>
        <v>10225</v>
      </c>
      <c r="J15" s="12" t="n">
        <f aca="false">Supuestos_Presupuesto!$B$13</f>
        <v>50000</v>
      </c>
      <c r="K15" s="12" t="n">
        <f aca="false">Supuestos_Presupuesto!$B$8*Supuestos_Presupuesto!$B$15</f>
        <v>49500</v>
      </c>
      <c r="L15" s="12" t="n">
        <f aca="false">Supuestos_Presupuesto!$B$8*Supuestos_Presupuesto!$B$16</f>
        <v>18000</v>
      </c>
      <c r="M15" s="12" t="n">
        <f aca="false">Supuestos_Presupuesto!$B$8*Supuestos_Presupuesto!$B$23</f>
        <v>43750.5</v>
      </c>
      <c r="N15" s="12" t="n">
        <f aca="false">Supuestos_Presupuesto!$B$8*Supuestos_Presupuesto!$B$24</f>
        <v>37500</v>
      </c>
      <c r="O15" s="12" t="n">
        <f aca="false">F15*Supuestos_Presupuesto!$B$17</f>
        <v>41495.936</v>
      </c>
      <c r="P15" s="12" t="n">
        <f aca="false">F15*(1+Supuestos_Presupuesto!$B$4)*Supuestos_Presupuesto!$B$18</f>
        <v>18517.56144</v>
      </c>
      <c r="Q15" s="14" t="n">
        <f aca="false">F15-SUM(H15:P15)</f>
        <v>84735.4126440336</v>
      </c>
    </row>
    <row r="16" customFormat="false" ht="15" hidden="false" customHeight="false" outlineLevel="0" collapsed="false">
      <c r="A16" s="3" t="s">
        <v>96</v>
      </c>
      <c r="B16" s="11" t="n">
        <v>3</v>
      </c>
      <c r="C16" s="11" t="n">
        <v>1</v>
      </c>
      <c r="D16" s="3" t="n">
        <f aca="false">MAX(C16,Supuestos_Presupuesto!$B$21)</f>
        <v>2</v>
      </c>
      <c r="E16" s="5" t="n">
        <v>458699.2</v>
      </c>
      <c r="F16" s="12" t="n">
        <f aca="false">E16+(D16-1)*Supuestos_Presupuesto!$B$22</f>
        <v>518699.2</v>
      </c>
      <c r="G16" s="13" t="n">
        <f aca="false">Supuestos_Presupuesto!$B$9+(D16-1)*Supuestos_Presupuesto!$B$10</f>
        <v>409</v>
      </c>
      <c r="H16" s="12" t="n">
        <f aca="false">G16/Supuestos_Presupuesto!$B$11*Supuestos_Presupuesto!$B$12/(1+Supuestos_Presupuesto!$B$4)</f>
        <v>164974.789915966</v>
      </c>
      <c r="I16" s="12" t="n">
        <f aca="false">G16*Supuestos_Presupuesto!$B$14</f>
        <v>10225</v>
      </c>
      <c r="J16" s="12" t="n">
        <f aca="false">Supuestos_Presupuesto!$B$13</f>
        <v>50000</v>
      </c>
      <c r="K16" s="12" t="n">
        <f aca="false">Supuestos_Presupuesto!$B$8*Supuestos_Presupuesto!$B$15</f>
        <v>49500</v>
      </c>
      <c r="L16" s="12" t="n">
        <f aca="false">Supuestos_Presupuesto!$B$8*Supuestos_Presupuesto!$B$16</f>
        <v>18000</v>
      </c>
      <c r="M16" s="12" t="n">
        <f aca="false">Supuestos_Presupuesto!$B$8*Supuestos_Presupuesto!$B$23</f>
        <v>43750.5</v>
      </c>
      <c r="N16" s="12" t="n">
        <f aca="false">Supuestos_Presupuesto!$B$8*Supuestos_Presupuesto!$B$24</f>
        <v>37500</v>
      </c>
      <c r="O16" s="12" t="n">
        <f aca="false">F16*Supuestos_Presupuesto!$B$17</f>
        <v>41495.936</v>
      </c>
      <c r="P16" s="12" t="n">
        <f aca="false">F16*(1+Supuestos_Presupuesto!$B$4)*Supuestos_Presupuesto!$B$18</f>
        <v>18517.56144</v>
      </c>
      <c r="Q16" s="14" t="n">
        <f aca="false">F16-SUM(H16:P16)</f>
        <v>84735.4126440336</v>
      </c>
    </row>
    <row r="17" customFormat="false" ht="15" hidden="false" customHeight="false" outlineLevel="0" collapsed="false">
      <c r="A17" s="3" t="s">
        <v>97</v>
      </c>
      <c r="B17" s="11" t="n">
        <v>3</v>
      </c>
      <c r="C17" s="11" t="n">
        <v>1</v>
      </c>
      <c r="D17" s="3" t="n">
        <f aca="false">MAX(C17,Supuestos_Presupuesto!$B$21)</f>
        <v>2</v>
      </c>
      <c r="E17" s="5" t="n">
        <v>424296.76</v>
      </c>
      <c r="F17" s="12" t="n">
        <f aca="false">E17+(D17-1)*Supuestos_Presupuesto!$B$22</f>
        <v>484296.76</v>
      </c>
      <c r="G17" s="13" t="n">
        <f aca="false">Supuestos_Presupuesto!$B$9+(D17-1)*Supuestos_Presupuesto!$B$10</f>
        <v>409</v>
      </c>
      <c r="H17" s="12" t="n">
        <f aca="false">G17/Supuestos_Presupuesto!$B$11*Supuestos_Presupuesto!$B$12/(1+Supuestos_Presupuesto!$B$4)</f>
        <v>164974.789915966</v>
      </c>
      <c r="I17" s="12" t="n">
        <f aca="false">G17*Supuestos_Presupuesto!$B$14</f>
        <v>10225</v>
      </c>
      <c r="J17" s="12" t="n">
        <f aca="false">Supuestos_Presupuesto!$B$13</f>
        <v>50000</v>
      </c>
      <c r="K17" s="12" t="n">
        <f aca="false">Supuestos_Presupuesto!$B$8*Supuestos_Presupuesto!$B$15</f>
        <v>49500</v>
      </c>
      <c r="L17" s="12" t="n">
        <f aca="false">Supuestos_Presupuesto!$B$8*Supuestos_Presupuesto!$B$16</f>
        <v>18000</v>
      </c>
      <c r="M17" s="12" t="n">
        <f aca="false">Supuestos_Presupuesto!$B$8*Supuestos_Presupuesto!$B$23</f>
        <v>43750.5</v>
      </c>
      <c r="N17" s="12" t="n">
        <f aca="false">Supuestos_Presupuesto!$B$8*Supuestos_Presupuesto!$B$24</f>
        <v>37500</v>
      </c>
      <c r="O17" s="12" t="n">
        <f aca="false">F17*Supuestos_Presupuesto!$B$17</f>
        <v>38743.7408</v>
      </c>
      <c r="P17" s="12" t="n">
        <f aca="false">F17*(1+Supuestos_Presupuesto!$B$4)*Supuestos_Presupuesto!$B$18</f>
        <v>17289.394332</v>
      </c>
      <c r="Q17" s="14" t="n">
        <f aca="false">F17-SUM(H17:P17)</f>
        <v>54313.3349520337</v>
      </c>
    </row>
    <row r="18" customFormat="false" ht="15" hidden="false" customHeight="false" outlineLevel="0" collapsed="false">
      <c r="A18" s="3" t="s">
        <v>98</v>
      </c>
      <c r="B18" s="11" t="n">
        <v>2</v>
      </c>
      <c r="C18" s="11" t="n">
        <v>2</v>
      </c>
      <c r="D18" s="3" t="n">
        <f aca="false">MAX(C18,Supuestos_Presupuesto!$B$21)</f>
        <v>2</v>
      </c>
      <c r="E18" s="5" t="n">
        <v>481634.16</v>
      </c>
      <c r="F18" s="12" t="n">
        <f aca="false">E18+(D18-1)*Supuestos_Presupuesto!$B$22</f>
        <v>541634.16</v>
      </c>
      <c r="G18" s="13" t="n">
        <f aca="false">Supuestos_Presupuesto!$B$9+(D18-1)*Supuestos_Presupuesto!$B$10</f>
        <v>409</v>
      </c>
      <c r="H18" s="12" t="n">
        <f aca="false">G18/Supuestos_Presupuesto!$B$11*Supuestos_Presupuesto!$B$12/(1+Supuestos_Presupuesto!$B$4)</f>
        <v>164974.789915966</v>
      </c>
      <c r="I18" s="12" t="n">
        <f aca="false">G18*Supuestos_Presupuesto!$B$14</f>
        <v>10225</v>
      </c>
      <c r="J18" s="12" t="n">
        <f aca="false">Supuestos_Presupuesto!$B$13</f>
        <v>50000</v>
      </c>
      <c r="K18" s="12" t="n">
        <f aca="false">Supuestos_Presupuesto!$B$8*Supuestos_Presupuesto!$B$15</f>
        <v>49500</v>
      </c>
      <c r="L18" s="12" t="n">
        <f aca="false">Supuestos_Presupuesto!$B$8*Supuestos_Presupuesto!$B$16</f>
        <v>18000</v>
      </c>
      <c r="M18" s="12" t="n">
        <f aca="false">Supuestos_Presupuesto!$B$8*Supuestos_Presupuesto!$B$23</f>
        <v>43750.5</v>
      </c>
      <c r="N18" s="12" t="n">
        <f aca="false">Supuestos_Presupuesto!$B$8*Supuestos_Presupuesto!$B$24</f>
        <v>37500</v>
      </c>
      <c r="O18" s="12" t="n">
        <f aca="false">F18*Supuestos_Presupuesto!$B$17</f>
        <v>43330.7328</v>
      </c>
      <c r="P18" s="12" t="n">
        <f aca="false">F18*(1+Supuestos_Presupuesto!$B$4)*Supuestos_Presupuesto!$B$18</f>
        <v>19336.339512</v>
      </c>
      <c r="Q18" s="14" t="n">
        <f aca="false">F18-SUM(H18:P18)</f>
        <v>105016.797772034</v>
      </c>
    </row>
    <row r="19" customFormat="false" ht="15" hidden="false" customHeight="false" outlineLevel="0" collapsed="false">
      <c r="A19" s="3" t="s">
        <v>99</v>
      </c>
      <c r="B19" s="11" t="n">
        <v>2</v>
      </c>
      <c r="C19" s="11" t="n">
        <v>3</v>
      </c>
      <c r="D19" s="3" t="n">
        <f aca="false">MAX(C19,Supuestos_Presupuesto!$B$21)</f>
        <v>3</v>
      </c>
      <c r="E19" s="5" t="n">
        <v>516036.6</v>
      </c>
      <c r="F19" s="12" t="n">
        <f aca="false">E19+(D19-1)*Supuestos_Presupuesto!$B$22</f>
        <v>636036.6</v>
      </c>
      <c r="G19" s="13" t="n">
        <f aca="false">Supuestos_Presupuesto!$B$9+(D19-1)*Supuestos_Presupuesto!$B$10</f>
        <v>459</v>
      </c>
      <c r="H19" s="12" t="n">
        <f aca="false">G19/Supuestos_Presupuesto!$B$11*Supuestos_Presupuesto!$B$12/(1+Supuestos_Presupuesto!$B$4)</f>
        <v>185142.857142857</v>
      </c>
      <c r="I19" s="12" t="n">
        <f aca="false">G19*Supuestos_Presupuesto!$B$14</f>
        <v>11475</v>
      </c>
      <c r="J19" s="12" t="n">
        <f aca="false">Supuestos_Presupuesto!$B$13</f>
        <v>50000</v>
      </c>
      <c r="K19" s="12" t="n">
        <f aca="false">Supuestos_Presupuesto!$B$8*Supuestos_Presupuesto!$B$15</f>
        <v>49500</v>
      </c>
      <c r="L19" s="12" t="n">
        <f aca="false">Supuestos_Presupuesto!$B$8*Supuestos_Presupuesto!$B$16</f>
        <v>18000</v>
      </c>
      <c r="M19" s="12" t="n">
        <f aca="false">Supuestos_Presupuesto!$B$8*Supuestos_Presupuesto!$B$23</f>
        <v>43750.5</v>
      </c>
      <c r="N19" s="12" t="n">
        <f aca="false">Supuestos_Presupuesto!$B$8*Supuestos_Presupuesto!$B$24</f>
        <v>37500</v>
      </c>
      <c r="O19" s="12" t="n">
        <f aca="false">F19*Supuestos_Presupuesto!$B$17</f>
        <v>50882.928</v>
      </c>
      <c r="P19" s="12" t="n">
        <f aca="false">F19*(1+Supuestos_Presupuesto!$B$4)*Supuestos_Presupuesto!$B$18</f>
        <v>22706.50662</v>
      </c>
      <c r="Q19" s="14" t="n">
        <f aca="false">F19-SUM(H19:P19)</f>
        <v>167078.808237143</v>
      </c>
    </row>
    <row r="20" customFormat="false" ht="15" hidden="false" customHeight="false" outlineLevel="0" collapsed="false">
      <c r="A20" s="3" t="s">
        <v>100</v>
      </c>
      <c r="B20" s="11" t="n">
        <v>2</v>
      </c>
      <c r="C20" s="11" t="n">
        <v>1</v>
      </c>
      <c r="D20" s="3" t="n">
        <f aca="false">MAX(C20,Supuestos_Presupuesto!$B$21)</f>
        <v>2</v>
      </c>
      <c r="E20" s="5" t="n">
        <v>458699.2</v>
      </c>
      <c r="F20" s="12" t="n">
        <f aca="false">E20+(D20-1)*Supuestos_Presupuesto!$B$22</f>
        <v>518699.2</v>
      </c>
      <c r="G20" s="13" t="n">
        <f aca="false">Supuestos_Presupuesto!$B$9+(D20-1)*Supuestos_Presupuesto!$B$10</f>
        <v>409</v>
      </c>
      <c r="H20" s="12" t="n">
        <f aca="false">G20/Supuestos_Presupuesto!$B$11*Supuestos_Presupuesto!$B$12/(1+Supuestos_Presupuesto!$B$4)</f>
        <v>164974.789915966</v>
      </c>
      <c r="I20" s="12" t="n">
        <f aca="false">G20*Supuestos_Presupuesto!$B$14</f>
        <v>10225</v>
      </c>
      <c r="J20" s="12" t="n">
        <f aca="false">Supuestos_Presupuesto!$B$13</f>
        <v>50000</v>
      </c>
      <c r="K20" s="12" t="n">
        <f aca="false">Supuestos_Presupuesto!$B$8*Supuestos_Presupuesto!$B$15</f>
        <v>49500</v>
      </c>
      <c r="L20" s="12" t="n">
        <f aca="false">Supuestos_Presupuesto!$B$8*Supuestos_Presupuesto!$B$16</f>
        <v>18000</v>
      </c>
      <c r="M20" s="12" t="n">
        <f aca="false">Supuestos_Presupuesto!$B$8*Supuestos_Presupuesto!$B$23</f>
        <v>43750.5</v>
      </c>
      <c r="N20" s="12" t="n">
        <f aca="false">Supuestos_Presupuesto!$B$8*Supuestos_Presupuesto!$B$24</f>
        <v>37500</v>
      </c>
      <c r="O20" s="12" t="n">
        <f aca="false">F20*Supuestos_Presupuesto!$B$17</f>
        <v>41495.936</v>
      </c>
      <c r="P20" s="12" t="n">
        <f aca="false">F20*(1+Supuestos_Presupuesto!$B$4)*Supuestos_Presupuesto!$B$18</f>
        <v>18517.56144</v>
      </c>
      <c r="Q20" s="14" t="n">
        <f aca="false">F20-SUM(H20:P20)</f>
        <v>84735.4126440336</v>
      </c>
    </row>
    <row r="21" customFormat="false" ht="15" hidden="false" customHeight="false" outlineLevel="0" collapsed="false">
      <c r="A21" s="3" t="s">
        <v>101</v>
      </c>
      <c r="B21" s="11" t="n">
        <v>2</v>
      </c>
      <c r="C21" s="11" t="n">
        <v>1</v>
      </c>
      <c r="D21" s="3" t="n">
        <f aca="false">MAX(C21,Supuestos_Presupuesto!$B$21)</f>
        <v>2</v>
      </c>
      <c r="E21" s="5" t="n">
        <v>458699.2</v>
      </c>
      <c r="F21" s="12" t="n">
        <f aca="false">E21+(D21-1)*Supuestos_Presupuesto!$B$22</f>
        <v>518699.2</v>
      </c>
      <c r="G21" s="13" t="n">
        <f aca="false">Supuestos_Presupuesto!$B$9+(D21-1)*Supuestos_Presupuesto!$B$10</f>
        <v>409</v>
      </c>
      <c r="H21" s="12" t="n">
        <f aca="false">G21/Supuestos_Presupuesto!$B$11*Supuestos_Presupuesto!$B$12/(1+Supuestos_Presupuesto!$B$4)</f>
        <v>164974.789915966</v>
      </c>
      <c r="I21" s="12" t="n">
        <f aca="false">G21*Supuestos_Presupuesto!$B$14</f>
        <v>10225</v>
      </c>
      <c r="J21" s="12" t="n">
        <f aca="false">Supuestos_Presupuesto!$B$13</f>
        <v>50000</v>
      </c>
      <c r="K21" s="12" t="n">
        <f aca="false">Supuestos_Presupuesto!$B$8*Supuestos_Presupuesto!$B$15</f>
        <v>49500</v>
      </c>
      <c r="L21" s="12" t="n">
        <f aca="false">Supuestos_Presupuesto!$B$8*Supuestos_Presupuesto!$B$16</f>
        <v>18000</v>
      </c>
      <c r="M21" s="12" t="n">
        <f aca="false">Supuestos_Presupuesto!$B$8*Supuestos_Presupuesto!$B$23</f>
        <v>43750.5</v>
      </c>
      <c r="N21" s="12" t="n">
        <f aca="false">Supuestos_Presupuesto!$B$8*Supuestos_Presupuesto!$B$24</f>
        <v>37500</v>
      </c>
      <c r="O21" s="12" t="n">
        <f aca="false">F21*Supuestos_Presupuesto!$B$17</f>
        <v>41495.936</v>
      </c>
      <c r="P21" s="12" t="n">
        <f aca="false">F21*(1+Supuestos_Presupuesto!$B$4)*Supuestos_Presupuesto!$B$18</f>
        <v>18517.56144</v>
      </c>
      <c r="Q21" s="14" t="n">
        <f aca="false">F21-SUM(H21:P21)</f>
        <v>84735.4126440336</v>
      </c>
    </row>
    <row r="22" customFormat="false" ht="15" hidden="false" customHeight="false" outlineLevel="0" collapsed="false">
      <c r="A22" s="15" t="s">
        <v>102</v>
      </c>
      <c r="B22" s="15" t="n">
        <f aca="false">SUM(B7:B21)</f>
        <v>60</v>
      </c>
      <c r="D22" s="16" t="n">
        <f aca="false">SUMPRODUCT($B$7:$B$21,D7:D21)/B22</f>
        <v>2.08333333333333</v>
      </c>
      <c r="F22" s="17" t="n">
        <f aca="false">SUMPRODUCT($B$7:$B$21,F7:F21)/B22</f>
        <v>557705.767333333</v>
      </c>
      <c r="G22" s="16" t="n">
        <f aca="false">SUMPRODUCT($B$7:$B$21,G7:G21)/B22</f>
        <v>413.166666666667</v>
      </c>
      <c r="Q22" s="17" t="n">
        <f aca="false">SUMPRODUCT($B$7:$B$21,Q7:Q21)/B22</f>
        <v>117444.081201326</v>
      </c>
    </row>
    <row r="24" customFormat="false" ht="15" hidden="false" customHeight="false" outlineLevel="0" collapsed="false">
      <c r="A24" s="3" t="s">
        <v>103</v>
      </c>
      <c r="B24" s="12" t="n">
        <f aca="false">Supuestos_Presupuesto!$B$19*Supuestos_Presupuesto!$B$7*F22</f>
        <v>14500349.9506667</v>
      </c>
      <c r="C24" s="12" t="n">
        <f aca="false">Supuestos_Presupuesto!$B$20*Supuestos_Presupuesto!$B$7*F22</f>
        <v>21750524.926</v>
      </c>
    </row>
    <row r="25" customFormat="false" ht="15" hidden="false" customHeight="false" outlineLevel="0" collapsed="false">
      <c r="A25" s="3" t="s">
        <v>104</v>
      </c>
      <c r="B25" s="12" t="n">
        <f aca="false">B24*Supuestos_Presupuesto!$B$4</f>
        <v>2755066.49062667</v>
      </c>
      <c r="C25" s="12" t="n">
        <f aca="false">C24*Supuestos_Presupuesto!$B$4</f>
        <v>4132599.73594</v>
      </c>
    </row>
    <row r="26" customFormat="false" ht="15" hidden="false" customHeight="false" outlineLevel="0" collapsed="false">
      <c r="A26" s="18" t="s">
        <v>105</v>
      </c>
      <c r="B26" s="14" t="n">
        <f aca="false">B24*(1+Supuestos_Presupuesto!$B$4)</f>
        <v>17255416.4412933</v>
      </c>
      <c r="C26" s="14" t="n">
        <f aca="false">C24*(1+Supuestos_Presupuesto!$B$4)</f>
        <v>25883124.66194</v>
      </c>
    </row>
    <row r="28" customFormat="false" ht="15" hidden="false" customHeight="false" outlineLevel="0" collapsed="false">
      <c r="A28" s="2" t="s">
        <v>106</v>
      </c>
      <c r="B28" s="2"/>
      <c r="C28" s="2"/>
    </row>
    <row r="29" customFormat="false" ht="15" hidden="false" customHeight="false" outlineLevel="0" collapsed="false">
      <c r="A29" s="3" t="s">
        <v>107</v>
      </c>
      <c r="B29" s="12" t="n">
        <f aca="false">Supuestos_Presupuesto!$B$19*Supuestos_Presupuesto!$B$7*G22/Supuestos_Presupuesto!$B$11*Supuestos_Presupuesto!$B$12/(1+Supuestos_Presupuesto!$B$4)</f>
        <v>4333042.01680672</v>
      </c>
      <c r="C29" s="12" t="n">
        <f aca="false">Supuestos_Presupuesto!$B$20*Supuestos_Presupuesto!$B$7*G22/Supuestos_Presupuesto!$B$11*Supuestos_Presupuesto!$B$12/(1+Supuestos_Presupuesto!$B$4)</f>
        <v>6499563.02521008</v>
      </c>
    </row>
    <row r="30" customFormat="false" ht="15" hidden="false" customHeight="false" outlineLevel="0" collapsed="false">
      <c r="A30" s="3" t="s">
        <v>108</v>
      </c>
      <c r="B30" s="12" t="n">
        <f aca="false">Supuestos_Presupuesto!$B$19*Supuestos_Presupuesto!$B$7*Supuestos_Presupuesto!$B$13</f>
        <v>1300000</v>
      </c>
      <c r="C30" s="12" t="n">
        <f aca="false">Supuestos_Presupuesto!$B$20*Supuestos_Presupuesto!$B$7*Supuestos_Presupuesto!$B$13</f>
        <v>1950000</v>
      </c>
    </row>
    <row r="31" customFormat="false" ht="15" hidden="false" customHeight="false" outlineLevel="0" collapsed="false">
      <c r="A31" s="3" t="s">
        <v>109</v>
      </c>
      <c r="B31" s="12" t="n">
        <f aca="false">Supuestos_Presupuesto!$B$19*Supuestos_Presupuesto!$B$7*G22*Supuestos_Presupuesto!$B$14</f>
        <v>268558.333333333</v>
      </c>
      <c r="C31" s="12" t="n">
        <f aca="false">Supuestos_Presupuesto!$B$20*Supuestos_Presupuesto!$B$7*G22*Supuestos_Presupuesto!$B$14</f>
        <v>402837.5</v>
      </c>
    </row>
    <row r="32" customFormat="false" ht="15" hidden="false" customHeight="false" outlineLevel="0" collapsed="false">
      <c r="A32" s="3" t="s">
        <v>110</v>
      </c>
      <c r="B32" s="12" t="n">
        <f aca="false">Supuestos_Presupuesto!$B$19*Supuestos_Presupuesto!$B$7*Supuestos_Presupuesto!$B$8*Supuestos_Presupuesto!$B$15</f>
        <v>1287000</v>
      </c>
      <c r="C32" s="12" t="n">
        <f aca="false">Supuestos_Presupuesto!$B$20*Supuestos_Presupuesto!$B$7*Supuestos_Presupuesto!$B$8*Supuestos_Presupuesto!$B$15</f>
        <v>1930500</v>
      </c>
    </row>
    <row r="33" customFormat="false" ht="15" hidden="false" customHeight="false" outlineLevel="0" collapsed="false">
      <c r="A33" s="3" t="s">
        <v>81</v>
      </c>
      <c r="B33" s="12" t="n">
        <f aca="false">Supuestos_Presupuesto!$B$19*Supuestos_Presupuesto!$B$7*Supuestos_Presupuesto!$B$8*Supuestos_Presupuesto!$B$16</f>
        <v>468000</v>
      </c>
      <c r="C33" s="12" t="n">
        <f aca="false">Supuestos_Presupuesto!$B$20*Supuestos_Presupuesto!$B$7*Supuestos_Presupuesto!$B$8*Supuestos_Presupuesto!$B$16</f>
        <v>702000</v>
      </c>
    </row>
    <row r="34" customFormat="false" ht="15" hidden="false" customHeight="false" outlineLevel="0" collapsed="false">
      <c r="A34" s="3" t="s">
        <v>111</v>
      </c>
      <c r="B34" s="12" t="n">
        <f aca="false">B24*Supuestos_Presupuesto!$B$17</f>
        <v>1160027.99605333</v>
      </c>
      <c r="C34" s="12" t="n">
        <f aca="false">C24*Supuestos_Presupuesto!$B$17</f>
        <v>1740041.99408</v>
      </c>
    </row>
    <row r="35" customFormat="false" ht="15" hidden="false" customHeight="false" outlineLevel="0" collapsed="false">
      <c r="A35" s="3" t="s">
        <v>112</v>
      </c>
      <c r="B35" s="12" t="n">
        <f aca="false">Supuestos_Presupuesto!$B$19*Supuestos_Presupuesto!$B$7*Supuestos_Presupuesto!$B$8*Supuestos_Presupuesto!$B$24</f>
        <v>975000</v>
      </c>
      <c r="C35" s="12" t="n">
        <f aca="false">Supuestos_Presupuesto!$B$20*Supuestos_Presupuesto!$B$7*Supuestos_Presupuesto!$B$8*Supuestos_Presupuesto!$B$24</f>
        <v>1462500</v>
      </c>
    </row>
    <row r="36" customFormat="false" ht="15" hidden="false" customHeight="false" outlineLevel="0" collapsed="false">
      <c r="A36" s="3" t="s">
        <v>113</v>
      </c>
      <c r="B36" s="12" t="n">
        <f aca="false">Supuestos_Presupuesto!$B$19*Supuestos_Presupuesto!$B$7*Supuestos_Presupuesto!$B$8*Supuestos_Presupuesto!$B$23</f>
        <v>1137513</v>
      </c>
      <c r="C36" s="12" t="n">
        <f aca="false">Supuestos_Presupuesto!$B$20*Supuestos_Presupuesto!$B$7*Supuestos_Presupuesto!$B$8*Supuestos_Presupuesto!$B$23</f>
        <v>1706269.5</v>
      </c>
    </row>
    <row r="37" customFormat="false" ht="15" hidden="false" customHeight="false" outlineLevel="0" collapsed="false">
      <c r="A37" s="15" t="s">
        <v>114</v>
      </c>
      <c r="B37" s="17" t="n">
        <f aca="false">B29+B30+B31+B32+B33+B34+B35+B36</f>
        <v>10929141.3461934</v>
      </c>
      <c r="C37" s="17" t="n">
        <f aca="false">C29+C30+C31+C32+C33+C34+C35+C36</f>
        <v>16393712.0192901</v>
      </c>
    </row>
    <row r="38" customFormat="false" ht="15" hidden="false" customHeight="false" outlineLevel="0" collapsed="false">
      <c r="A38" s="19" t="s">
        <v>115</v>
      </c>
      <c r="B38" s="20" t="n">
        <f aca="false">Supuestos_Presupuesto!$B$19*Supuestos_Presupuesto!$B$7*G22/Supuestos_Presupuesto!$B$11*Supuestos_Presupuesto!$B$12</f>
        <v>5156320</v>
      </c>
      <c r="C38" s="20" t="n">
        <f aca="false">Supuestos_Presupuesto!$B$20*Supuestos_Presupuesto!$B$7*G22/Supuestos_Presupuesto!$B$11*Supuestos_Presupuesto!$B$12</f>
        <v>7734480</v>
      </c>
    </row>
    <row r="40" customFormat="false" ht="15" hidden="false" customHeight="false" outlineLevel="0" collapsed="false">
      <c r="A40" s="18" t="s">
        <v>116</v>
      </c>
      <c r="B40" s="14" t="n">
        <f aca="false">B24-B37</f>
        <v>3571208.60447328</v>
      </c>
      <c r="C40" s="14" t="n">
        <f aca="false">C24-C37</f>
        <v>5356812.90670992</v>
      </c>
    </row>
    <row r="41" customFormat="false" ht="15" hidden="false" customHeight="false" outlineLevel="0" collapsed="false">
      <c r="A41" s="3" t="s">
        <v>117</v>
      </c>
      <c r="B41" s="12" t="n">
        <f aca="false">B24*(1+Supuestos_Presupuesto!$B$4)*Supuestos_Presupuesto!$B$18</f>
        <v>517662.4932388</v>
      </c>
      <c r="C41" s="12" t="n">
        <f aca="false">C24*(1+Supuestos_Presupuesto!$B$4)*Supuestos_Presupuesto!$B$18</f>
        <v>776493.7398582</v>
      </c>
    </row>
    <row r="42" customFormat="false" ht="15" hidden="false" customHeight="false" outlineLevel="0" collapsed="false">
      <c r="A42" s="15" t="s">
        <v>118</v>
      </c>
      <c r="B42" s="17" t="n">
        <f aca="false">B40-B41</f>
        <v>3053546.11123448</v>
      </c>
      <c r="C42" s="17" t="n">
        <f aca="false">C40-C41</f>
        <v>4580319.16685172</v>
      </c>
    </row>
    <row r="44" customFormat="false" ht="15" hidden="false" customHeight="false" outlineLevel="0" collapsed="false">
      <c r="A44" s="2" t="s">
        <v>119</v>
      </c>
      <c r="B44" s="2"/>
      <c r="C44" s="2"/>
    </row>
    <row r="45" customFormat="false" ht="15" hidden="false" customHeight="false" outlineLevel="0" collapsed="false">
      <c r="A45" s="3" t="s">
        <v>120</v>
      </c>
      <c r="B45" s="13" t="n">
        <f aca="false">Supuestos_Presupuesto!$B$19*Supuestos_Presupuesto!$B$7*G22</f>
        <v>10742.3333333333</v>
      </c>
      <c r="C45" s="13" t="n">
        <f aca="false">Supuestos_Presupuesto!$B$20*Supuestos_Presupuesto!$B$7*G22</f>
        <v>16113.5</v>
      </c>
    </row>
    <row r="46" customFormat="false" ht="15" hidden="false" customHeight="false" outlineLevel="0" collapsed="false">
      <c r="A46" s="3" t="s">
        <v>121</v>
      </c>
      <c r="B46" s="21" t="n">
        <f aca="false">B36/B45</f>
        <v>105.890681726503</v>
      </c>
      <c r="C46" s="21" t="n">
        <f aca="false">C36/C45</f>
        <v>105.890681726503</v>
      </c>
    </row>
    <row r="47" customFormat="false" ht="15" hidden="false" customHeight="false" outlineLevel="0" collapsed="false">
      <c r="A47" s="3" t="s">
        <v>122</v>
      </c>
      <c r="B47" s="21" t="n">
        <f aca="false">(B29+B31+B30)/B45</f>
        <v>549.377883464802</v>
      </c>
      <c r="C47" s="21" t="n">
        <f aca="false">(C29+C31+C30)/C45</f>
        <v>549.377883464802</v>
      </c>
    </row>
    <row r="48" customFormat="false" ht="15" hidden="false" customHeight="false" outlineLevel="0" collapsed="false">
      <c r="A48" s="3" t="s">
        <v>123</v>
      </c>
      <c r="B48" s="21" t="n">
        <f aca="false">(B32+B33+B34)/B45</f>
        <v>271.358922275111</v>
      </c>
      <c r="C48" s="21" t="n">
        <f aca="false">(C32+C33+C34)/C45</f>
        <v>271.358922275111</v>
      </c>
    </row>
    <row r="49" customFormat="false" ht="15" hidden="false" customHeight="false" outlineLevel="0" collapsed="false">
      <c r="A49" s="3" t="s">
        <v>124</v>
      </c>
      <c r="B49" s="21" t="n">
        <f aca="false">B35/B45</f>
        <v>90.76240419524</v>
      </c>
      <c r="C49" s="21" t="n">
        <f aca="false">C35/C45</f>
        <v>90.76240419524</v>
      </c>
    </row>
    <row r="50" customFormat="false" ht="15" hidden="false" customHeight="false" outlineLevel="0" collapsed="false">
      <c r="A50" s="15" t="s">
        <v>125</v>
      </c>
      <c r="B50" s="22" t="n">
        <f aca="false">B37/B45</f>
        <v>1017.38989166166</v>
      </c>
      <c r="C50" s="22" t="n">
        <f aca="false">C37/C45</f>
        <v>1017.38989166166</v>
      </c>
    </row>
    <row r="51" customFormat="false" ht="15" hidden="false" customHeight="false" outlineLevel="0" collapsed="false">
      <c r="A51" s="3" t="s">
        <v>126</v>
      </c>
      <c r="B51" s="21" t="n">
        <f aca="false">B24/B45</f>
        <v>1349.83243404599</v>
      </c>
      <c r="C51" s="21" t="n">
        <f aca="false">C24/C45</f>
        <v>1349.83243404599</v>
      </c>
    </row>
    <row r="52" customFormat="false" ht="15" hidden="false" customHeight="false" outlineLevel="0" collapsed="false">
      <c r="A52" s="18" t="s">
        <v>127</v>
      </c>
      <c r="B52" s="23" t="n">
        <f aca="false">B51-B50</f>
        <v>332.442542384331</v>
      </c>
      <c r="C52" s="23" t="n">
        <f aca="false">C51-C50</f>
        <v>332.442542384331</v>
      </c>
    </row>
    <row r="54" customFormat="false" ht="15" hidden="false" customHeight="false" outlineLevel="0" collapsed="false">
      <c r="A54" s="2" t="s">
        <v>128</v>
      </c>
      <c r="B54" s="2"/>
      <c r="C54" s="2"/>
    </row>
    <row r="55" customFormat="false" ht="25.5" hidden="false" customHeight="true" outlineLevel="0" collapsed="false">
      <c r="A55" s="24" t="s">
        <v>129</v>
      </c>
      <c r="B55" s="24"/>
      <c r="C55" s="24"/>
    </row>
    <row r="56" customFormat="false" ht="25.5" hidden="false" customHeight="true" outlineLevel="0" collapsed="false">
      <c r="A56" s="24" t="s">
        <v>130</v>
      </c>
      <c r="B56" s="24"/>
      <c r="C56" s="24"/>
    </row>
    <row r="57" customFormat="false" ht="25.5" hidden="false" customHeight="true" outlineLevel="0" collapsed="false">
      <c r="A57" s="24" t="s">
        <v>131</v>
      </c>
      <c r="B57" s="24"/>
      <c r="C57" s="24"/>
    </row>
    <row r="58" customFormat="false" ht="25.5" hidden="false" customHeight="true" outlineLevel="0" collapsed="false">
      <c r="A58" s="24" t="s">
        <v>132</v>
      </c>
      <c r="B58" s="24"/>
      <c r="C58" s="24"/>
    </row>
    <row r="59" customFormat="false" ht="25.5" hidden="false" customHeight="true" outlineLevel="0" collapsed="false">
      <c r="A59" s="24" t="s">
        <v>133</v>
      </c>
      <c r="B59" s="24"/>
      <c r="C59" s="24"/>
    </row>
  </sheetData>
  <mergeCells count="11">
    <mergeCell ref="A1:C1"/>
    <mergeCell ref="A4:Q4"/>
    <mergeCell ref="A5:Q5"/>
    <mergeCell ref="A28:C28"/>
    <mergeCell ref="A44:C44"/>
    <mergeCell ref="A54:C54"/>
    <mergeCell ref="A55:C55"/>
    <mergeCell ref="A56:C56"/>
    <mergeCell ref="A57:C57"/>
    <mergeCell ref="A58:C58"/>
    <mergeCell ref="A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7"/>
  </cols>
  <sheetData>
    <row r="1" customFormat="false" ht="16.15" hidden="false" customHeight="false" outlineLevel="0" collapsed="false">
      <c r="A1" s="1" t="s">
        <v>134</v>
      </c>
      <c r="B1" s="1"/>
      <c r="C1" s="1"/>
    </row>
    <row r="3" customFormat="false" ht="15" hidden="false" customHeight="false" outlineLevel="0" collapsed="false">
      <c r="A3" s="9" t="s">
        <v>65</v>
      </c>
      <c r="B3" s="9" t="s">
        <v>66</v>
      </c>
      <c r="C3" s="9" t="s">
        <v>67</v>
      </c>
    </row>
    <row r="4" customFormat="false" ht="15" hidden="false" customHeight="false" outlineLevel="0" collapsed="false">
      <c r="A4" s="3" t="s">
        <v>135</v>
      </c>
      <c r="B4" s="12" t="n">
        <f aca="false">Supuestos_Presupuesto!$B$39*Supuestos_Presupuesto!$B$38*Supuestos_Presupuesto!$B$27</f>
        <v>10207768</v>
      </c>
      <c r="C4" s="12" t="n">
        <f aca="false">Supuestos_Presupuesto!$B$40*Supuestos_Presupuesto!$B$38*Supuestos_Presupuesto!$B$27</f>
        <v>10207768</v>
      </c>
    </row>
    <row r="5" customFormat="false" ht="15" hidden="false" customHeight="false" outlineLevel="0" collapsed="false">
      <c r="A5" s="3" t="s">
        <v>104</v>
      </c>
      <c r="B5" s="12" t="n">
        <f aca="false">B4*Supuestos_Presupuesto!$B$4</f>
        <v>1939475.92</v>
      </c>
      <c r="C5" s="12" t="n">
        <f aca="false">C4*Supuestos_Presupuesto!$B$4</f>
        <v>1939475.92</v>
      </c>
    </row>
    <row r="6" customFormat="false" ht="15" hidden="false" customHeight="false" outlineLevel="0" collapsed="false">
      <c r="A6" s="18" t="s">
        <v>105</v>
      </c>
      <c r="B6" s="14" t="n">
        <f aca="false">B4*(1+Supuestos_Presupuesto!$B$4)</f>
        <v>12147243.92</v>
      </c>
      <c r="C6" s="14" t="n">
        <f aca="false">C4*(1+Supuestos_Presupuesto!$B$4)</f>
        <v>12147243.92</v>
      </c>
    </row>
    <row r="8" customFormat="false" ht="15" hidden="false" customHeight="false" outlineLevel="0" collapsed="false">
      <c r="A8" s="2" t="s">
        <v>106</v>
      </c>
      <c r="B8" s="2"/>
      <c r="C8" s="2"/>
    </row>
    <row r="9" customFormat="false" ht="15" hidden="false" customHeight="false" outlineLevel="0" collapsed="false">
      <c r="A9" s="3" t="s">
        <v>107</v>
      </c>
      <c r="B9" s="12" t="n">
        <f aca="false">Supuestos_Presupuesto!$B$39*Supuestos_Presupuesto!$B$38*Supuestos_Presupuesto!$B$28/(1+Supuestos_Presupuesto!$B$4)</f>
        <v>2403361.34453782</v>
      </c>
      <c r="C9" s="12" t="n">
        <f aca="false">Supuestos_Presupuesto!$B$40*Supuestos_Presupuesto!$B$38*Supuestos_Presupuesto!$B$28/(1+Supuestos_Presupuesto!$B$4)</f>
        <v>2403361.34453782</v>
      </c>
    </row>
    <row r="10" customFormat="false" ht="15" hidden="false" customHeight="false" outlineLevel="0" collapsed="false">
      <c r="A10" s="3" t="s">
        <v>136</v>
      </c>
      <c r="B10" s="12" t="n">
        <f aca="false">Supuestos_Presupuesto!$B$39*Supuestos_Presupuesto!$B$38*Supuestos_Presupuesto!$B$31</f>
        <v>1426440</v>
      </c>
      <c r="C10" s="12" t="n">
        <f aca="false">Supuestos_Presupuesto!$B$40*Supuestos_Presupuesto!$B$38*Supuestos_Presupuesto!$B$31</f>
        <v>1426440</v>
      </c>
    </row>
    <row r="11" customFormat="false" ht="15" hidden="false" customHeight="false" outlineLevel="0" collapsed="false">
      <c r="A11" s="3" t="s">
        <v>109</v>
      </c>
      <c r="B11" s="12" t="n">
        <f aca="false">Supuestos_Presupuesto!$B$39*Supuestos_Presupuesto!$B$38*Supuestos_Presupuesto!$B$29</f>
        <v>190690</v>
      </c>
      <c r="C11" s="12" t="n">
        <f aca="false">Supuestos_Presupuesto!$B$40*Supuestos_Presupuesto!$B$38*Supuestos_Presupuesto!$B$29</f>
        <v>190690</v>
      </c>
    </row>
    <row r="12" customFormat="false" ht="15" hidden="false" customHeight="false" outlineLevel="0" collapsed="false">
      <c r="A12" s="3" t="s">
        <v>110</v>
      </c>
      <c r="B12" s="12" t="n">
        <f aca="false">Supuestos_Presupuesto!$B$39*Supuestos_Presupuesto!$B$38*Supuestos_Presupuesto!$B$32</f>
        <v>660000</v>
      </c>
      <c r="C12" s="12" t="n">
        <f aca="false">Supuestos_Presupuesto!$B$40*Supuestos_Presupuesto!$B$38*Supuestos_Presupuesto!$B$32</f>
        <v>660000</v>
      </c>
    </row>
    <row r="13" customFormat="false" ht="15" hidden="false" customHeight="false" outlineLevel="0" collapsed="false">
      <c r="A13" s="3" t="s">
        <v>81</v>
      </c>
      <c r="B13" s="12" t="n">
        <f aca="false">Supuestos_Presupuesto!$B$39*Supuestos_Presupuesto!$B$38*Supuestos_Presupuesto!$B$33</f>
        <v>240000</v>
      </c>
      <c r="C13" s="12" t="n">
        <f aca="false">Supuestos_Presupuesto!$B$40*Supuestos_Presupuesto!$B$38*Supuestos_Presupuesto!$B$33</f>
        <v>240000</v>
      </c>
    </row>
    <row r="14" customFormat="false" ht="15" hidden="false" customHeight="false" outlineLevel="0" collapsed="false">
      <c r="A14" s="3" t="s">
        <v>111</v>
      </c>
      <c r="B14" s="12" t="n">
        <f aca="false">Supuestos_Presupuesto!$B$39*Supuestos_Presupuesto!$B$38*Supuestos_Presupuesto!$B$35</f>
        <v>816620</v>
      </c>
      <c r="C14" s="12" t="n">
        <f aca="false">Supuestos_Presupuesto!$B$40*Supuestos_Presupuesto!$B$38*Supuestos_Presupuesto!$B$35</f>
        <v>816620</v>
      </c>
    </row>
    <row r="15" customFormat="false" ht="15" hidden="false" customHeight="false" outlineLevel="0" collapsed="false">
      <c r="A15" s="3" t="s">
        <v>137</v>
      </c>
      <c r="B15" s="12" t="n">
        <f aca="false">Supuestos_Presupuesto!$B$39*Supuestos_Presupuesto!$B$38*Supuestos_Presupuesto!$B$30</f>
        <v>500000</v>
      </c>
      <c r="C15" s="12" t="n">
        <f aca="false">Supuestos_Presupuesto!$B$40*Supuestos_Presupuesto!$B$38*Supuestos_Presupuesto!$B$30</f>
        <v>500000</v>
      </c>
    </row>
    <row r="16" customFormat="false" ht="15" hidden="false" customHeight="false" outlineLevel="0" collapsed="false">
      <c r="A16" s="3" t="s">
        <v>138</v>
      </c>
      <c r="B16" s="12" t="n">
        <f aca="false">Supuestos_Presupuesto!$B$39*Supuestos_Presupuesto!$B$38*Supuestos_Presupuesto!$B$34</f>
        <v>720000</v>
      </c>
      <c r="C16" s="12" t="n">
        <f aca="false">Supuestos_Presupuesto!$B$40*Supuestos_Presupuesto!$B$38*Supuestos_Presupuesto!$B$34</f>
        <v>720000</v>
      </c>
    </row>
    <row r="17" customFormat="false" ht="15" hidden="false" customHeight="false" outlineLevel="0" collapsed="false">
      <c r="A17" s="15" t="s">
        <v>114</v>
      </c>
      <c r="B17" s="17" t="n">
        <f aca="false">B9+B10+B11+B12+B13+B14+B15+B16</f>
        <v>6957111.34453782</v>
      </c>
      <c r="C17" s="17" t="n">
        <f aca="false">C9+C10+C11+C12+C13+C14+C15+C16</f>
        <v>6957111.34453782</v>
      </c>
    </row>
    <row r="18" customFormat="false" ht="15" hidden="false" customHeight="false" outlineLevel="0" collapsed="false">
      <c r="A18" s="19" t="s">
        <v>115</v>
      </c>
      <c r="B18" s="20" t="n">
        <f aca="false">Supuestos_Presupuesto!$B$39*Supuestos_Presupuesto!$B$38*Supuestos_Presupuesto!$B$28</f>
        <v>2860000</v>
      </c>
      <c r="C18" s="20" t="n">
        <f aca="false">Supuestos_Presupuesto!$B$40*Supuestos_Presupuesto!$B$38*Supuestos_Presupuesto!$B$28</f>
        <v>2860000</v>
      </c>
    </row>
    <row r="20" customFormat="false" ht="15" hidden="false" customHeight="false" outlineLevel="0" collapsed="false">
      <c r="A20" s="18" t="s">
        <v>116</v>
      </c>
      <c r="B20" s="14" t="n">
        <f aca="false">B4-B17</f>
        <v>3250656.65546219</v>
      </c>
      <c r="C20" s="14" t="n">
        <f aca="false">C4-C17</f>
        <v>3250656.65546219</v>
      </c>
    </row>
    <row r="21" customFormat="false" ht="15" hidden="false" customHeight="false" outlineLevel="0" collapsed="false">
      <c r="A21" s="3" t="s">
        <v>85</v>
      </c>
      <c r="B21" s="12" t="n">
        <f aca="false">B4*Supuestos_Presupuesto!$B$36</f>
        <v>153116.52</v>
      </c>
      <c r="C21" s="12" t="n">
        <f aca="false">C4*Supuestos_Presupuesto!$B$36</f>
        <v>153116.52</v>
      </c>
    </row>
    <row r="22" customFormat="false" ht="15" hidden="false" customHeight="false" outlineLevel="0" collapsed="false">
      <c r="A22" s="15" t="s">
        <v>118</v>
      </c>
      <c r="B22" s="17" t="n">
        <f aca="false">B20-B21</f>
        <v>3097540.13546219</v>
      </c>
      <c r="C22" s="17" t="n">
        <f aca="false">C20-C21</f>
        <v>3097540.13546219</v>
      </c>
    </row>
    <row r="24" customFormat="false" ht="15" hidden="false" customHeight="false" outlineLevel="0" collapsed="false">
      <c r="A24" s="2" t="s">
        <v>119</v>
      </c>
      <c r="B24" s="2"/>
      <c r="C24" s="2"/>
    </row>
    <row r="25" customFormat="false" ht="15" hidden="false" customHeight="false" outlineLevel="0" collapsed="false">
      <c r="A25" s="3" t="s">
        <v>120</v>
      </c>
      <c r="B25" s="13" t="n">
        <f aca="false">Supuestos_Presupuesto!$B$39*Supuestos_Presupuesto!$B$38*715</f>
        <v>7150</v>
      </c>
      <c r="C25" s="13" t="n">
        <f aca="false">Supuestos_Presupuesto!$B$40*Supuestos_Presupuesto!$B$38*715</f>
        <v>7150</v>
      </c>
    </row>
    <row r="26" customFormat="false" ht="15" hidden="false" customHeight="false" outlineLevel="0" collapsed="false">
      <c r="A26" s="3" t="s">
        <v>121</v>
      </c>
      <c r="B26" s="21" t="n">
        <f aca="false">B16/B25</f>
        <v>100.699300699301</v>
      </c>
      <c r="C26" s="21" t="n">
        <f aca="false">C16/C25</f>
        <v>100.699300699301</v>
      </c>
    </row>
    <row r="27" customFormat="false" ht="15" hidden="false" customHeight="false" outlineLevel="0" collapsed="false">
      <c r="A27" s="3" t="s">
        <v>122</v>
      </c>
      <c r="B27" s="21" t="n">
        <f aca="false">(B9+B11+B10)/B25</f>
        <v>562.306481753541</v>
      </c>
      <c r="C27" s="21" t="n">
        <f aca="false">(C9+C11+C10)/C25</f>
        <v>562.306481753541</v>
      </c>
    </row>
    <row r="28" customFormat="false" ht="15" hidden="false" customHeight="false" outlineLevel="0" collapsed="false">
      <c r="A28" s="3" t="s">
        <v>123</v>
      </c>
      <c r="B28" s="21" t="n">
        <f aca="false">(B12+B13+B14)/B25</f>
        <v>240.086713286713</v>
      </c>
      <c r="C28" s="21" t="n">
        <f aca="false">(C12+C13+C14)/C25</f>
        <v>240.086713286713</v>
      </c>
    </row>
    <row r="29" customFormat="false" ht="15" hidden="false" customHeight="false" outlineLevel="0" collapsed="false">
      <c r="A29" s="3" t="s">
        <v>124</v>
      </c>
      <c r="B29" s="21" t="n">
        <f aca="false">B15/B25</f>
        <v>69.9300699300699</v>
      </c>
      <c r="C29" s="21" t="n">
        <f aca="false">C15/C25</f>
        <v>69.9300699300699</v>
      </c>
    </row>
    <row r="30" customFormat="false" ht="15" hidden="false" customHeight="false" outlineLevel="0" collapsed="false">
      <c r="A30" s="15" t="s">
        <v>125</v>
      </c>
      <c r="B30" s="22" t="n">
        <f aca="false">B17/B25</f>
        <v>973.022565669624</v>
      </c>
      <c r="C30" s="22" t="n">
        <f aca="false">C17/C25</f>
        <v>973.022565669624</v>
      </c>
    </row>
    <row r="31" customFormat="false" ht="15" hidden="false" customHeight="false" outlineLevel="0" collapsed="false">
      <c r="A31" s="3" t="s">
        <v>126</v>
      </c>
      <c r="B31" s="21" t="n">
        <f aca="false">B4/B25</f>
        <v>1427.65986013986</v>
      </c>
      <c r="C31" s="21" t="n">
        <f aca="false">C4/C25</f>
        <v>1427.65986013986</v>
      </c>
    </row>
    <row r="32" customFormat="false" ht="15" hidden="false" customHeight="false" outlineLevel="0" collapsed="false">
      <c r="A32" s="18" t="s">
        <v>127</v>
      </c>
      <c r="B32" s="23" t="n">
        <f aca="false">B31-B30</f>
        <v>454.637294470236</v>
      </c>
      <c r="C32" s="23" t="n">
        <f aca="false">C31-C30</f>
        <v>454.637294470236</v>
      </c>
    </row>
    <row r="34" customFormat="false" ht="15" hidden="false" customHeight="false" outlineLevel="0" collapsed="false">
      <c r="A34" s="2" t="s">
        <v>128</v>
      </c>
      <c r="B34" s="2"/>
      <c r="C34" s="2"/>
    </row>
    <row r="35" customFormat="false" ht="25.5" hidden="false" customHeight="true" outlineLevel="0" collapsed="false">
      <c r="A35" s="24" t="s">
        <v>129</v>
      </c>
      <c r="B35" s="24"/>
      <c r="C35" s="24"/>
    </row>
    <row r="36" customFormat="false" ht="25.5" hidden="false" customHeight="true" outlineLevel="0" collapsed="false">
      <c r="A36" s="24" t="s">
        <v>130</v>
      </c>
      <c r="B36" s="24"/>
      <c r="C36" s="24"/>
    </row>
    <row r="37" customFormat="false" ht="25.5" hidden="false" customHeight="true" outlineLevel="0" collapsed="false">
      <c r="A37" s="24" t="s">
        <v>131</v>
      </c>
      <c r="B37" s="24"/>
      <c r="C37" s="24"/>
    </row>
    <row r="38" customFormat="false" ht="25.5" hidden="false" customHeight="true" outlineLevel="0" collapsed="false">
      <c r="A38" s="24" t="s">
        <v>132</v>
      </c>
      <c r="B38" s="24"/>
      <c r="C38" s="24"/>
    </row>
    <row r="39" customFormat="false" ht="25.5" hidden="false" customHeight="true" outlineLevel="0" collapsed="false">
      <c r="A39" s="24" t="s">
        <v>133</v>
      </c>
      <c r="B39" s="24"/>
      <c r="C39" s="24"/>
    </row>
  </sheetData>
  <mergeCells count="9">
    <mergeCell ref="A1:C1"/>
    <mergeCell ref="A8:C8"/>
    <mergeCell ref="A24:C24"/>
    <mergeCell ref="A34:C34"/>
    <mergeCell ref="A35:C35"/>
    <mergeCell ref="A36:C36"/>
    <mergeCell ref="A37:C37"/>
    <mergeCell ref="A38:C38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7"/>
  </cols>
  <sheetData>
    <row r="1" customFormat="false" ht="16.15" hidden="false" customHeight="false" outlineLevel="0" collapsed="false">
      <c r="A1" s="1" t="s">
        <v>139</v>
      </c>
      <c r="B1" s="1"/>
      <c r="C1" s="1"/>
    </row>
    <row r="3" customFormat="false" ht="15" hidden="false" customHeight="false" outlineLevel="0" collapsed="false">
      <c r="A3" s="9" t="s">
        <v>65</v>
      </c>
      <c r="B3" s="9" t="s">
        <v>66</v>
      </c>
      <c r="C3" s="9" t="s">
        <v>67</v>
      </c>
    </row>
    <row r="4" customFormat="false" ht="15" hidden="false" customHeight="false" outlineLevel="0" collapsed="false">
      <c r="A4" s="2" t="s">
        <v>140</v>
      </c>
      <c r="B4" s="2"/>
      <c r="C4" s="2"/>
    </row>
    <row r="5" customFormat="false" ht="15" hidden="false" customHeight="false" outlineLevel="0" collapsed="false">
      <c r="A5" s="3" t="s">
        <v>135</v>
      </c>
      <c r="B5" s="12" t="n">
        <f aca="false">Sollem!B24+TRAST!B4</f>
        <v>24708117.9506667</v>
      </c>
      <c r="C5" s="12" t="n">
        <f aca="false">Sollem!C24+TRAST!C4</f>
        <v>31958292.926</v>
      </c>
    </row>
    <row r="6" customFormat="false" ht="15" hidden="false" customHeight="false" outlineLevel="0" collapsed="false">
      <c r="A6" s="3" t="s">
        <v>104</v>
      </c>
      <c r="B6" s="12" t="n">
        <f aca="false">B5*Supuestos_Presupuesto!$B$4</f>
        <v>4694542.41062667</v>
      </c>
      <c r="C6" s="12" t="n">
        <f aca="false">C5*Supuestos_Presupuesto!$B$4</f>
        <v>6072075.65594</v>
      </c>
    </row>
    <row r="7" customFormat="false" ht="15" hidden="false" customHeight="false" outlineLevel="0" collapsed="false">
      <c r="A7" s="18" t="s">
        <v>105</v>
      </c>
      <c r="B7" s="14" t="n">
        <f aca="false">B5*(1+Supuestos_Presupuesto!$B$4)</f>
        <v>29402660.3612933</v>
      </c>
      <c r="C7" s="14" t="n">
        <f aca="false">C5*(1+Supuestos_Presupuesto!$B$4)</f>
        <v>38030368.58194</v>
      </c>
    </row>
    <row r="9" customFormat="false" ht="15" hidden="false" customHeight="false" outlineLevel="0" collapsed="false">
      <c r="A9" s="25" t="s">
        <v>141</v>
      </c>
      <c r="B9" s="26" t="n">
        <f aca="false">Sollem!B37+TRAST!B17</f>
        <v>17886252.6907312</v>
      </c>
      <c r="C9" s="26" t="n">
        <f aca="false">Sollem!C37+TRAST!C17</f>
        <v>23350823.3638279</v>
      </c>
    </row>
    <row r="10" customFormat="false" ht="15" hidden="false" customHeight="false" outlineLevel="0" collapsed="false">
      <c r="A10" s="18" t="s">
        <v>142</v>
      </c>
      <c r="B10" s="14" t="n">
        <f aca="false">B5-B9</f>
        <v>6821865.25993546</v>
      </c>
      <c r="C10" s="14" t="n">
        <f aca="false">C5-C9</f>
        <v>8607469.5621721</v>
      </c>
    </row>
    <row r="11" customFormat="false" ht="15" hidden="false" customHeight="false" outlineLevel="0" collapsed="false">
      <c r="A11" s="3" t="s">
        <v>143</v>
      </c>
      <c r="B11" s="12" t="n">
        <f aca="false">Sollem!B41+TRAST!B21</f>
        <v>670779.0132388</v>
      </c>
      <c r="C11" s="12" t="n">
        <f aca="false">Sollem!C41+TRAST!C21</f>
        <v>929610.2598582</v>
      </c>
    </row>
    <row r="12" customFormat="false" ht="15" hidden="false" customHeight="false" outlineLevel="0" collapsed="false">
      <c r="A12" s="18" t="s">
        <v>144</v>
      </c>
      <c r="B12" s="14" t="n">
        <f aca="false">B10-B11</f>
        <v>6151086.24669666</v>
      </c>
      <c r="C12" s="14" t="n">
        <f aca="false">C10-C11</f>
        <v>7677859.3023139</v>
      </c>
    </row>
    <row r="14" customFormat="false" ht="15" hidden="false" customHeight="false" outlineLevel="0" collapsed="false">
      <c r="A14" s="2" t="s">
        <v>145</v>
      </c>
      <c r="B14" s="2"/>
      <c r="C14" s="2"/>
    </row>
    <row r="15" customFormat="false" ht="15" hidden="false" customHeight="false" outlineLevel="0" collapsed="false">
      <c r="A15" s="3" t="s">
        <v>146</v>
      </c>
      <c r="B15" s="12" t="n">
        <f aca="false">Supuestos_Presupuesto!$B$44</f>
        <v>3940000</v>
      </c>
      <c r="C15" s="12" t="n">
        <f aca="false">Supuestos_Presupuesto!$B$44</f>
        <v>3940000</v>
      </c>
    </row>
    <row r="16" customFormat="false" ht="15" hidden="false" customHeight="false" outlineLevel="0" collapsed="false">
      <c r="A16" s="3" t="s">
        <v>147</v>
      </c>
      <c r="B16" s="12" t="n">
        <f aca="false">Supuestos_Presupuesto!$B$43</f>
        <v>9000</v>
      </c>
      <c r="C16" s="12" t="n">
        <f aca="false">Supuestos_Presupuesto!$B$43</f>
        <v>9000</v>
      </c>
    </row>
    <row r="18" customFormat="false" ht="15" hidden="false" customHeight="false" outlineLevel="0" collapsed="false">
      <c r="A18" s="15" t="s">
        <v>148</v>
      </c>
      <c r="B18" s="17" t="n">
        <f aca="false">B12-B15-B16</f>
        <v>2202086.24669666</v>
      </c>
      <c r="C18" s="17" t="n">
        <f aca="false">C12-C15-C16</f>
        <v>3728859.3023139</v>
      </c>
    </row>
    <row r="19" customFormat="false" ht="15" hidden="false" customHeight="false" outlineLevel="0" collapsed="false">
      <c r="A19" s="18" t="s">
        <v>149</v>
      </c>
      <c r="B19" s="27" t="n">
        <f aca="false">B18/B7</f>
        <v>0.0748941156901422</v>
      </c>
      <c r="C19" s="27" t="n">
        <f aca="false">C18/C7</f>
        <v>0.0980495178288825</v>
      </c>
    </row>
    <row r="21" customFormat="false" ht="15" hidden="false" customHeight="false" outlineLevel="0" collapsed="false">
      <c r="A21" s="2" t="s">
        <v>150</v>
      </c>
      <c r="B21" s="2"/>
      <c r="C21" s="2"/>
    </row>
    <row r="22" customFormat="false" ht="15" hidden="false" customHeight="false" outlineLevel="0" collapsed="false">
      <c r="A22" s="18" t="s">
        <v>151</v>
      </c>
      <c r="B22" s="14" t="n">
        <f aca="false">(Sollem!B37-Sollem!B29+Sollem!B38)+(TRAST!B17-TRAST!B9+TRAST!B18)+B11+B15+B16+Supuestos_Presupuesto!$B$45</f>
        <v>26439095.3426255</v>
      </c>
      <c r="C22" s="14" t="n">
        <f aca="false">(Sollem!C37-Sollem!C29+Sollem!C38)+(TRAST!C17-TRAST!C9+TRAST!C18)+C11+C15+C16+Supuestos_Presupuesto!$B$46</f>
        <v>33074136.2539382</v>
      </c>
    </row>
    <row r="24" customFormat="false" ht="15" hidden="false" customHeight="false" outlineLevel="0" collapsed="false">
      <c r="A24" s="2" t="s">
        <v>152</v>
      </c>
      <c r="B24" s="2"/>
      <c r="C24" s="2"/>
      <c r="D24" s="2"/>
      <c r="E24" s="2"/>
    </row>
    <row r="25" customFormat="false" ht="26.85" hidden="false" customHeight="false" outlineLevel="0" collapsed="false">
      <c r="A25" s="9" t="s">
        <v>153</v>
      </c>
      <c r="B25" s="9" t="s">
        <v>154</v>
      </c>
      <c r="C25" s="9" t="s">
        <v>155</v>
      </c>
      <c r="D25" s="9" t="s">
        <v>156</v>
      </c>
      <c r="E25" s="9" t="s">
        <v>157</v>
      </c>
    </row>
    <row r="26" customFormat="false" ht="15" hidden="false" customHeight="false" outlineLevel="0" collapsed="false">
      <c r="A26" s="3" t="s">
        <v>158</v>
      </c>
      <c r="B26" s="12" t="n">
        <f aca="false">$B$7*0</f>
        <v>0</v>
      </c>
      <c r="C26" s="12" t="n">
        <f aca="false">$B$22*0.156171505182074</f>
        <v>4129033.31531019</v>
      </c>
      <c r="D26" s="12" t="n">
        <f aca="false">B26-C26</f>
        <v>-4129033.31531019</v>
      </c>
      <c r="E26" s="12" t="n">
        <f aca="false">D26</f>
        <v>-4129033.31531019</v>
      </c>
    </row>
    <row r="27" customFormat="false" ht="15" hidden="false" customHeight="false" outlineLevel="0" collapsed="false">
      <c r="A27" s="3" t="s">
        <v>159</v>
      </c>
      <c r="B27" s="12" t="n">
        <f aca="false">$B$7*0.238095235026902</f>
        <v>7000633.3291383</v>
      </c>
      <c r="C27" s="12" t="n">
        <f aca="false">$B$22*0.255737503422307</f>
        <v>6761468.23566739</v>
      </c>
      <c r="D27" s="12" t="n">
        <f aca="false">B27-C27</f>
        <v>239165.093470911</v>
      </c>
      <c r="E27" s="12" t="n">
        <f aca="false">E26+D27</f>
        <v>-3889868.22183928</v>
      </c>
    </row>
    <row r="28" customFormat="false" ht="15" hidden="false" customHeight="false" outlineLevel="0" collapsed="false">
      <c r="A28" s="3" t="s">
        <v>160</v>
      </c>
      <c r="B28" s="12" t="n">
        <f aca="false">$B$7*0.238095235026902</f>
        <v>7000633.3291383</v>
      </c>
      <c r="C28" s="12" t="n">
        <f aca="false">$B$22*0.199837319041854</f>
        <v>5283517.93116225</v>
      </c>
      <c r="D28" s="12" t="n">
        <f aca="false">B28-C28</f>
        <v>1717115.39797605</v>
      </c>
      <c r="E28" s="12" t="n">
        <f aca="false">E27+D28</f>
        <v>-2172752.82386323</v>
      </c>
    </row>
    <row r="29" customFormat="false" ht="15" hidden="false" customHeight="false" outlineLevel="0" collapsed="false">
      <c r="A29" s="3" t="s">
        <v>161</v>
      </c>
      <c r="B29" s="12" t="n">
        <f aca="false">$B$7*0.238095235026902</f>
        <v>7000633.3291383</v>
      </c>
      <c r="C29" s="12" t="n">
        <f aca="false">$B$22*0.134064675251262</f>
        <v>3544548.73104622</v>
      </c>
      <c r="D29" s="12" t="n">
        <f aca="false">B29-C29</f>
        <v>3456084.59809208</v>
      </c>
      <c r="E29" s="12" t="n">
        <f aca="false">E28+D29</f>
        <v>1283331.77422885</v>
      </c>
    </row>
    <row r="30" customFormat="false" ht="15" hidden="false" customHeight="false" outlineLevel="0" collapsed="false">
      <c r="A30" s="3" t="s">
        <v>162</v>
      </c>
      <c r="B30" s="12" t="n">
        <f aca="false">$B$7*0.238095235026902</f>
        <v>7000633.3291383</v>
      </c>
      <c r="C30" s="12" t="n">
        <f aca="false">$B$22*0.114192256574636</f>
        <v>3019139.95896636</v>
      </c>
      <c r="D30" s="12" t="n">
        <f aca="false">B30-C30</f>
        <v>3981493.37017194</v>
      </c>
      <c r="E30" s="12" t="n">
        <f aca="false">E29+D30</f>
        <v>5264825.14440078</v>
      </c>
    </row>
    <row r="31" customFormat="false" ht="15" hidden="false" customHeight="false" outlineLevel="0" collapsed="false">
      <c r="A31" s="3" t="s">
        <v>163</v>
      </c>
      <c r="B31" s="12" t="n">
        <f aca="false">$B$7*0.0476190598923934</f>
        <v>1400127.04474013</v>
      </c>
      <c r="C31" s="12" t="n">
        <f aca="false">$B$22*0.139996740527866</f>
        <v>3701387.17047305</v>
      </c>
      <c r="D31" s="12" t="n">
        <f aca="false">B31-C31</f>
        <v>-2301260.12573292</v>
      </c>
      <c r="E31" s="12" t="n">
        <f aca="false">E30+D31</f>
        <v>2963565.01866787</v>
      </c>
    </row>
    <row r="32" customFormat="false" ht="15" hidden="false" customHeight="false" outlineLevel="0" collapsed="false">
      <c r="A32" s="18" t="s">
        <v>164</v>
      </c>
      <c r="B32" s="14" t="n">
        <f aca="false">SUM(B26:B31)</f>
        <v>29402660.3612933</v>
      </c>
      <c r="C32" s="14" t="n">
        <f aca="false">SUM(C26:C31)</f>
        <v>26439095.3426255</v>
      </c>
      <c r="D32" s="14" t="n">
        <f aca="false">SUM(D26:D31)</f>
        <v>2963565.01866787</v>
      </c>
    </row>
    <row r="34" customFormat="false" ht="15" hidden="false" customHeight="false" outlineLevel="0" collapsed="false">
      <c r="A34" s="2" t="s">
        <v>165</v>
      </c>
      <c r="B34" s="2"/>
      <c r="C34" s="2"/>
      <c r="D34" s="2"/>
      <c r="E34" s="2"/>
    </row>
    <row r="35" customFormat="false" ht="26.85" hidden="false" customHeight="false" outlineLevel="0" collapsed="false">
      <c r="A35" s="9" t="s">
        <v>153</v>
      </c>
      <c r="B35" s="9" t="s">
        <v>154</v>
      </c>
      <c r="C35" s="9" t="s">
        <v>155</v>
      </c>
      <c r="D35" s="9" t="s">
        <v>156</v>
      </c>
      <c r="E35" s="9" t="s">
        <v>157</v>
      </c>
    </row>
    <row r="36" customFormat="false" ht="15" hidden="false" customHeight="false" outlineLevel="0" collapsed="false">
      <c r="A36" s="3" t="s">
        <v>166</v>
      </c>
      <c r="B36" s="12" t="n">
        <f aca="false">$C$7*0.181818181818182</f>
        <v>6914612.46944364</v>
      </c>
      <c r="C36" s="12" t="n">
        <f aca="false">$C$22*0.369048345284379</f>
        <v>12205955.256226</v>
      </c>
      <c r="D36" s="12" t="n">
        <f aca="false">B36-C36</f>
        <v>-5291342.78678235</v>
      </c>
      <c r="E36" s="12" t="n">
        <f aca="false">D36</f>
        <v>-5291342.78678235</v>
      </c>
    </row>
    <row r="37" customFormat="false" ht="15" hidden="false" customHeight="false" outlineLevel="0" collapsed="false">
      <c r="A37" s="3" t="s">
        <v>167</v>
      </c>
      <c r="B37" s="12" t="n">
        <f aca="false">$C$7*0.227272727272727</f>
        <v>8643265.58680455</v>
      </c>
      <c r="C37" s="12" t="n">
        <f aca="false">$C$22*0.193903403264155</f>
        <v>6413187.57966098</v>
      </c>
      <c r="D37" s="12" t="n">
        <f aca="false">B37-C37</f>
        <v>2230078.00714357</v>
      </c>
      <c r="E37" s="12" t="n">
        <f aca="false">E36+D37</f>
        <v>-3061264.77963878</v>
      </c>
    </row>
    <row r="38" customFormat="false" ht="15" hidden="false" customHeight="false" outlineLevel="0" collapsed="false">
      <c r="A38" s="3" t="s">
        <v>168</v>
      </c>
      <c r="B38" s="12" t="n">
        <f aca="false">$C$7*0.227272727272727</f>
        <v>8643265.58680455</v>
      </c>
      <c r="C38" s="12" t="n">
        <f aca="false">$C$22*0.136643242485644</f>
        <v>4519357.2201501</v>
      </c>
      <c r="D38" s="12" t="n">
        <f aca="false">B38-C38</f>
        <v>4123908.36665444</v>
      </c>
      <c r="E38" s="12" t="n">
        <f aca="false">E37+D38</f>
        <v>1062643.58701566</v>
      </c>
    </row>
    <row r="39" customFormat="false" ht="15" hidden="false" customHeight="false" outlineLevel="0" collapsed="false">
      <c r="A39" s="3" t="s">
        <v>169</v>
      </c>
      <c r="B39" s="12" t="n">
        <f aca="false">$C$7*0.227272727272727</f>
        <v>8643265.58680455</v>
      </c>
      <c r="C39" s="12" t="n">
        <f aca="false">$C$22*0.115715129398367</f>
        <v>3827177.95636368</v>
      </c>
      <c r="D39" s="12" t="n">
        <f aca="false">B39-C39</f>
        <v>4816087.63044086</v>
      </c>
      <c r="E39" s="12" t="n">
        <f aca="false">E38+D39</f>
        <v>5878731.21745652</v>
      </c>
    </row>
    <row r="40" customFormat="false" ht="15" hidden="false" customHeight="false" outlineLevel="0" collapsed="false">
      <c r="A40" s="3" t="s">
        <v>170</v>
      </c>
      <c r="B40" s="12" t="n">
        <f aca="false">$C$7*0.136363636363636</f>
        <v>5185959.35208273</v>
      </c>
      <c r="C40" s="12" t="n">
        <f aca="false">$C$22*0.184689879567455</f>
        <v>6108458.24153745</v>
      </c>
      <c r="D40" s="12" t="n">
        <f aca="false">B40-C40</f>
        <v>-922498.889454725</v>
      </c>
      <c r="E40" s="12" t="n">
        <f aca="false">E39+D40</f>
        <v>4956232.3280018</v>
      </c>
    </row>
    <row r="41" customFormat="false" ht="15" hidden="false" customHeight="false" outlineLevel="0" collapsed="false">
      <c r="A41" s="18" t="s">
        <v>164</v>
      </c>
      <c r="B41" s="14" t="n">
        <f aca="false">SUM(B36:B40)</f>
        <v>38030368.58194</v>
      </c>
      <c r="C41" s="14" t="n">
        <f aca="false">SUM(C36:C40)</f>
        <v>33074136.2539382</v>
      </c>
      <c r="D41" s="14" t="n">
        <f aca="false">SUM(D36:D40)</f>
        <v>4956232.3280018</v>
      </c>
    </row>
    <row r="43" customFormat="false" ht="15" hidden="false" customHeight="false" outlineLevel="0" collapsed="false">
      <c r="A43" s="2" t="s">
        <v>171</v>
      </c>
      <c r="B43" s="2"/>
      <c r="C43" s="2"/>
      <c r="D43" s="2"/>
      <c r="E43" s="2"/>
    </row>
    <row r="44" customFormat="false" ht="30" hidden="false" customHeight="true" outlineLevel="0" collapsed="false">
      <c r="A44" s="24" t="s">
        <v>172</v>
      </c>
      <c r="B44" s="24"/>
      <c r="C44" s="24"/>
      <c r="D44" s="24"/>
      <c r="E44" s="24"/>
    </row>
    <row r="45" customFormat="false" ht="30" hidden="false" customHeight="true" outlineLevel="0" collapsed="false">
      <c r="A45" s="24" t="s">
        <v>173</v>
      </c>
      <c r="B45" s="24"/>
      <c r="C45" s="24"/>
      <c r="D45" s="24"/>
      <c r="E45" s="24"/>
    </row>
    <row r="46" customFormat="false" ht="30" hidden="false" customHeight="true" outlineLevel="0" collapsed="false">
      <c r="A46" s="24" t="s">
        <v>174</v>
      </c>
      <c r="B46" s="24"/>
      <c r="C46" s="24"/>
      <c r="D46" s="24"/>
      <c r="E46" s="24"/>
    </row>
    <row r="47" customFormat="false" ht="30" hidden="false" customHeight="true" outlineLevel="0" collapsed="false">
      <c r="A47" s="24" t="s">
        <v>175</v>
      </c>
      <c r="B47" s="24"/>
      <c r="C47" s="24"/>
      <c r="D47" s="24"/>
      <c r="E47" s="24"/>
    </row>
    <row r="48" customFormat="false" ht="30" hidden="false" customHeight="true" outlineLevel="0" collapsed="false">
      <c r="A48" s="24" t="s">
        <v>176</v>
      </c>
      <c r="B48" s="24"/>
      <c r="C48" s="24"/>
      <c r="D48" s="24"/>
      <c r="E48" s="24"/>
    </row>
  </sheetData>
  <mergeCells count="12">
    <mergeCell ref="A1:C1"/>
    <mergeCell ref="A4:C4"/>
    <mergeCell ref="A14:C14"/>
    <mergeCell ref="A21:C21"/>
    <mergeCell ref="A24:E24"/>
    <mergeCell ref="A34:E34"/>
    <mergeCell ref="A43:E43"/>
    <mergeCell ref="A44:E44"/>
    <mergeCell ref="A45:E45"/>
    <mergeCell ref="A46:E46"/>
    <mergeCell ref="A47:E47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8" t="s">
        <v>178</v>
      </c>
      <c r="B2" s="28"/>
      <c r="C2" s="28"/>
      <c r="D2" s="28"/>
      <c r="E2" s="28"/>
      <c r="F2" s="28"/>
      <c r="G2" s="28"/>
      <c r="H2" s="28"/>
      <c r="I2" s="28"/>
    </row>
    <row r="4" customFormat="false" ht="15" hidden="false" customHeight="false" outlineLevel="0" collapsed="false">
      <c r="A4" s="2" t="s">
        <v>179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9" t="s">
        <v>180</v>
      </c>
      <c r="B5" s="9" t="s">
        <v>181</v>
      </c>
      <c r="C5" s="9" t="s">
        <v>182</v>
      </c>
      <c r="D5" s="9" t="s">
        <v>183</v>
      </c>
      <c r="E5" s="9" t="s">
        <v>184</v>
      </c>
      <c r="F5" s="9" t="s">
        <v>185</v>
      </c>
      <c r="G5" s="9" t="s">
        <v>186</v>
      </c>
      <c r="H5" s="9" t="s">
        <v>187</v>
      </c>
    </row>
    <row r="6" customFormat="false" ht="15" hidden="false" customHeight="false" outlineLevel="0" collapsed="false">
      <c r="A6" s="3" t="s">
        <v>188</v>
      </c>
      <c r="B6" s="3" t="s">
        <v>189</v>
      </c>
      <c r="C6" s="3" t="s">
        <v>190</v>
      </c>
      <c r="D6" s="12" t="n">
        <v>1868400</v>
      </c>
      <c r="E6" s="12" t="n">
        <v>354996</v>
      </c>
      <c r="F6" s="12" t="n">
        <v>2223396</v>
      </c>
      <c r="G6" s="3" t="s">
        <v>191</v>
      </c>
      <c r="H6" s="3" t="s">
        <v>192</v>
      </c>
    </row>
    <row r="7" customFormat="false" ht="15" hidden="false" customHeight="false" outlineLevel="0" collapsed="false">
      <c r="A7" s="3" t="s">
        <v>193</v>
      </c>
      <c r="B7" s="3" t="s">
        <v>194</v>
      </c>
      <c r="C7" s="3" t="s">
        <v>195</v>
      </c>
      <c r="D7" s="12" t="n">
        <v>280000</v>
      </c>
      <c r="E7" s="12" t="n">
        <v>53200</v>
      </c>
      <c r="F7" s="12" t="n">
        <v>333200</v>
      </c>
      <c r="G7" s="3" t="s">
        <v>196</v>
      </c>
      <c r="H7" s="3" t="s">
        <v>197</v>
      </c>
    </row>
    <row r="8" customFormat="false" ht="15" hidden="false" customHeight="false" outlineLevel="0" collapsed="false">
      <c r="A8" s="3" t="s">
        <v>188</v>
      </c>
      <c r="B8" s="3" t="s">
        <v>198</v>
      </c>
      <c r="C8" s="3" t="s">
        <v>199</v>
      </c>
      <c r="D8" s="12" t="n">
        <v>3550400</v>
      </c>
      <c r="E8" s="12" t="n">
        <v>674576</v>
      </c>
      <c r="F8" s="12" t="n">
        <v>4224976</v>
      </c>
      <c r="G8" s="3" t="s">
        <v>191</v>
      </c>
      <c r="H8" s="3" t="s">
        <v>192</v>
      </c>
    </row>
    <row r="9" customFormat="false" ht="15" hidden="false" customHeight="false" outlineLevel="0" collapsed="false">
      <c r="A9" s="3" t="s">
        <v>200</v>
      </c>
      <c r="B9" s="3" t="s">
        <v>201</v>
      </c>
      <c r="C9" s="3" t="s">
        <v>199</v>
      </c>
      <c r="D9" s="12" t="n">
        <v>991200</v>
      </c>
      <c r="E9" s="12" t="n">
        <v>188328</v>
      </c>
      <c r="F9" s="12" t="n">
        <v>1179528</v>
      </c>
      <c r="G9" s="3" t="s">
        <v>196</v>
      </c>
      <c r="H9" s="3" t="s">
        <v>197</v>
      </c>
    </row>
    <row r="10" customFormat="false" ht="15" hidden="false" customHeight="false" outlineLevel="0" collapsed="false">
      <c r="A10" s="3" t="s">
        <v>202</v>
      </c>
      <c r="B10" s="3" t="s">
        <v>203</v>
      </c>
      <c r="C10" s="3" t="s">
        <v>204</v>
      </c>
      <c r="D10" s="12" t="n">
        <v>324000</v>
      </c>
      <c r="E10" s="12" t="n">
        <v>61560</v>
      </c>
      <c r="F10" s="12" t="n">
        <v>385560</v>
      </c>
      <c r="G10" s="3" t="s">
        <v>196</v>
      </c>
      <c r="H10" s="3" t="s">
        <v>197</v>
      </c>
    </row>
    <row r="11" customFormat="false" ht="15" hidden="false" customHeight="false" outlineLevel="0" collapsed="false">
      <c r="A11" s="3" t="s">
        <v>205</v>
      </c>
      <c r="B11" s="3" t="s">
        <v>206</v>
      </c>
      <c r="C11" s="3" t="s">
        <v>204</v>
      </c>
      <c r="D11" s="12" t="n">
        <v>300000</v>
      </c>
      <c r="E11" s="12" t="n">
        <v>57000</v>
      </c>
      <c r="F11" s="12" t="n">
        <v>357000</v>
      </c>
      <c r="G11" s="3" t="s">
        <v>196</v>
      </c>
      <c r="H11" s="3" t="s">
        <v>197</v>
      </c>
    </row>
    <row r="12" customFormat="false" ht="15" hidden="false" customHeight="false" outlineLevel="0" collapsed="false">
      <c r="A12" s="3" t="s">
        <v>200</v>
      </c>
      <c r="B12" s="3" t="s">
        <v>207</v>
      </c>
      <c r="C12" s="3" t="s">
        <v>204</v>
      </c>
      <c r="D12" s="12" t="n">
        <v>330400</v>
      </c>
      <c r="E12" s="12" t="n">
        <v>62776</v>
      </c>
      <c r="F12" s="12" t="n">
        <v>393176</v>
      </c>
      <c r="G12" s="3" t="s">
        <v>196</v>
      </c>
      <c r="H12" s="3" t="s">
        <v>197</v>
      </c>
    </row>
    <row r="13" customFormat="false" ht="15" hidden="false" customHeight="false" outlineLevel="0" collapsed="false">
      <c r="A13" s="3" t="s">
        <v>208</v>
      </c>
      <c r="B13" s="3" t="s">
        <v>209</v>
      </c>
      <c r="C13" s="3" t="s">
        <v>204</v>
      </c>
      <c r="D13" s="12" t="n">
        <v>660800</v>
      </c>
      <c r="E13" s="12" t="n">
        <v>125552</v>
      </c>
      <c r="F13" s="12" t="n">
        <v>786352</v>
      </c>
      <c r="G13" s="3" t="s">
        <v>196</v>
      </c>
      <c r="H13" s="3" t="s">
        <v>197</v>
      </c>
    </row>
    <row r="14" customFormat="false" ht="15" hidden="false" customHeight="false" outlineLevel="0" collapsed="false">
      <c r="A14" s="3" t="s">
        <v>210</v>
      </c>
      <c r="B14" s="3" t="s">
        <v>211</v>
      </c>
      <c r="C14" s="3" t="s">
        <v>212</v>
      </c>
      <c r="D14" s="12" t="n">
        <v>600000</v>
      </c>
      <c r="E14" s="12" t="n">
        <v>114000</v>
      </c>
      <c r="F14" s="12" t="n">
        <v>714000</v>
      </c>
      <c r="G14" s="3" t="s">
        <v>196</v>
      </c>
      <c r="H14" s="3" t="s">
        <v>197</v>
      </c>
    </row>
    <row r="15" customFormat="false" ht="15" hidden="false" customHeight="false" outlineLevel="0" collapsed="false">
      <c r="A15" s="3" t="s">
        <v>213</v>
      </c>
      <c r="B15" s="3" t="s">
        <v>214</v>
      </c>
      <c r="C15" s="3" t="s">
        <v>212</v>
      </c>
      <c r="D15" s="12" t="n">
        <v>490000</v>
      </c>
      <c r="E15" s="12" t="n">
        <v>93100</v>
      </c>
      <c r="F15" s="12" t="n">
        <v>583100</v>
      </c>
      <c r="G15" s="3" t="s">
        <v>196</v>
      </c>
      <c r="H15" s="3" t="s">
        <v>197</v>
      </c>
    </row>
    <row r="16" customFormat="false" ht="15" hidden="false" customHeight="false" outlineLevel="0" collapsed="false">
      <c r="A16" s="3" t="s">
        <v>188</v>
      </c>
      <c r="B16" s="3" t="s">
        <v>215</v>
      </c>
      <c r="C16" s="3" t="s">
        <v>216</v>
      </c>
      <c r="D16" s="12" t="n">
        <v>2355000</v>
      </c>
      <c r="E16" s="12" t="n">
        <v>447450</v>
      </c>
      <c r="F16" s="12" t="n">
        <v>2802450</v>
      </c>
      <c r="G16" s="3" t="s">
        <v>191</v>
      </c>
      <c r="H16" s="3" t="s">
        <v>192</v>
      </c>
    </row>
    <row r="17" customFormat="false" ht="15" hidden="false" customHeight="false" outlineLevel="0" collapsed="false">
      <c r="A17" s="3" t="s">
        <v>217</v>
      </c>
      <c r="B17" s="3" t="s">
        <v>218</v>
      </c>
      <c r="C17" s="3" t="s">
        <v>219</v>
      </c>
      <c r="D17" s="12" t="n">
        <v>370000</v>
      </c>
      <c r="E17" s="12" t="n">
        <v>70300</v>
      </c>
      <c r="F17" s="12" t="n">
        <v>440300</v>
      </c>
      <c r="G17" s="3" t="s">
        <v>196</v>
      </c>
      <c r="H17" s="3" t="s">
        <v>197</v>
      </c>
    </row>
    <row r="18" customFormat="false" ht="15" hidden="false" customHeight="false" outlineLevel="0" collapsed="false">
      <c r="A18" s="3" t="s">
        <v>188</v>
      </c>
      <c r="B18" s="3" t="s">
        <v>220</v>
      </c>
      <c r="C18" s="3" t="s">
        <v>221</v>
      </c>
      <c r="D18" s="12" t="n">
        <v>679200</v>
      </c>
      <c r="E18" s="12" t="n">
        <v>129048</v>
      </c>
      <c r="F18" s="12" t="n">
        <v>808248</v>
      </c>
      <c r="G18" s="3" t="s">
        <v>191</v>
      </c>
      <c r="H18" s="3" t="s">
        <v>192</v>
      </c>
    </row>
    <row r="19" customFormat="false" ht="15" hidden="false" customHeight="false" outlineLevel="0" collapsed="false">
      <c r="A19" s="3" t="s">
        <v>200</v>
      </c>
      <c r="B19" s="3" t="s">
        <v>189</v>
      </c>
      <c r="C19" s="3" t="s">
        <v>204</v>
      </c>
      <c r="D19" s="12" t="n">
        <v>991200</v>
      </c>
      <c r="E19" s="12" t="n">
        <v>188328</v>
      </c>
      <c r="F19" s="12" t="n">
        <v>1179528</v>
      </c>
      <c r="G19" s="3" t="s">
        <v>196</v>
      </c>
      <c r="H19" s="3" t="s">
        <v>197</v>
      </c>
    </row>
    <row r="20" customFormat="false" ht="15" hidden="false" customHeight="false" outlineLevel="0" collapsed="false">
      <c r="A20" s="18" t="s">
        <v>222</v>
      </c>
      <c r="F20" s="14" t="n">
        <v>16410814</v>
      </c>
      <c r="G20" s="29" t="s">
        <v>223</v>
      </c>
    </row>
    <row r="22" customFormat="false" ht="15" hidden="false" customHeight="false" outlineLevel="0" collapsed="false">
      <c r="A22" s="2" t="s">
        <v>224</v>
      </c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9" t="s">
        <v>225</v>
      </c>
      <c r="B23" s="9" t="s">
        <v>181</v>
      </c>
      <c r="C23" s="9" t="s">
        <v>182</v>
      </c>
      <c r="D23" s="9" t="s">
        <v>183</v>
      </c>
      <c r="E23" s="9" t="s">
        <v>184</v>
      </c>
      <c r="F23" s="9" t="s">
        <v>185</v>
      </c>
      <c r="G23" s="9" t="s">
        <v>186</v>
      </c>
      <c r="H23" s="9" t="s">
        <v>187</v>
      </c>
    </row>
    <row r="24" customFormat="false" ht="15" hidden="false" customHeight="false" outlineLevel="0" collapsed="false">
      <c r="A24" s="3" t="s">
        <v>226</v>
      </c>
      <c r="B24" s="3" t="s">
        <v>227</v>
      </c>
      <c r="C24" s="3" t="s">
        <v>228</v>
      </c>
      <c r="D24" s="12" t="n">
        <v>1528427</v>
      </c>
      <c r="E24" s="12" t="n">
        <v>290401</v>
      </c>
      <c r="F24" s="12" t="n">
        <v>2000000</v>
      </c>
      <c r="G24" s="3" t="s">
        <v>229</v>
      </c>
      <c r="H24" s="3" t="s">
        <v>230</v>
      </c>
    </row>
    <row r="25" customFormat="false" ht="15" hidden="false" customHeight="false" outlineLevel="0" collapsed="false">
      <c r="A25" s="3" t="s">
        <v>231</v>
      </c>
      <c r="B25" s="3" t="s">
        <v>232</v>
      </c>
      <c r="C25" s="3" t="s">
        <v>233</v>
      </c>
      <c r="D25" s="12" t="n">
        <v>6050</v>
      </c>
      <c r="E25" s="12" t="n">
        <v>1150</v>
      </c>
      <c r="F25" s="12" t="n">
        <v>7200</v>
      </c>
      <c r="G25" s="3" t="s">
        <v>196</v>
      </c>
      <c r="H25" s="3" t="s">
        <v>234</v>
      </c>
    </row>
    <row r="26" customFormat="false" ht="15" hidden="false" customHeight="false" outlineLevel="0" collapsed="false">
      <c r="A26" s="3" t="s">
        <v>235</v>
      </c>
      <c r="B26" s="3" t="s">
        <v>236</v>
      </c>
      <c r="C26" s="3" t="s">
        <v>228</v>
      </c>
      <c r="D26" s="12" t="n">
        <v>25538</v>
      </c>
      <c r="E26" s="12" t="n">
        <v>4852</v>
      </c>
      <c r="F26" s="12" t="n">
        <v>30390</v>
      </c>
      <c r="G26" s="3" t="s">
        <v>196</v>
      </c>
      <c r="H26" s="3" t="s">
        <v>234</v>
      </c>
    </row>
    <row r="27" customFormat="false" ht="15" hidden="false" customHeight="false" outlineLevel="0" collapsed="false">
      <c r="A27" s="3" t="s">
        <v>237</v>
      </c>
      <c r="B27" s="3" t="s">
        <v>238</v>
      </c>
      <c r="C27" s="3" t="s">
        <v>190</v>
      </c>
      <c r="D27" s="12" t="n">
        <v>85621</v>
      </c>
      <c r="E27" s="12" t="n">
        <v>16268</v>
      </c>
      <c r="F27" s="12" t="n">
        <v>101889</v>
      </c>
      <c r="G27" s="3" t="s">
        <v>196</v>
      </c>
      <c r="H27" s="3" t="s">
        <v>234</v>
      </c>
    </row>
    <row r="28" customFormat="false" ht="15" hidden="false" customHeight="false" outlineLevel="0" collapsed="false">
      <c r="A28" s="3" t="s">
        <v>239</v>
      </c>
      <c r="B28" s="3" t="s">
        <v>240</v>
      </c>
      <c r="C28" s="3" t="s">
        <v>190</v>
      </c>
      <c r="D28" s="12" t="n">
        <v>12605</v>
      </c>
      <c r="E28" s="12" t="n">
        <v>2395</v>
      </c>
      <c r="F28" s="12" t="n">
        <v>15000</v>
      </c>
      <c r="G28" s="3" t="s">
        <v>229</v>
      </c>
      <c r="H28" s="3" t="s">
        <v>241</v>
      </c>
    </row>
    <row r="29" customFormat="false" ht="15" hidden="false" customHeight="false" outlineLevel="0" collapsed="false">
      <c r="A29" s="3" t="s">
        <v>242</v>
      </c>
      <c r="B29" s="3" t="s">
        <v>243</v>
      </c>
      <c r="C29" s="3" t="s">
        <v>244</v>
      </c>
      <c r="D29" s="12" t="n">
        <v>1182683</v>
      </c>
      <c r="E29" s="12" t="n">
        <v>224710</v>
      </c>
      <c r="F29" s="12" t="n">
        <v>1407393</v>
      </c>
      <c r="G29" s="3" t="s">
        <v>196</v>
      </c>
      <c r="H29" s="3" t="s">
        <v>234</v>
      </c>
    </row>
    <row r="30" customFormat="false" ht="15" hidden="false" customHeight="false" outlineLevel="0" collapsed="false">
      <c r="A30" s="3" t="s">
        <v>231</v>
      </c>
      <c r="B30" s="3" t="s">
        <v>245</v>
      </c>
      <c r="C30" s="3" t="s">
        <v>244</v>
      </c>
      <c r="D30" s="12" t="n">
        <v>67412</v>
      </c>
      <c r="E30" s="12" t="n">
        <v>12808</v>
      </c>
      <c r="F30" s="12" t="n">
        <v>80220</v>
      </c>
      <c r="G30" s="3" t="s">
        <v>196</v>
      </c>
      <c r="H30" s="3" t="s">
        <v>234</v>
      </c>
    </row>
    <row r="31" customFormat="false" ht="15" hidden="false" customHeight="false" outlineLevel="0" collapsed="false">
      <c r="A31" s="3" t="s">
        <v>231</v>
      </c>
      <c r="B31" s="3" t="s">
        <v>246</v>
      </c>
      <c r="C31" s="3" t="s">
        <v>247</v>
      </c>
      <c r="D31" s="12" t="n">
        <v>4529</v>
      </c>
      <c r="E31" s="12" t="n">
        <v>861</v>
      </c>
      <c r="F31" s="12" t="n">
        <v>5390</v>
      </c>
      <c r="G31" s="3" t="s">
        <v>196</v>
      </c>
      <c r="H31" s="3" t="s">
        <v>234</v>
      </c>
    </row>
    <row r="32" customFormat="false" ht="15" hidden="false" customHeight="false" outlineLevel="0" collapsed="false">
      <c r="A32" s="3" t="s">
        <v>231</v>
      </c>
      <c r="B32" s="3" t="s">
        <v>248</v>
      </c>
      <c r="C32" s="3" t="s">
        <v>249</v>
      </c>
      <c r="D32" s="12" t="n">
        <v>605</v>
      </c>
      <c r="E32" s="12" t="n">
        <v>115</v>
      </c>
      <c r="F32" s="12" t="n">
        <v>720</v>
      </c>
      <c r="G32" s="3" t="s">
        <v>196</v>
      </c>
      <c r="H32" s="3" t="s">
        <v>234</v>
      </c>
    </row>
    <row r="33" customFormat="false" ht="15" hidden="false" customHeight="false" outlineLevel="0" collapsed="false">
      <c r="A33" s="3" t="s">
        <v>250</v>
      </c>
      <c r="B33" s="3" t="s">
        <v>251</v>
      </c>
      <c r="C33" s="3" t="s">
        <v>195</v>
      </c>
      <c r="D33" s="12" t="n">
        <v>315546</v>
      </c>
      <c r="E33" s="12" t="n">
        <v>59954</v>
      </c>
      <c r="F33" s="12" t="n">
        <v>375500</v>
      </c>
      <c r="G33" s="3" t="s">
        <v>196</v>
      </c>
      <c r="H33" s="3" t="s">
        <v>234</v>
      </c>
    </row>
    <row r="34" customFormat="false" ht="15" hidden="false" customHeight="false" outlineLevel="0" collapsed="false">
      <c r="A34" s="3" t="s">
        <v>231</v>
      </c>
      <c r="B34" s="3" t="s">
        <v>252</v>
      </c>
      <c r="C34" s="3" t="s">
        <v>253</v>
      </c>
      <c r="D34" s="12" t="n">
        <v>2815</v>
      </c>
      <c r="E34" s="12" t="n">
        <v>535</v>
      </c>
      <c r="F34" s="12" t="n">
        <v>3350</v>
      </c>
      <c r="G34" s="3" t="s">
        <v>196</v>
      </c>
      <c r="H34" s="3" t="s">
        <v>234</v>
      </c>
    </row>
    <row r="35" customFormat="false" ht="15" hidden="false" customHeight="false" outlineLevel="0" collapsed="false">
      <c r="A35" s="3" t="s">
        <v>231</v>
      </c>
      <c r="B35" s="3" t="s">
        <v>254</v>
      </c>
      <c r="C35" s="3" t="s">
        <v>253</v>
      </c>
      <c r="D35" s="12" t="n">
        <v>6723</v>
      </c>
      <c r="E35" s="12" t="n">
        <v>1277</v>
      </c>
      <c r="F35" s="12" t="n">
        <v>8000</v>
      </c>
      <c r="G35" s="3" t="s">
        <v>196</v>
      </c>
      <c r="H35" s="3" t="s">
        <v>234</v>
      </c>
    </row>
    <row r="36" customFormat="false" ht="15" hidden="false" customHeight="false" outlineLevel="0" collapsed="false">
      <c r="A36" s="3" t="s">
        <v>255</v>
      </c>
      <c r="B36" s="3" t="s">
        <v>256</v>
      </c>
      <c r="C36" s="3" t="s">
        <v>253</v>
      </c>
      <c r="D36" s="12" t="n">
        <v>21773</v>
      </c>
      <c r="E36" s="12" t="n">
        <v>4138</v>
      </c>
      <c r="F36" s="12" t="n">
        <v>30000</v>
      </c>
      <c r="G36" s="3" t="s">
        <v>229</v>
      </c>
      <c r="H36" s="3" t="s">
        <v>257</v>
      </c>
    </row>
    <row r="37" customFormat="false" ht="15" hidden="false" customHeight="false" outlineLevel="0" collapsed="false">
      <c r="A37" s="3" t="s">
        <v>226</v>
      </c>
      <c r="B37" s="3" t="s">
        <v>258</v>
      </c>
      <c r="C37" s="3" t="s">
        <v>253</v>
      </c>
      <c r="D37" s="12" t="n">
        <v>718463</v>
      </c>
      <c r="E37" s="12" t="n">
        <v>136508</v>
      </c>
      <c r="F37" s="12" t="n">
        <v>1000000</v>
      </c>
      <c r="G37" s="3" t="s">
        <v>229</v>
      </c>
      <c r="H37" s="3" t="s">
        <v>259</v>
      </c>
    </row>
    <row r="38" customFormat="false" ht="15" hidden="false" customHeight="false" outlineLevel="0" collapsed="false">
      <c r="A38" s="3" t="s">
        <v>231</v>
      </c>
      <c r="B38" s="3" t="s">
        <v>260</v>
      </c>
      <c r="C38" s="3" t="s">
        <v>253</v>
      </c>
      <c r="D38" s="12" t="n">
        <v>34622</v>
      </c>
      <c r="E38" s="12" t="n">
        <v>6578</v>
      </c>
      <c r="F38" s="12" t="n">
        <v>41200</v>
      </c>
      <c r="G38" s="3" t="s">
        <v>196</v>
      </c>
      <c r="H38" s="3" t="s">
        <v>234</v>
      </c>
    </row>
    <row r="39" customFormat="false" ht="15" hidden="false" customHeight="false" outlineLevel="0" collapsed="false">
      <c r="A39" s="3" t="s">
        <v>261</v>
      </c>
      <c r="B39" s="3" t="s">
        <v>262</v>
      </c>
      <c r="C39" s="3" t="s">
        <v>199</v>
      </c>
      <c r="D39" s="12" t="n">
        <v>73109</v>
      </c>
      <c r="E39" s="12" t="n">
        <v>13891</v>
      </c>
      <c r="F39" s="12" t="n">
        <v>87000</v>
      </c>
      <c r="G39" s="3" t="s">
        <v>229</v>
      </c>
      <c r="H39" s="3" t="s">
        <v>263</v>
      </c>
    </row>
    <row r="40" customFormat="false" ht="15" hidden="false" customHeight="false" outlineLevel="0" collapsed="false">
      <c r="A40" s="3" t="s">
        <v>264</v>
      </c>
      <c r="B40" s="3" t="s">
        <v>265</v>
      </c>
      <c r="C40" s="3" t="s">
        <v>199</v>
      </c>
      <c r="D40" s="12" t="n">
        <v>81899</v>
      </c>
      <c r="E40" s="12" t="n">
        <v>15561</v>
      </c>
      <c r="F40" s="12" t="n">
        <v>97460</v>
      </c>
      <c r="G40" s="3" t="s">
        <v>196</v>
      </c>
      <c r="H40" s="3" t="s">
        <v>234</v>
      </c>
    </row>
    <row r="41" customFormat="false" ht="15" hidden="false" customHeight="false" outlineLevel="0" collapsed="false">
      <c r="A41" s="3" t="s">
        <v>266</v>
      </c>
      <c r="B41" s="3" t="s">
        <v>267</v>
      </c>
      <c r="C41" s="3" t="s">
        <v>199</v>
      </c>
      <c r="D41" s="12" t="n">
        <v>117630</v>
      </c>
      <c r="E41" s="12" t="n">
        <v>22350</v>
      </c>
      <c r="F41" s="12" t="n">
        <v>139980</v>
      </c>
      <c r="G41" s="3" t="s">
        <v>229</v>
      </c>
      <c r="H41" s="3" t="s">
        <v>268</v>
      </c>
    </row>
    <row r="42" customFormat="false" ht="15" hidden="false" customHeight="false" outlineLevel="0" collapsed="false">
      <c r="A42" s="3" t="s">
        <v>269</v>
      </c>
      <c r="B42" s="3" t="s">
        <v>270</v>
      </c>
      <c r="C42" s="3" t="s">
        <v>271</v>
      </c>
      <c r="D42" s="12" t="n">
        <v>29916</v>
      </c>
      <c r="E42" s="12" t="n">
        <v>5684</v>
      </c>
      <c r="F42" s="12" t="n">
        <v>35600</v>
      </c>
      <c r="G42" s="3" t="s">
        <v>196</v>
      </c>
      <c r="H42" s="3" t="s">
        <v>234</v>
      </c>
    </row>
    <row r="43" customFormat="false" ht="15" hidden="false" customHeight="false" outlineLevel="0" collapsed="false">
      <c r="A43" s="3" t="s">
        <v>264</v>
      </c>
      <c r="B43" s="3" t="s">
        <v>272</v>
      </c>
      <c r="C43" s="3" t="s">
        <v>271</v>
      </c>
      <c r="D43" s="12" t="n">
        <v>62000</v>
      </c>
      <c r="E43" s="12" t="n">
        <v>11780</v>
      </c>
      <c r="F43" s="12" t="n">
        <v>73780</v>
      </c>
      <c r="G43" s="3" t="s">
        <v>196</v>
      </c>
      <c r="H43" s="3" t="s">
        <v>234</v>
      </c>
    </row>
    <row r="44" customFormat="false" ht="15" hidden="false" customHeight="false" outlineLevel="0" collapsed="false">
      <c r="A44" s="3" t="s">
        <v>231</v>
      </c>
      <c r="B44" s="3" t="s">
        <v>273</v>
      </c>
      <c r="C44" s="3" t="s">
        <v>274</v>
      </c>
      <c r="D44" s="12" t="n">
        <v>122574</v>
      </c>
      <c r="E44" s="12" t="n">
        <v>23289</v>
      </c>
      <c r="F44" s="12" t="n">
        <v>145863</v>
      </c>
      <c r="G44" s="3" t="s">
        <v>196</v>
      </c>
      <c r="H44" s="3" t="s">
        <v>234</v>
      </c>
    </row>
    <row r="45" customFormat="false" ht="15" hidden="false" customHeight="false" outlineLevel="0" collapsed="false">
      <c r="A45" s="3" t="s">
        <v>231</v>
      </c>
      <c r="B45" s="3" t="s">
        <v>275</v>
      </c>
      <c r="C45" s="3" t="s">
        <v>274</v>
      </c>
      <c r="D45" s="12" t="n">
        <v>35163</v>
      </c>
      <c r="E45" s="12" t="n">
        <v>6681</v>
      </c>
      <c r="F45" s="12" t="n">
        <v>41844</v>
      </c>
      <c r="G45" s="3" t="s">
        <v>196</v>
      </c>
      <c r="H45" s="3" t="s">
        <v>234</v>
      </c>
    </row>
    <row r="46" customFormat="false" ht="15" hidden="false" customHeight="false" outlineLevel="0" collapsed="false">
      <c r="A46" s="3" t="s">
        <v>266</v>
      </c>
      <c r="B46" s="3" t="s">
        <v>276</v>
      </c>
      <c r="C46" s="3" t="s">
        <v>274</v>
      </c>
      <c r="D46" s="12" t="n">
        <v>117630</v>
      </c>
      <c r="E46" s="12" t="n">
        <v>22350</v>
      </c>
      <c r="F46" s="12" t="n">
        <v>139980</v>
      </c>
      <c r="G46" s="3" t="s">
        <v>196</v>
      </c>
      <c r="H46" s="3" t="s">
        <v>234</v>
      </c>
    </row>
    <row r="47" customFormat="false" ht="15" hidden="false" customHeight="false" outlineLevel="0" collapsed="false">
      <c r="A47" s="3" t="s">
        <v>226</v>
      </c>
      <c r="B47" s="3" t="s">
        <v>277</v>
      </c>
      <c r="C47" s="3" t="s">
        <v>274</v>
      </c>
      <c r="D47" s="12" t="n">
        <v>1392883</v>
      </c>
      <c r="E47" s="12" t="n">
        <v>264648</v>
      </c>
      <c r="F47" s="12" t="n">
        <v>2000000</v>
      </c>
      <c r="G47" s="3" t="s">
        <v>229</v>
      </c>
      <c r="H47" s="3" t="s">
        <v>278</v>
      </c>
    </row>
    <row r="48" customFormat="false" ht="15" hidden="false" customHeight="false" outlineLevel="0" collapsed="false">
      <c r="A48" s="3" t="s">
        <v>279</v>
      </c>
      <c r="B48" s="3" t="s">
        <v>280</v>
      </c>
      <c r="C48" s="3" t="s">
        <v>281</v>
      </c>
      <c r="D48" s="12" t="n">
        <v>21140</v>
      </c>
      <c r="E48" s="12" t="n">
        <v>4017</v>
      </c>
      <c r="F48" s="12" t="n">
        <v>30010</v>
      </c>
      <c r="G48" s="3" t="s">
        <v>196</v>
      </c>
      <c r="H48" s="3" t="s">
        <v>234</v>
      </c>
    </row>
    <row r="49" customFormat="false" ht="15" hidden="false" customHeight="false" outlineLevel="0" collapsed="false">
      <c r="A49" s="3" t="s">
        <v>231</v>
      </c>
      <c r="B49" s="3" t="s">
        <v>282</v>
      </c>
      <c r="C49" s="3" t="s">
        <v>274</v>
      </c>
      <c r="D49" s="12" t="n">
        <v>8899</v>
      </c>
      <c r="E49" s="12" t="n">
        <v>1691</v>
      </c>
      <c r="F49" s="12" t="n">
        <v>10590</v>
      </c>
      <c r="G49" s="3" t="s">
        <v>196</v>
      </c>
      <c r="H49" s="3" t="s">
        <v>234</v>
      </c>
    </row>
    <row r="50" customFormat="false" ht="15" hidden="false" customHeight="false" outlineLevel="0" collapsed="false">
      <c r="A50" s="3" t="s">
        <v>231</v>
      </c>
      <c r="B50" s="3" t="s">
        <v>283</v>
      </c>
      <c r="C50" s="3" t="s">
        <v>281</v>
      </c>
      <c r="D50" s="12" t="n">
        <v>344279</v>
      </c>
      <c r="E50" s="12" t="n">
        <v>65413</v>
      </c>
      <c r="F50" s="12" t="n">
        <v>409692</v>
      </c>
      <c r="G50" s="3" t="s">
        <v>229</v>
      </c>
      <c r="H50" s="3" t="s">
        <v>284</v>
      </c>
    </row>
    <row r="51" customFormat="false" ht="15" hidden="false" customHeight="false" outlineLevel="0" collapsed="false">
      <c r="A51" s="3" t="s">
        <v>285</v>
      </c>
      <c r="B51" s="3" t="s">
        <v>286</v>
      </c>
      <c r="C51" s="3" t="s">
        <v>287</v>
      </c>
      <c r="D51" s="12" t="n">
        <v>16846</v>
      </c>
      <c r="E51" s="12" t="n">
        <v>3201</v>
      </c>
      <c r="F51" s="12" t="n">
        <v>30000</v>
      </c>
      <c r="G51" s="3" t="s">
        <v>229</v>
      </c>
      <c r="H51" s="3" t="s">
        <v>288</v>
      </c>
    </row>
    <row r="52" customFormat="false" ht="15" hidden="false" customHeight="false" outlineLevel="0" collapsed="false">
      <c r="A52" s="3" t="s">
        <v>289</v>
      </c>
      <c r="B52" s="3" t="s">
        <v>290</v>
      </c>
      <c r="C52" s="3" t="s">
        <v>287</v>
      </c>
      <c r="D52" s="12" t="n">
        <v>92269</v>
      </c>
      <c r="E52" s="12" t="n">
        <v>17531</v>
      </c>
      <c r="F52" s="12" t="n">
        <v>109800</v>
      </c>
      <c r="G52" s="3" t="s">
        <v>229</v>
      </c>
      <c r="H52" s="3" t="s">
        <v>291</v>
      </c>
    </row>
    <row r="53" customFormat="false" ht="15" hidden="false" customHeight="false" outlineLevel="0" collapsed="false">
      <c r="A53" s="3" t="s">
        <v>292</v>
      </c>
      <c r="B53" s="3" t="s">
        <v>293</v>
      </c>
      <c r="C53" s="3" t="s">
        <v>287</v>
      </c>
      <c r="D53" s="12" t="n">
        <v>117647</v>
      </c>
      <c r="E53" s="12" t="n">
        <v>22353</v>
      </c>
      <c r="F53" s="12" t="n">
        <v>140000</v>
      </c>
      <c r="G53" s="3" t="s">
        <v>229</v>
      </c>
      <c r="H53" s="3" t="s">
        <v>294</v>
      </c>
    </row>
    <row r="54" customFormat="false" ht="15" hidden="false" customHeight="false" outlineLevel="0" collapsed="false">
      <c r="A54" s="3" t="s">
        <v>295</v>
      </c>
      <c r="B54" s="3" t="s">
        <v>296</v>
      </c>
      <c r="C54" s="3" t="s">
        <v>287</v>
      </c>
      <c r="D54" s="12" t="n">
        <v>10084</v>
      </c>
      <c r="E54" s="12" t="n">
        <v>1916</v>
      </c>
      <c r="F54" s="12" t="n">
        <v>12000</v>
      </c>
      <c r="G54" s="3" t="s">
        <v>229</v>
      </c>
      <c r="H54" s="3" t="s">
        <v>297</v>
      </c>
    </row>
    <row r="55" customFormat="false" ht="15" hidden="false" customHeight="false" outlineLevel="0" collapsed="false">
      <c r="A55" s="3" t="s">
        <v>298</v>
      </c>
      <c r="B55" s="3" t="s">
        <v>299</v>
      </c>
      <c r="C55" s="3" t="s">
        <v>287</v>
      </c>
      <c r="D55" s="12" t="n">
        <v>126050</v>
      </c>
      <c r="E55" s="12" t="n">
        <v>23950</v>
      </c>
      <c r="F55" s="12" t="n">
        <v>150000</v>
      </c>
      <c r="G55" s="3" t="s">
        <v>229</v>
      </c>
      <c r="H55" s="3" t="s">
        <v>300</v>
      </c>
    </row>
    <row r="56" customFormat="false" ht="15" hidden="false" customHeight="false" outlineLevel="0" collapsed="false">
      <c r="A56" s="3" t="s">
        <v>301</v>
      </c>
      <c r="B56" s="3" t="s">
        <v>302</v>
      </c>
      <c r="C56" s="3" t="s">
        <v>204</v>
      </c>
      <c r="D56" s="12" t="n">
        <v>315484</v>
      </c>
      <c r="E56" s="12" t="n">
        <v>59942</v>
      </c>
      <c r="F56" s="12" t="n">
        <v>375426</v>
      </c>
      <c r="G56" s="3" t="s">
        <v>196</v>
      </c>
      <c r="H56" s="3" t="s">
        <v>234</v>
      </c>
    </row>
    <row r="57" customFormat="false" ht="15" hidden="false" customHeight="false" outlineLevel="0" collapsed="false">
      <c r="A57" s="3" t="s">
        <v>303</v>
      </c>
      <c r="B57" s="3" t="s">
        <v>304</v>
      </c>
      <c r="C57" s="3" t="s">
        <v>305</v>
      </c>
      <c r="D57" s="12" t="n">
        <v>454</v>
      </c>
      <c r="E57" s="12" t="n">
        <v>86</v>
      </c>
      <c r="F57" s="12" t="n">
        <v>540</v>
      </c>
      <c r="G57" s="3" t="s">
        <v>196</v>
      </c>
      <c r="H57" s="3" t="s">
        <v>234</v>
      </c>
    </row>
    <row r="58" customFormat="false" ht="15" hidden="false" customHeight="false" outlineLevel="0" collapsed="false">
      <c r="A58" s="3" t="s">
        <v>231</v>
      </c>
      <c r="B58" s="3" t="s">
        <v>306</v>
      </c>
      <c r="C58" s="3" t="s">
        <v>305</v>
      </c>
      <c r="D58" s="12" t="n">
        <v>58030</v>
      </c>
      <c r="E58" s="12" t="n">
        <v>11026</v>
      </c>
      <c r="F58" s="12" t="n">
        <v>69056</v>
      </c>
      <c r="G58" s="3" t="s">
        <v>196</v>
      </c>
      <c r="H58" s="3" t="s">
        <v>234</v>
      </c>
    </row>
    <row r="59" customFormat="false" ht="15" hidden="false" customHeight="false" outlineLevel="0" collapsed="false">
      <c r="A59" s="3" t="s">
        <v>231</v>
      </c>
      <c r="B59" s="3" t="s">
        <v>307</v>
      </c>
      <c r="C59" s="3" t="s">
        <v>305</v>
      </c>
      <c r="D59" s="12" t="n">
        <v>75584</v>
      </c>
      <c r="E59" s="12" t="n">
        <v>14361</v>
      </c>
      <c r="F59" s="12" t="n">
        <v>89945</v>
      </c>
      <c r="G59" s="3" t="s">
        <v>196</v>
      </c>
      <c r="H59" s="3" t="s">
        <v>234</v>
      </c>
    </row>
    <row r="60" customFormat="false" ht="15" hidden="false" customHeight="false" outlineLevel="0" collapsed="false">
      <c r="A60" s="3" t="s">
        <v>308</v>
      </c>
      <c r="B60" s="3" t="s">
        <v>309</v>
      </c>
      <c r="C60" s="3" t="s">
        <v>305</v>
      </c>
      <c r="D60" s="12" t="n">
        <v>36553</v>
      </c>
      <c r="E60" s="12" t="n">
        <v>6945</v>
      </c>
      <c r="F60" s="12" t="n">
        <v>43498</v>
      </c>
      <c r="G60" s="3" t="s">
        <v>229</v>
      </c>
      <c r="H60" s="3" t="s">
        <v>310</v>
      </c>
    </row>
    <row r="61" customFormat="false" ht="15" hidden="false" customHeight="false" outlineLevel="0" collapsed="false">
      <c r="A61" s="3" t="s">
        <v>308</v>
      </c>
      <c r="B61" s="3" t="s">
        <v>311</v>
      </c>
      <c r="C61" s="3" t="s">
        <v>305</v>
      </c>
      <c r="D61" s="12" t="n">
        <v>23530</v>
      </c>
      <c r="E61" s="12" t="n">
        <v>4471</v>
      </c>
      <c r="F61" s="12" t="n">
        <v>28001</v>
      </c>
      <c r="G61" s="3" t="s">
        <v>229</v>
      </c>
      <c r="H61" s="3" t="s">
        <v>310</v>
      </c>
    </row>
    <row r="62" customFormat="false" ht="15" hidden="false" customHeight="false" outlineLevel="0" collapsed="false">
      <c r="A62" s="3" t="s">
        <v>312</v>
      </c>
      <c r="B62" s="3" t="s">
        <v>313</v>
      </c>
      <c r="C62" s="3" t="s">
        <v>305</v>
      </c>
      <c r="D62" s="12" t="n">
        <v>189000</v>
      </c>
      <c r="E62" s="12" t="n">
        <v>35910</v>
      </c>
      <c r="F62" s="12" t="n">
        <v>224910</v>
      </c>
      <c r="G62" s="3" t="s">
        <v>229</v>
      </c>
      <c r="H62" s="3" t="s">
        <v>314</v>
      </c>
    </row>
    <row r="63" customFormat="false" ht="15" hidden="false" customHeight="false" outlineLevel="0" collapsed="false">
      <c r="A63" s="3" t="s">
        <v>315</v>
      </c>
      <c r="B63" s="3" t="s">
        <v>316</v>
      </c>
      <c r="C63" s="3" t="s">
        <v>317</v>
      </c>
      <c r="D63" s="12" t="n">
        <v>17770</v>
      </c>
      <c r="E63" s="12" t="n">
        <v>3376</v>
      </c>
      <c r="F63" s="12" t="n">
        <v>21146</v>
      </c>
      <c r="G63" s="3" t="s">
        <v>196</v>
      </c>
      <c r="H63" s="3" t="s">
        <v>234</v>
      </c>
    </row>
    <row r="64" customFormat="false" ht="15" hidden="false" customHeight="false" outlineLevel="0" collapsed="false">
      <c r="A64" s="3" t="s">
        <v>318</v>
      </c>
      <c r="B64" s="3" t="s">
        <v>319</v>
      </c>
      <c r="C64" s="3" t="s">
        <v>317</v>
      </c>
      <c r="D64" s="12" t="n">
        <v>110397</v>
      </c>
      <c r="E64" s="12" t="n">
        <v>20976</v>
      </c>
      <c r="F64" s="12" t="n">
        <v>131373</v>
      </c>
      <c r="G64" s="3" t="s">
        <v>196</v>
      </c>
      <c r="H64" s="3" t="s">
        <v>234</v>
      </c>
    </row>
    <row r="65" customFormat="false" ht="15" hidden="false" customHeight="false" outlineLevel="0" collapsed="false">
      <c r="A65" s="3" t="s">
        <v>231</v>
      </c>
      <c r="B65" s="3" t="s">
        <v>320</v>
      </c>
      <c r="C65" s="3" t="s">
        <v>317</v>
      </c>
      <c r="D65" s="12" t="n">
        <v>5983</v>
      </c>
      <c r="E65" s="12" t="n">
        <v>1137</v>
      </c>
      <c r="F65" s="12" t="n">
        <v>7120</v>
      </c>
      <c r="G65" s="3" t="s">
        <v>196</v>
      </c>
      <c r="H65" s="3" t="s">
        <v>234</v>
      </c>
    </row>
    <row r="66" customFormat="false" ht="15" hidden="false" customHeight="false" outlineLevel="0" collapsed="false">
      <c r="A66" s="3" t="s">
        <v>231</v>
      </c>
      <c r="B66" s="3" t="s">
        <v>321</v>
      </c>
      <c r="C66" s="3" t="s">
        <v>317</v>
      </c>
      <c r="D66" s="12" t="n">
        <v>11496</v>
      </c>
      <c r="E66" s="12" t="n">
        <v>2184</v>
      </c>
      <c r="F66" s="12" t="n">
        <v>13680</v>
      </c>
      <c r="G66" s="3" t="s">
        <v>196</v>
      </c>
      <c r="H66" s="3" t="s">
        <v>234</v>
      </c>
    </row>
    <row r="67" customFormat="false" ht="15" hidden="false" customHeight="false" outlineLevel="0" collapsed="false">
      <c r="A67" s="3" t="s">
        <v>231</v>
      </c>
      <c r="B67" s="3" t="s">
        <v>322</v>
      </c>
      <c r="C67" s="3" t="s">
        <v>323</v>
      </c>
      <c r="D67" s="12" t="n">
        <v>11033</v>
      </c>
      <c r="E67" s="12" t="n">
        <v>2096</v>
      </c>
      <c r="F67" s="12" t="n">
        <v>13129</v>
      </c>
      <c r="G67" s="3" t="s">
        <v>196</v>
      </c>
      <c r="H67" s="3" t="s">
        <v>234</v>
      </c>
    </row>
    <row r="68" customFormat="false" ht="15" hidden="false" customHeight="false" outlineLevel="0" collapsed="false">
      <c r="A68" s="3" t="s">
        <v>242</v>
      </c>
      <c r="B68" s="3" t="s">
        <v>324</v>
      </c>
      <c r="C68" s="3" t="s">
        <v>325</v>
      </c>
      <c r="D68" s="12" t="n">
        <v>99955</v>
      </c>
      <c r="E68" s="12" t="n">
        <v>18991</v>
      </c>
      <c r="F68" s="12" t="n">
        <v>118946</v>
      </c>
      <c r="G68" s="3" t="s">
        <v>196</v>
      </c>
      <c r="H68" s="3" t="s">
        <v>234</v>
      </c>
    </row>
    <row r="69" customFormat="false" ht="15" hidden="false" customHeight="false" outlineLevel="0" collapsed="false">
      <c r="A69" s="3" t="s">
        <v>326</v>
      </c>
      <c r="B69" s="3" t="s">
        <v>327</v>
      </c>
      <c r="C69" s="3" t="s">
        <v>328</v>
      </c>
      <c r="D69" s="12" t="n">
        <v>9580</v>
      </c>
      <c r="E69" s="12" t="n">
        <v>1820</v>
      </c>
      <c r="F69" s="12" t="n">
        <v>11400</v>
      </c>
      <c r="G69" s="3" t="s">
        <v>229</v>
      </c>
      <c r="H69" s="3" t="s">
        <v>329</v>
      </c>
    </row>
    <row r="70" customFormat="false" ht="15" hidden="false" customHeight="false" outlineLevel="0" collapsed="false">
      <c r="A70" s="3" t="s">
        <v>226</v>
      </c>
      <c r="B70" s="3" t="s">
        <v>330</v>
      </c>
      <c r="C70" s="3" t="s">
        <v>212</v>
      </c>
      <c r="D70" s="12" t="n">
        <v>153165</v>
      </c>
      <c r="E70" s="12" t="n">
        <v>29102</v>
      </c>
      <c r="F70" s="12" t="n">
        <v>200000</v>
      </c>
      <c r="G70" s="3" t="s">
        <v>229</v>
      </c>
      <c r="H70" s="3" t="s">
        <v>331</v>
      </c>
    </row>
    <row r="71" customFormat="false" ht="15" hidden="false" customHeight="false" outlineLevel="0" collapsed="false">
      <c r="A71" s="3" t="s">
        <v>231</v>
      </c>
      <c r="B71" s="3" t="s">
        <v>332</v>
      </c>
      <c r="C71" s="3" t="s">
        <v>212</v>
      </c>
      <c r="D71" s="12" t="n">
        <v>3571</v>
      </c>
      <c r="E71" s="12" t="n">
        <v>678</v>
      </c>
      <c r="F71" s="12" t="n">
        <v>4249</v>
      </c>
      <c r="G71" s="3" t="s">
        <v>196</v>
      </c>
      <c r="H71" s="3" t="s">
        <v>234</v>
      </c>
    </row>
    <row r="72" customFormat="false" ht="15" hidden="false" customHeight="false" outlineLevel="0" collapsed="false">
      <c r="A72" s="3" t="s">
        <v>231</v>
      </c>
      <c r="B72" s="3" t="s">
        <v>333</v>
      </c>
      <c r="C72" s="3" t="s">
        <v>212</v>
      </c>
      <c r="D72" s="12" t="n">
        <v>5311</v>
      </c>
      <c r="E72" s="12" t="n">
        <v>1009</v>
      </c>
      <c r="F72" s="12" t="n">
        <v>6320</v>
      </c>
      <c r="G72" s="3" t="s">
        <v>196</v>
      </c>
      <c r="H72" s="3" t="s">
        <v>234</v>
      </c>
    </row>
    <row r="73" customFormat="false" ht="15" hidden="false" customHeight="false" outlineLevel="0" collapsed="false">
      <c r="A73" s="3" t="s">
        <v>231</v>
      </c>
      <c r="B73" s="3" t="s">
        <v>334</v>
      </c>
      <c r="C73" s="3" t="s">
        <v>212</v>
      </c>
      <c r="D73" s="12" t="n">
        <v>18007</v>
      </c>
      <c r="E73" s="12" t="n">
        <v>3421</v>
      </c>
      <c r="F73" s="12" t="n">
        <v>21428</v>
      </c>
      <c r="G73" s="3" t="s">
        <v>196</v>
      </c>
      <c r="H73" s="3" t="s">
        <v>234</v>
      </c>
    </row>
    <row r="74" customFormat="false" ht="15" hidden="false" customHeight="false" outlineLevel="0" collapsed="false">
      <c r="A74" s="3" t="s">
        <v>335</v>
      </c>
      <c r="B74" s="3" t="s">
        <v>336</v>
      </c>
      <c r="C74" s="3" t="s">
        <v>337</v>
      </c>
      <c r="D74" s="12" t="n">
        <v>77442</v>
      </c>
      <c r="E74" s="12" t="n">
        <v>14714</v>
      </c>
      <c r="F74" s="12" t="n">
        <v>100000</v>
      </c>
      <c r="G74" s="3" t="s">
        <v>229</v>
      </c>
      <c r="H74" s="3" t="s">
        <v>338</v>
      </c>
    </row>
    <row r="75" customFormat="false" ht="15" hidden="false" customHeight="false" outlineLevel="0" collapsed="false">
      <c r="A75" s="3" t="s">
        <v>231</v>
      </c>
      <c r="B75" s="3" t="s">
        <v>339</v>
      </c>
      <c r="C75" s="3" t="s">
        <v>337</v>
      </c>
      <c r="D75" s="12" t="n">
        <v>5247</v>
      </c>
      <c r="E75" s="12" t="n">
        <v>997</v>
      </c>
      <c r="F75" s="12" t="n">
        <v>6244</v>
      </c>
      <c r="G75" s="3" t="s">
        <v>196</v>
      </c>
      <c r="H75" s="3" t="s">
        <v>234</v>
      </c>
    </row>
    <row r="76" customFormat="false" ht="15" hidden="false" customHeight="false" outlineLevel="0" collapsed="false">
      <c r="A76" s="3" t="s">
        <v>298</v>
      </c>
      <c r="B76" s="3" t="s">
        <v>340</v>
      </c>
      <c r="C76" s="3" t="s">
        <v>337</v>
      </c>
      <c r="D76" s="12" t="n">
        <v>65000</v>
      </c>
      <c r="E76" s="12" t="n">
        <v>12350</v>
      </c>
      <c r="F76" s="12" t="n">
        <v>77350</v>
      </c>
      <c r="G76" s="3" t="s">
        <v>229</v>
      </c>
      <c r="H76" s="3" t="s">
        <v>341</v>
      </c>
    </row>
    <row r="77" customFormat="false" ht="15" hidden="false" customHeight="false" outlineLevel="0" collapsed="false">
      <c r="A77" s="3" t="s">
        <v>342</v>
      </c>
      <c r="B77" s="3" t="s">
        <v>343</v>
      </c>
      <c r="C77" s="3" t="s">
        <v>337</v>
      </c>
      <c r="D77" s="12" t="n">
        <v>8403</v>
      </c>
      <c r="E77" s="12" t="n">
        <v>1597</v>
      </c>
      <c r="F77" s="12" t="n">
        <v>10000</v>
      </c>
      <c r="G77" s="3" t="s">
        <v>229</v>
      </c>
      <c r="H77" s="3" t="s">
        <v>344</v>
      </c>
    </row>
    <row r="78" customFormat="false" ht="15" hidden="false" customHeight="false" outlineLevel="0" collapsed="false">
      <c r="A78" s="3" t="s">
        <v>226</v>
      </c>
      <c r="B78" s="3" t="s">
        <v>345</v>
      </c>
      <c r="C78" s="3" t="s">
        <v>216</v>
      </c>
      <c r="D78" s="12" t="n">
        <v>1148745</v>
      </c>
      <c r="E78" s="12" t="n">
        <v>218261</v>
      </c>
      <c r="F78" s="12" t="n">
        <v>1500000</v>
      </c>
      <c r="G78" s="3" t="s">
        <v>229</v>
      </c>
      <c r="H78" s="3" t="s">
        <v>346</v>
      </c>
    </row>
    <row r="79" customFormat="false" ht="15" hidden="false" customHeight="false" outlineLevel="0" collapsed="false">
      <c r="A79" s="3" t="s">
        <v>231</v>
      </c>
      <c r="B79" s="3" t="s">
        <v>347</v>
      </c>
      <c r="C79" s="3" t="s">
        <v>216</v>
      </c>
      <c r="D79" s="12" t="n">
        <v>11815</v>
      </c>
      <c r="E79" s="12" t="n">
        <v>2245</v>
      </c>
      <c r="F79" s="12" t="n">
        <v>14060</v>
      </c>
      <c r="G79" s="3" t="s">
        <v>196</v>
      </c>
      <c r="H79" s="3" t="s">
        <v>234</v>
      </c>
    </row>
    <row r="80" customFormat="false" ht="15" hidden="false" customHeight="false" outlineLevel="0" collapsed="false">
      <c r="A80" s="3" t="s">
        <v>348</v>
      </c>
      <c r="B80" s="3" t="s">
        <v>349</v>
      </c>
      <c r="C80" s="3" t="s">
        <v>350</v>
      </c>
      <c r="D80" s="12" t="n">
        <v>46782</v>
      </c>
      <c r="E80" s="12" t="n">
        <v>8888</v>
      </c>
      <c r="F80" s="12" t="n">
        <v>55670</v>
      </c>
      <c r="G80" s="3" t="s">
        <v>196</v>
      </c>
      <c r="H80" s="3" t="s">
        <v>234</v>
      </c>
    </row>
    <row r="81" customFormat="false" ht="15" hidden="false" customHeight="false" outlineLevel="0" collapsed="false">
      <c r="A81" s="3" t="s">
        <v>335</v>
      </c>
      <c r="B81" s="3" t="s">
        <v>351</v>
      </c>
      <c r="C81" s="3" t="s">
        <v>219</v>
      </c>
      <c r="D81" s="12" t="n">
        <v>34433</v>
      </c>
      <c r="E81" s="12" t="n">
        <v>5567</v>
      </c>
      <c r="F81" s="12" t="n">
        <v>40000</v>
      </c>
      <c r="G81" s="3" t="s">
        <v>229</v>
      </c>
      <c r="H81" s="3" t="s">
        <v>352</v>
      </c>
    </row>
    <row r="82" customFormat="false" ht="15" hidden="false" customHeight="false" outlineLevel="0" collapsed="false">
      <c r="A82" s="3" t="s">
        <v>353</v>
      </c>
      <c r="B82" s="3" t="s">
        <v>354</v>
      </c>
      <c r="C82" s="3" t="s">
        <v>219</v>
      </c>
      <c r="D82" s="12" t="n">
        <v>23529</v>
      </c>
      <c r="E82" s="12" t="n">
        <v>4471</v>
      </c>
      <c r="F82" s="12" t="n">
        <v>28000</v>
      </c>
      <c r="G82" s="3" t="s">
        <v>196</v>
      </c>
      <c r="H82" s="3" t="s">
        <v>234</v>
      </c>
    </row>
    <row r="83" customFormat="false" ht="15" hidden="false" customHeight="false" outlineLevel="0" collapsed="false">
      <c r="A83" s="3" t="s">
        <v>231</v>
      </c>
      <c r="B83" s="3" t="s">
        <v>355</v>
      </c>
      <c r="C83" s="3" t="s">
        <v>219</v>
      </c>
      <c r="D83" s="12" t="n">
        <v>66399</v>
      </c>
      <c r="E83" s="12" t="n">
        <v>12616</v>
      </c>
      <c r="F83" s="12" t="n">
        <v>79015</v>
      </c>
      <c r="G83" s="3" t="s">
        <v>196</v>
      </c>
      <c r="H83" s="3" t="s">
        <v>234</v>
      </c>
    </row>
    <row r="84" customFormat="false" ht="15" hidden="false" customHeight="false" outlineLevel="0" collapsed="false">
      <c r="A84" s="3" t="s">
        <v>231</v>
      </c>
      <c r="B84" s="3" t="s">
        <v>356</v>
      </c>
      <c r="C84" s="3" t="s">
        <v>219</v>
      </c>
      <c r="D84" s="12" t="n">
        <v>6788</v>
      </c>
      <c r="E84" s="12" t="n">
        <v>1290</v>
      </c>
      <c r="F84" s="12" t="n">
        <v>8078</v>
      </c>
      <c r="G84" s="3" t="s">
        <v>196</v>
      </c>
      <c r="H84" s="3" t="s">
        <v>234</v>
      </c>
    </row>
    <row r="85" customFormat="false" ht="15" hidden="false" customHeight="false" outlineLevel="0" collapsed="false">
      <c r="A85" s="3" t="s">
        <v>255</v>
      </c>
      <c r="B85" s="3" t="s">
        <v>357</v>
      </c>
      <c r="C85" s="3" t="s">
        <v>219</v>
      </c>
      <c r="D85" s="12" t="n">
        <v>22779</v>
      </c>
      <c r="E85" s="12" t="n">
        <v>4329</v>
      </c>
      <c r="F85" s="12" t="n">
        <v>40000</v>
      </c>
      <c r="G85" s="3" t="s">
        <v>196</v>
      </c>
      <c r="H85" s="3" t="s">
        <v>234</v>
      </c>
    </row>
    <row r="86" customFormat="false" ht="15" hidden="false" customHeight="false" outlineLevel="0" collapsed="false">
      <c r="A86" s="3" t="s">
        <v>292</v>
      </c>
      <c r="B86" s="3" t="s">
        <v>358</v>
      </c>
      <c r="C86" s="3" t="s">
        <v>359</v>
      </c>
      <c r="D86" s="12" t="n">
        <v>23529</v>
      </c>
      <c r="E86" s="12" t="n">
        <v>4471</v>
      </c>
      <c r="F86" s="12" t="n">
        <v>28000</v>
      </c>
      <c r="G86" s="3" t="s">
        <v>196</v>
      </c>
      <c r="H86" s="3" t="s">
        <v>234</v>
      </c>
    </row>
    <row r="87" customFormat="false" ht="15" hidden="false" customHeight="false" outlineLevel="0" collapsed="false">
      <c r="A87" s="3" t="s">
        <v>308</v>
      </c>
      <c r="B87" s="3" t="s">
        <v>360</v>
      </c>
      <c r="C87" s="3" t="s">
        <v>359</v>
      </c>
      <c r="D87" s="12" t="n">
        <v>46218</v>
      </c>
      <c r="E87" s="12" t="n">
        <v>8781</v>
      </c>
      <c r="F87" s="12" t="n">
        <v>54999</v>
      </c>
      <c r="G87" s="3" t="s">
        <v>196</v>
      </c>
      <c r="H87" s="3" t="s">
        <v>234</v>
      </c>
    </row>
    <row r="88" customFormat="false" ht="15" hidden="false" customHeight="false" outlineLevel="0" collapsed="false">
      <c r="A88" s="3" t="s">
        <v>361</v>
      </c>
      <c r="B88" s="3" t="s">
        <v>362</v>
      </c>
      <c r="C88" s="3" t="s">
        <v>221</v>
      </c>
      <c r="D88" s="12" t="n">
        <v>47899</v>
      </c>
      <c r="E88" s="12" t="n">
        <v>9101</v>
      </c>
      <c r="F88" s="12" t="n">
        <v>57000</v>
      </c>
      <c r="G88" s="3" t="s">
        <v>196</v>
      </c>
      <c r="H88" s="3" t="s">
        <v>234</v>
      </c>
    </row>
    <row r="89" customFormat="false" ht="15" hidden="false" customHeight="false" outlineLevel="0" collapsed="false">
      <c r="A89" s="3" t="s">
        <v>266</v>
      </c>
      <c r="B89" s="3" t="s">
        <v>363</v>
      </c>
      <c r="C89" s="3" t="s">
        <v>221</v>
      </c>
      <c r="D89" s="12" t="n">
        <v>134429</v>
      </c>
      <c r="E89" s="12" t="n">
        <v>25541</v>
      </c>
      <c r="F89" s="12" t="n">
        <v>159970</v>
      </c>
      <c r="G89" s="3" t="s">
        <v>229</v>
      </c>
      <c r="H89" s="3" t="s">
        <v>364</v>
      </c>
    </row>
    <row r="90" customFormat="false" ht="15" hidden="false" customHeight="false" outlineLevel="0" collapsed="false">
      <c r="A90" s="3" t="s">
        <v>255</v>
      </c>
      <c r="B90" s="3" t="s">
        <v>365</v>
      </c>
      <c r="C90" s="3" t="s">
        <v>366</v>
      </c>
      <c r="D90" s="12" t="n">
        <v>27478</v>
      </c>
      <c r="E90" s="12" t="n">
        <v>5221</v>
      </c>
      <c r="F90" s="12" t="n">
        <v>50000</v>
      </c>
      <c r="G90" s="3" t="s">
        <v>229</v>
      </c>
      <c r="H90" s="3" t="s">
        <v>367</v>
      </c>
    </row>
    <row r="91" customFormat="false" ht="15" hidden="false" customHeight="false" outlineLevel="0" collapsed="false">
      <c r="A91" s="3" t="s">
        <v>368</v>
      </c>
      <c r="B91" s="3" t="s">
        <v>369</v>
      </c>
      <c r="C91" s="3" t="s">
        <v>221</v>
      </c>
      <c r="D91" s="12" t="n">
        <v>28008</v>
      </c>
      <c r="E91" s="12" t="n">
        <v>5322</v>
      </c>
      <c r="F91" s="12" t="n">
        <v>33330</v>
      </c>
      <c r="G91" s="3" t="s">
        <v>196</v>
      </c>
      <c r="H91" s="3" t="s">
        <v>234</v>
      </c>
    </row>
    <row r="92" customFormat="false" ht="15" hidden="false" customHeight="false" outlineLevel="0" collapsed="false">
      <c r="A92" s="3" t="s">
        <v>231</v>
      </c>
      <c r="B92" s="3" t="s">
        <v>370</v>
      </c>
      <c r="C92" s="3" t="s">
        <v>305</v>
      </c>
      <c r="D92" s="12" t="n">
        <v>58030</v>
      </c>
      <c r="E92" s="12" t="n">
        <v>11026</v>
      </c>
      <c r="F92" s="12" t="n">
        <v>69056</v>
      </c>
      <c r="G92" s="3" t="s">
        <v>196</v>
      </c>
      <c r="H92" s="3" t="s">
        <v>234</v>
      </c>
    </row>
    <row r="93" customFormat="false" ht="15" hidden="false" customHeight="false" outlineLevel="0" collapsed="false">
      <c r="A93" s="3" t="s">
        <v>242</v>
      </c>
      <c r="B93" s="3" t="s">
        <v>371</v>
      </c>
      <c r="C93" s="3" t="s">
        <v>325</v>
      </c>
      <c r="D93" s="12" t="n">
        <v>57828</v>
      </c>
      <c r="E93" s="12" t="n">
        <v>10987</v>
      </c>
      <c r="F93" s="12" t="n">
        <v>68815</v>
      </c>
      <c r="G93" s="3" t="s">
        <v>196</v>
      </c>
      <c r="H93" s="3" t="s">
        <v>234</v>
      </c>
    </row>
    <row r="94" customFormat="false" ht="15" hidden="false" customHeight="false" outlineLevel="0" collapsed="false">
      <c r="A94" s="18" t="s">
        <v>372</v>
      </c>
      <c r="F94" s="14" t="n">
        <v>12619605</v>
      </c>
      <c r="G94" s="29" t="s">
        <v>373</v>
      </c>
    </row>
    <row r="96" customFormat="false" ht="15" hidden="false" customHeight="false" outlineLevel="0" collapsed="false">
      <c r="A96" s="2" t="s">
        <v>374</v>
      </c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9" t="s">
        <v>375</v>
      </c>
      <c r="B97" s="9" t="s">
        <v>376</v>
      </c>
      <c r="C97" s="9" t="s">
        <v>377</v>
      </c>
      <c r="D97" s="9" t="s">
        <v>378</v>
      </c>
      <c r="E97" s="9" t="s">
        <v>379</v>
      </c>
    </row>
    <row r="98" customFormat="false" ht="15" hidden="false" customHeight="false" outlineLevel="0" collapsed="false">
      <c r="A98" s="3" t="s">
        <v>228</v>
      </c>
      <c r="B98" s="3" t="s">
        <v>380</v>
      </c>
      <c r="C98" s="12" t="n">
        <v>4000000</v>
      </c>
      <c r="D98" s="3" t="s">
        <v>381</v>
      </c>
      <c r="E98" s="3" t="s">
        <v>382</v>
      </c>
    </row>
    <row r="99" customFormat="false" ht="15" hidden="false" customHeight="false" outlineLevel="0" collapsed="false">
      <c r="A99" s="3" t="s">
        <v>228</v>
      </c>
      <c r="B99" s="3" t="s">
        <v>380</v>
      </c>
      <c r="C99" s="12" t="n">
        <v>70000</v>
      </c>
      <c r="D99" s="3" t="s">
        <v>381</v>
      </c>
      <c r="E99" s="3" t="s">
        <v>382</v>
      </c>
    </row>
    <row r="100" customFormat="false" ht="15" hidden="false" customHeight="false" outlineLevel="0" collapsed="false">
      <c r="A100" s="3" t="s">
        <v>228</v>
      </c>
      <c r="B100" s="3" t="s">
        <v>383</v>
      </c>
      <c r="C100" s="12" t="n">
        <v>277</v>
      </c>
      <c r="D100" s="3" t="s">
        <v>381</v>
      </c>
      <c r="E100" s="3" t="s">
        <v>384</v>
      </c>
    </row>
    <row r="101" customFormat="false" ht="15" hidden="false" customHeight="false" outlineLevel="0" collapsed="false">
      <c r="A101" s="3" t="s">
        <v>228</v>
      </c>
      <c r="B101" s="3" t="s">
        <v>385</v>
      </c>
      <c r="C101" s="12" t="n">
        <v>-100000</v>
      </c>
      <c r="D101" s="3" t="s">
        <v>386</v>
      </c>
      <c r="E101" s="3" t="s">
        <v>387</v>
      </c>
    </row>
    <row r="102" customFormat="false" ht="15" hidden="false" customHeight="false" outlineLevel="0" collapsed="false">
      <c r="A102" s="3" t="s">
        <v>228</v>
      </c>
      <c r="B102" s="3" t="s">
        <v>388</v>
      </c>
      <c r="C102" s="12" t="n">
        <v>-92000</v>
      </c>
      <c r="D102" s="3" t="s">
        <v>386</v>
      </c>
      <c r="E102" s="3" t="s">
        <v>387</v>
      </c>
    </row>
    <row r="103" customFormat="false" ht="15" hidden="false" customHeight="false" outlineLevel="0" collapsed="false">
      <c r="A103" s="3" t="s">
        <v>228</v>
      </c>
      <c r="B103" s="3" t="s">
        <v>388</v>
      </c>
      <c r="C103" s="12" t="n">
        <v>-50000</v>
      </c>
      <c r="D103" s="3" t="s">
        <v>386</v>
      </c>
      <c r="E103" s="3" t="s">
        <v>387</v>
      </c>
    </row>
    <row r="104" customFormat="false" ht="15" hidden="false" customHeight="false" outlineLevel="0" collapsed="false">
      <c r="A104" s="3" t="s">
        <v>228</v>
      </c>
      <c r="B104" s="3" t="s">
        <v>389</v>
      </c>
      <c r="C104" s="12" t="n">
        <v>-50000</v>
      </c>
      <c r="D104" s="3" t="s">
        <v>386</v>
      </c>
      <c r="E104" s="3" t="s">
        <v>387</v>
      </c>
    </row>
    <row r="105" customFormat="false" ht="15" hidden="false" customHeight="false" outlineLevel="0" collapsed="false">
      <c r="A105" s="3" t="s">
        <v>228</v>
      </c>
      <c r="B105" s="3" t="s">
        <v>385</v>
      </c>
      <c r="C105" s="12" t="n">
        <v>-16000</v>
      </c>
      <c r="D105" s="3" t="s">
        <v>386</v>
      </c>
      <c r="E105" s="3" t="s">
        <v>387</v>
      </c>
    </row>
    <row r="106" customFormat="false" ht="15" hidden="false" customHeight="false" outlineLevel="0" collapsed="false">
      <c r="A106" s="3" t="s">
        <v>190</v>
      </c>
      <c r="B106" s="3" t="s">
        <v>385</v>
      </c>
      <c r="C106" s="12" t="n">
        <v>-12000</v>
      </c>
      <c r="D106" s="3" t="s">
        <v>386</v>
      </c>
      <c r="E106" s="3" t="s">
        <v>387</v>
      </c>
    </row>
    <row r="107" customFormat="false" ht="15" hidden="false" customHeight="false" outlineLevel="0" collapsed="false">
      <c r="A107" s="3" t="s">
        <v>190</v>
      </c>
      <c r="B107" s="3" t="s">
        <v>388</v>
      </c>
      <c r="C107" s="12" t="n">
        <v>-12000</v>
      </c>
      <c r="D107" s="3" t="s">
        <v>386</v>
      </c>
      <c r="E107" s="3" t="s">
        <v>387</v>
      </c>
    </row>
    <row r="108" customFormat="false" ht="15" hidden="false" customHeight="false" outlineLevel="0" collapsed="false">
      <c r="A108" s="3" t="s">
        <v>190</v>
      </c>
      <c r="B108" s="3" t="s">
        <v>388</v>
      </c>
      <c r="C108" s="12" t="n">
        <v>-17000</v>
      </c>
      <c r="D108" s="3" t="s">
        <v>386</v>
      </c>
      <c r="E108" s="3" t="s">
        <v>387</v>
      </c>
    </row>
    <row r="109" customFormat="false" ht="15" hidden="false" customHeight="false" outlineLevel="0" collapsed="false">
      <c r="A109" s="3" t="s">
        <v>244</v>
      </c>
      <c r="B109" s="3" t="s">
        <v>390</v>
      </c>
      <c r="C109" s="12" t="n">
        <v>2156694</v>
      </c>
      <c r="D109" s="3" t="s">
        <v>381</v>
      </c>
      <c r="E109" s="3" t="s">
        <v>391</v>
      </c>
    </row>
    <row r="110" customFormat="false" ht="15" hidden="false" customHeight="false" outlineLevel="0" collapsed="false">
      <c r="A110" s="3" t="s">
        <v>244</v>
      </c>
      <c r="B110" s="3" t="s">
        <v>385</v>
      </c>
      <c r="C110" s="12" t="n">
        <v>-20000</v>
      </c>
      <c r="D110" s="3" t="s">
        <v>386</v>
      </c>
      <c r="E110" s="3" t="s">
        <v>387</v>
      </c>
    </row>
    <row r="111" customFormat="false" ht="15" hidden="false" customHeight="false" outlineLevel="0" collapsed="false">
      <c r="A111" s="3" t="s">
        <v>244</v>
      </c>
      <c r="B111" s="3" t="s">
        <v>392</v>
      </c>
      <c r="C111" s="12" t="n">
        <v>-15000</v>
      </c>
      <c r="D111" s="3" t="s">
        <v>386</v>
      </c>
      <c r="E111" s="3" t="s">
        <v>387</v>
      </c>
    </row>
    <row r="112" customFormat="false" ht="15" hidden="false" customHeight="false" outlineLevel="0" collapsed="false">
      <c r="A112" s="3" t="s">
        <v>244</v>
      </c>
      <c r="B112" s="3" t="s">
        <v>388</v>
      </c>
      <c r="C112" s="12" t="n">
        <v>-14000</v>
      </c>
      <c r="D112" s="3" t="s">
        <v>386</v>
      </c>
      <c r="E112" s="3" t="s">
        <v>387</v>
      </c>
    </row>
    <row r="113" customFormat="false" ht="15" hidden="false" customHeight="false" outlineLevel="0" collapsed="false">
      <c r="A113" s="3" t="s">
        <v>247</v>
      </c>
      <c r="B113" s="3" t="s">
        <v>392</v>
      </c>
      <c r="C113" s="12" t="n">
        <v>-17000</v>
      </c>
      <c r="D113" s="3" t="s">
        <v>386</v>
      </c>
      <c r="E113" s="3" t="s">
        <v>387</v>
      </c>
    </row>
    <row r="114" customFormat="false" ht="15" hidden="false" customHeight="false" outlineLevel="0" collapsed="false">
      <c r="A114" s="3" t="s">
        <v>247</v>
      </c>
      <c r="B114" s="3" t="s">
        <v>388</v>
      </c>
      <c r="C114" s="12" t="n">
        <v>-20000</v>
      </c>
      <c r="D114" s="3" t="s">
        <v>386</v>
      </c>
      <c r="E114" s="3" t="s">
        <v>387</v>
      </c>
    </row>
    <row r="115" customFormat="false" ht="15" hidden="false" customHeight="false" outlineLevel="0" collapsed="false">
      <c r="A115" s="3" t="s">
        <v>247</v>
      </c>
      <c r="B115" s="3" t="s">
        <v>385</v>
      </c>
      <c r="C115" s="12" t="n">
        <v>-20000</v>
      </c>
      <c r="D115" s="3" t="s">
        <v>386</v>
      </c>
      <c r="E115" s="3" t="s">
        <v>387</v>
      </c>
    </row>
    <row r="116" customFormat="false" ht="15" hidden="false" customHeight="false" outlineLevel="0" collapsed="false">
      <c r="A116" s="3" t="s">
        <v>247</v>
      </c>
      <c r="B116" s="3" t="s">
        <v>385</v>
      </c>
      <c r="C116" s="12" t="n">
        <v>-100000</v>
      </c>
      <c r="D116" s="3" t="s">
        <v>386</v>
      </c>
      <c r="E116" s="3" t="s">
        <v>387</v>
      </c>
    </row>
    <row r="117" customFormat="false" ht="15" hidden="false" customHeight="false" outlineLevel="0" collapsed="false">
      <c r="A117" s="3" t="s">
        <v>247</v>
      </c>
      <c r="B117" s="3" t="s">
        <v>393</v>
      </c>
      <c r="C117" s="12" t="n">
        <v>-480000</v>
      </c>
      <c r="D117" s="3" t="s">
        <v>386</v>
      </c>
      <c r="E117" s="3" t="s">
        <v>387</v>
      </c>
    </row>
    <row r="118" customFormat="false" ht="15" hidden="false" customHeight="false" outlineLevel="0" collapsed="false">
      <c r="A118" s="3" t="s">
        <v>247</v>
      </c>
      <c r="B118" s="3" t="s">
        <v>388</v>
      </c>
      <c r="C118" s="12" t="n">
        <v>-300000</v>
      </c>
      <c r="D118" s="3" t="s">
        <v>386</v>
      </c>
      <c r="E118" s="3" t="s">
        <v>387</v>
      </c>
    </row>
    <row r="119" customFormat="false" ht="15" hidden="false" customHeight="false" outlineLevel="0" collapsed="false">
      <c r="A119" s="3" t="s">
        <v>247</v>
      </c>
      <c r="B119" s="3" t="s">
        <v>389</v>
      </c>
      <c r="C119" s="12" t="n">
        <v>-300000</v>
      </c>
      <c r="D119" s="3" t="s">
        <v>386</v>
      </c>
      <c r="E119" s="3" t="s">
        <v>387</v>
      </c>
    </row>
    <row r="120" customFormat="false" ht="15" hidden="false" customHeight="false" outlineLevel="0" collapsed="false">
      <c r="A120" s="3" t="s">
        <v>247</v>
      </c>
      <c r="B120" s="3" t="s">
        <v>392</v>
      </c>
      <c r="C120" s="12" t="n">
        <v>-470000</v>
      </c>
      <c r="D120" s="3" t="s">
        <v>386</v>
      </c>
      <c r="E120" s="3" t="s">
        <v>387</v>
      </c>
    </row>
    <row r="121" customFormat="false" ht="15" hidden="false" customHeight="false" outlineLevel="0" collapsed="false">
      <c r="A121" s="3" t="s">
        <v>247</v>
      </c>
      <c r="B121" s="3" t="s">
        <v>385</v>
      </c>
      <c r="C121" s="12" t="n">
        <v>-200000</v>
      </c>
      <c r="D121" s="3" t="s">
        <v>386</v>
      </c>
      <c r="E121" s="3" t="s">
        <v>387</v>
      </c>
    </row>
    <row r="122" customFormat="false" ht="15" hidden="false" customHeight="false" outlineLevel="0" collapsed="false">
      <c r="A122" s="3" t="s">
        <v>249</v>
      </c>
      <c r="B122" s="3" t="s">
        <v>385</v>
      </c>
      <c r="C122" s="12" t="n">
        <v>-20000</v>
      </c>
      <c r="D122" s="3" t="s">
        <v>386</v>
      </c>
      <c r="E122" s="3" t="s">
        <v>387</v>
      </c>
    </row>
    <row r="123" customFormat="false" ht="15" hidden="false" customHeight="false" outlineLevel="0" collapsed="false">
      <c r="A123" s="3" t="s">
        <v>249</v>
      </c>
      <c r="B123" s="3" t="s">
        <v>388</v>
      </c>
      <c r="C123" s="12" t="n">
        <v>-20000</v>
      </c>
      <c r="D123" s="3" t="s">
        <v>386</v>
      </c>
      <c r="E123" s="3" t="s">
        <v>387</v>
      </c>
    </row>
    <row r="124" customFormat="false" ht="15" hidden="false" customHeight="false" outlineLevel="0" collapsed="false">
      <c r="A124" s="3" t="s">
        <v>249</v>
      </c>
      <c r="B124" s="3" t="s">
        <v>394</v>
      </c>
      <c r="C124" s="12" t="n">
        <v>-2010</v>
      </c>
      <c r="D124" s="3" t="s">
        <v>386</v>
      </c>
      <c r="E124" s="3" t="s">
        <v>395</v>
      </c>
    </row>
    <row r="125" customFormat="false" ht="15" hidden="false" customHeight="false" outlineLevel="0" collapsed="false">
      <c r="A125" s="3" t="s">
        <v>253</v>
      </c>
      <c r="B125" s="3" t="s">
        <v>388</v>
      </c>
      <c r="C125" s="12" t="n">
        <v>-50000</v>
      </c>
      <c r="D125" s="3" t="s">
        <v>386</v>
      </c>
      <c r="E125" s="3" t="s">
        <v>387</v>
      </c>
    </row>
    <row r="126" customFormat="false" ht="15" hidden="false" customHeight="false" outlineLevel="0" collapsed="false">
      <c r="A126" s="3" t="s">
        <v>253</v>
      </c>
      <c r="B126" s="3" t="s">
        <v>385</v>
      </c>
      <c r="C126" s="12" t="n">
        <v>-12000</v>
      </c>
      <c r="D126" s="3" t="s">
        <v>386</v>
      </c>
      <c r="E126" s="3" t="s">
        <v>387</v>
      </c>
    </row>
    <row r="127" customFormat="false" ht="15" hidden="false" customHeight="false" outlineLevel="0" collapsed="false">
      <c r="A127" s="3" t="s">
        <v>253</v>
      </c>
      <c r="B127" s="3" t="s">
        <v>392</v>
      </c>
      <c r="C127" s="12" t="n">
        <v>-12000</v>
      </c>
      <c r="D127" s="3" t="s">
        <v>386</v>
      </c>
      <c r="E127" s="3" t="s">
        <v>387</v>
      </c>
    </row>
    <row r="128" customFormat="false" ht="15" hidden="false" customHeight="false" outlineLevel="0" collapsed="false">
      <c r="A128" s="3" t="s">
        <v>253</v>
      </c>
      <c r="B128" s="3" t="s">
        <v>388</v>
      </c>
      <c r="C128" s="12" t="n">
        <v>-21000</v>
      </c>
      <c r="D128" s="3" t="s">
        <v>386</v>
      </c>
      <c r="E128" s="3" t="s">
        <v>387</v>
      </c>
    </row>
    <row r="129" customFormat="false" ht="15" hidden="false" customHeight="false" outlineLevel="0" collapsed="false">
      <c r="A129" s="3" t="s">
        <v>253</v>
      </c>
      <c r="B129" s="3" t="s">
        <v>392</v>
      </c>
      <c r="C129" s="12" t="n">
        <v>-110000</v>
      </c>
      <c r="D129" s="3" t="s">
        <v>386</v>
      </c>
      <c r="E129" s="3" t="s">
        <v>387</v>
      </c>
    </row>
    <row r="130" customFormat="false" ht="15" hidden="false" customHeight="false" outlineLevel="0" collapsed="false">
      <c r="A130" s="3" t="s">
        <v>253</v>
      </c>
      <c r="B130" s="3" t="s">
        <v>380</v>
      </c>
      <c r="C130" s="12" t="n">
        <v>800000</v>
      </c>
      <c r="D130" s="3" t="s">
        <v>381</v>
      </c>
      <c r="E130" s="3" t="s">
        <v>382</v>
      </c>
    </row>
    <row r="131" customFormat="false" ht="15" hidden="false" customHeight="false" outlineLevel="0" collapsed="false">
      <c r="A131" s="3" t="s">
        <v>253</v>
      </c>
      <c r="B131" s="3" t="s">
        <v>396</v>
      </c>
      <c r="C131" s="12" t="n">
        <v>-170000</v>
      </c>
      <c r="D131" s="3" t="s">
        <v>386</v>
      </c>
      <c r="E131" s="3" t="s">
        <v>387</v>
      </c>
    </row>
    <row r="132" customFormat="false" ht="15" hidden="false" customHeight="false" outlineLevel="0" collapsed="false">
      <c r="A132" s="3" t="s">
        <v>253</v>
      </c>
      <c r="B132" s="3" t="s">
        <v>389</v>
      </c>
      <c r="C132" s="12" t="n">
        <v>-800000</v>
      </c>
      <c r="D132" s="3" t="s">
        <v>386</v>
      </c>
      <c r="E132" s="3" t="s">
        <v>387</v>
      </c>
    </row>
    <row r="133" customFormat="false" ht="15" hidden="false" customHeight="false" outlineLevel="0" collapsed="false">
      <c r="A133" s="3" t="s">
        <v>253</v>
      </c>
      <c r="B133" s="3" t="s">
        <v>397</v>
      </c>
      <c r="C133" s="12" t="n">
        <v>300094</v>
      </c>
      <c r="D133" s="3" t="s">
        <v>381</v>
      </c>
      <c r="E133" s="3" t="s">
        <v>384</v>
      </c>
    </row>
    <row r="134" customFormat="false" ht="15" hidden="false" customHeight="false" outlineLevel="0" collapsed="false">
      <c r="A134" s="3" t="s">
        <v>253</v>
      </c>
      <c r="B134" s="3" t="s">
        <v>385</v>
      </c>
      <c r="C134" s="12" t="n">
        <v>-150000</v>
      </c>
      <c r="D134" s="3" t="s">
        <v>386</v>
      </c>
      <c r="E134" s="3" t="s">
        <v>387</v>
      </c>
    </row>
    <row r="135" customFormat="false" ht="15" hidden="false" customHeight="false" outlineLevel="0" collapsed="false">
      <c r="A135" s="3" t="s">
        <v>199</v>
      </c>
      <c r="B135" s="3" t="s">
        <v>398</v>
      </c>
      <c r="C135" s="12" t="n">
        <v>-36000</v>
      </c>
      <c r="D135" s="3" t="s">
        <v>386</v>
      </c>
      <c r="E135" s="3" t="s">
        <v>395</v>
      </c>
    </row>
    <row r="136" customFormat="false" ht="15" hidden="false" customHeight="false" outlineLevel="0" collapsed="false">
      <c r="A136" s="3" t="s">
        <v>199</v>
      </c>
      <c r="B136" s="3" t="s">
        <v>385</v>
      </c>
      <c r="C136" s="12" t="n">
        <v>-19000</v>
      </c>
      <c r="D136" s="3" t="s">
        <v>386</v>
      </c>
      <c r="E136" s="3" t="s">
        <v>387</v>
      </c>
    </row>
    <row r="137" customFormat="false" ht="15" hidden="false" customHeight="false" outlineLevel="0" collapsed="false">
      <c r="A137" s="3" t="s">
        <v>199</v>
      </c>
      <c r="B137" s="3" t="s">
        <v>385</v>
      </c>
      <c r="C137" s="12" t="n">
        <v>-10000</v>
      </c>
      <c r="D137" s="3" t="s">
        <v>386</v>
      </c>
      <c r="E137" s="3" t="s">
        <v>387</v>
      </c>
    </row>
    <row r="138" customFormat="false" ht="15" hidden="false" customHeight="false" outlineLevel="0" collapsed="false">
      <c r="A138" s="3" t="s">
        <v>271</v>
      </c>
      <c r="B138" s="3" t="s">
        <v>388</v>
      </c>
      <c r="C138" s="12" t="n">
        <v>-15000</v>
      </c>
      <c r="D138" s="3" t="s">
        <v>386</v>
      </c>
      <c r="E138" s="3" t="s">
        <v>387</v>
      </c>
    </row>
    <row r="139" customFormat="false" ht="15" hidden="false" customHeight="false" outlineLevel="0" collapsed="false">
      <c r="A139" s="3" t="s">
        <v>271</v>
      </c>
      <c r="B139" s="3" t="s">
        <v>392</v>
      </c>
      <c r="C139" s="12" t="n">
        <v>-105000</v>
      </c>
      <c r="D139" s="3" t="s">
        <v>386</v>
      </c>
      <c r="E139" s="3" t="s">
        <v>387</v>
      </c>
    </row>
    <row r="140" customFormat="false" ht="15" hidden="false" customHeight="false" outlineLevel="0" collapsed="false">
      <c r="A140" s="3" t="s">
        <v>271</v>
      </c>
      <c r="B140" s="3" t="s">
        <v>399</v>
      </c>
      <c r="C140" s="12" t="n">
        <v>-26635</v>
      </c>
      <c r="D140" s="3" t="s">
        <v>386</v>
      </c>
      <c r="E140" s="3" t="s">
        <v>384</v>
      </c>
    </row>
    <row r="141" customFormat="false" ht="15" hidden="false" customHeight="false" outlineLevel="0" collapsed="false">
      <c r="A141" s="3" t="s">
        <v>271</v>
      </c>
      <c r="B141" s="3" t="s">
        <v>390</v>
      </c>
      <c r="C141" s="12" t="n">
        <v>4094002</v>
      </c>
      <c r="D141" s="3" t="s">
        <v>381</v>
      </c>
      <c r="E141" s="3" t="s">
        <v>391</v>
      </c>
    </row>
    <row r="142" customFormat="false" ht="15" hidden="false" customHeight="false" outlineLevel="0" collapsed="false">
      <c r="A142" s="3" t="s">
        <v>271</v>
      </c>
      <c r="B142" s="3" t="s">
        <v>392</v>
      </c>
      <c r="C142" s="12" t="n">
        <v>-140000</v>
      </c>
      <c r="D142" s="3" t="s">
        <v>386</v>
      </c>
      <c r="E142" s="3" t="s">
        <v>387</v>
      </c>
    </row>
    <row r="143" customFormat="false" ht="15" hidden="false" customHeight="false" outlineLevel="0" collapsed="false">
      <c r="A143" s="3" t="s">
        <v>281</v>
      </c>
      <c r="B143" s="3" t="s">
        <v>400</v>
      </c>
      <c r="C143" s="12" t="n">
        <v>26636</v>
      </c>
      <c r="D143" s="3" t="s">
        <v>381</v>
      </c>
      <c r="E143" s="3" t="s">
        <v>384</v>
      </c>
    </row>
    <row r="144" customFormat="false" ht="15" hidden="false" customHeight="false" outlineLevel="0" collapsed="false">
      <c r="A144" s="3" t="s">
        <v>281</v>
      </c>
      <c r="B144" s="3" t="s">
        <v>389</v>
      </c>
      <c r="C144" s="12" t="n">
        <v>-103000</v>
      </c>
      <c r="D144" s="3" t="s">
        <v>386</v>
      </c>
      <c r="E144" s="3" t="s">
        <v>387</v>
      </c>
    </row>
    <row r="145" customFormat="false" ht="15" hidden="false" customHeight="false" outlineLevel="0" collapsed="false">
      <c r="A145" s="3" t="s">
        <v>281</v>
      </c>
      <c r="B145" s="3" t="s">
        <v>388</v>
      </c>
      <c r="C145" s="12" t="n">
        <v>-50000</v>
      </c>
      <c r="D145" s="3" t="s">
        <v>386</v>
      </c>
      <c r="E145" s="3" t="s">
        <v>387</v>
      </c>
    </row>
    <row r="146" customFormat="false" ht="15" hidden="false" customHeight="false" outlineLevel="0" collapsed="false">
      <c r="A146" s="3" t="s">
        <v>281</v>
      </c>
      <c r="B146" s="3" t="s">
        <v>392</v>
      </c>
      <c r="C146" s="12" t="n">
        <v>-50000</v>
      </c>
      <c r="D146" s="3" t="s">
        <v>386</v>
      </c>
      <c r="E146" s="3" t="s">
        <v>387</v>
      </c>
    </row>
    <row r="147" customFormat="false" ht="15" hidden="false" customHeight="false" outlineLevel="0" collapsed="false">
      <c r="A147" s="3" t="s">
        <v>281</v>
      </c>
      <c r="B147" s="3" t="s">
        <v>401</v>
      </c>
      <c r="C147" s="12" t="n">
        <v>-32000</v>
      </c>
      <c r="D147" s="3" t="s">
        <v>386</v>
      </c>
      <c r="E147" s="3" t="s">
        <v>387</v>
      </c>
    </row>
    <row r="148" customFormat="false" ht="15" hidden="false" customHeight="false" outlineLevel="0" collapsed="false">
      <c r="A148" s="3" t="s">
        <v>204</v>
      </c>
      <c r="B148" s="3" t="s">
        <v>402</v>
      </c>
      <c r="C148" s="12" t="n">
        <v>-11000</v>
      </c>
      <c r="D148" s="3" t="s">
        <v>386</v>
      </c>
      <c r="E148" s="3" t="s">
        <v>395</v>
      </c>
    </row>
    <row r="149" customFormat="false" ht="15" hidden="false" customHeight="false" outlineLevel="0" collapsed="false">
      <c r="A149" s="3" t="s">
        <v>204</v>
      </c>
      <c r="B149" s="3" t="s">
        <v>403</v>
      </c>
      <c r="C149" s="12" t="n">
        <v>-9890</v>
      </c>
      <c r="D149" s="3" t="s">
        <v>386</v>
      </c>
      <c r="E149" s="3" t="s">
        <v>395</v>
      </c>
    </row>
    <row r="150" customFormat="false" ht="15" hidden="false" customHeight="false" outlineLevel="0" collapsed="false">
      <c r="A150" s="3" t="s">
        <v>204</v>
      </c>
      <c r="B150" s="3" t="s">
        <v>404</v>
      </c>
      <c r="C150" s="12" t="n">
        <v>-9900</v>
      </c>
      <c r="D150" s="3" t="s">
        <v>386</v>
      </c>
      <c r="E150" s="3" t="s">
        <v>395</v>
      </c>
    </row>
    <row r="151" customFormat="false" ht="15" hidden="false" customHeight="false" outlineLevel="0" collapsed="false">
      <c r="A151" s="3" t="s">
        <v>204</v>
      </c>
      <c r="B151" s="3" t="s">
        <v>405</v>
      </c>
      <c r="C151" s="12" t="n">
        <v>-10000</v>
      </c>
      <c r="D151" s="3" t="s">
        <v>386</v>
      </c>
      <c r="E151" s="3" t="s">
        <v>387</v>
      </c>
    </row>
    <row r="152" customFormat="false" ht="15" hidden="false" customHeight="false" outlineLevel="0" collapsed="false">
      <c r="A152" s="3" t="s">
        <v>204</v>
      </c>
      <c r="B152" s="3" t="s">
        <v>388</v>
      </c>
      <c r="C152" s="12" t="n">
        <v>-12000</v>
      </c>
      <c r="D152" s="3" t="s">
        <v>386</v>
      </c>
      <c r="E152" s="3" t="s">
        <v>387</v>
      </c>
    </row>
    <row r="153" customFormat="false" ht="15" hidden="false" customHeight="false" outlineLevel="0" collapsed="false">
      <c r="A153" s="3" t="s">
        <v>204</v>
      </c>
      <c r="B153" s="3" t="s">
        <v>388</v>
      </c>
      <c r="C153" s="12" t="n">
        <v>-15000</v>
      </c>
      <c r="D153" s="3" t="s">
        <v>386</v>
      </c>
      <c r="E153" s="3" t="s">
        <v>387</v>
      </c>
    </row>
    <row r="154" customFormat="false" ht="15" hidden="false" customHeight="false" outlineLevel="0" collapsed="false">
      <c r="A154" s="3" t="s">
        <v>204</v>
      </c>
      <c r="B154" s="3" t="s">
        <v>388</v>
      </c>
      <c r="C154" s="12" t="n">
        <v>-100000</v>
      </c>
      <c r="D154" s="3" t="s">
        <v>386</v>
      </c>
      <c r="E154" s="3" t="s">
        <v>387</v>
      </c>
    </row>
    <row r="155" customFormat="false" ht="15" hidden="false" customHeight="false" outlineLevel="0" collapsed="false">
      <c r="A155" s="3" t="s">
        <v>204</v>
      </c>
      <c r="B155" s="3" t="s">
        <v>388</v>
      </c>
      <c r="C155" s="12" t="n">
        <v>-160000</v>
      </c>
      <c r="D155" s="3" t="s">
        <v>386</v>
      </c>
      <c r="E155" s="3" t="s">
        <v>387</v>
      </c>
    </row>
    <row r="156" customFormat="false" ht="15" hidden="false" customHeight="false" outlineLevel="0" collapsed="false">
      <c r="A156" s="3" t="s">
        <v>204</v>
      </c>
      <c r="B156" s="3" t="s">
        <v>405</v>
      </c>
      <c r="C156" s="12" t="n">
        <v>-225000</v>
      </c>
      <c r="D156" s="3" t="s">
        <v>386</v>
      </c>
      <c r="E156" s="3" t="s">
        <v>387</v>
      </c>
    </row>
    <row r="157" customFormat="false" ht="15" hidden="false" customHeight="false" outlineLevel="0" collapsed="false">
      <c r="A157" s="3" t="s">
        <v>204</v>
      </c>
      <c r="B157" s="3" t="s">
        <v>406</v>
      </c>
      <c r="C157" s="12" t="n">
        <v>-250000</v>
      </c>
      <c r="D157" s="3" t="s">
        <v>386</v>
      </c>
      <c r="E157" s="3" t="s">
        <v>387</v>
      </c>
    </row>
    <row r="158" customFormat="false" ht="15" hidden="false" customHeight="false" outlineLevel="0" collapsed="false">
      <c r="A158" s="3" t="s">
        <v>204</v>
      </c>
      <c r="B158" s="3" t="s">
        <v>407</v>
      </c>
      <c r="C158" s="12" t="n">
        <v>150000</v>
      </c>
      <c r="D158" s="3" t="s">
        <v>381</v>
      </c>
      <c r="E158" s="3" t="s">
        <v>408</v>
      </c>
    </row>
    <row r="159" customFormat="false" ht="15" hidden="false" customHeight="false" outlineLevel="0" collapsed="false">
      <c r="A159" s="3" t="s">
        <v>204</v>
      </c>
      <c r="B159" s="3" t="s">
        <v>392</v>
      </c>
      <c r="C159" s="12" t="n">
        <v>-30000</v>
      </c>
      <c r="D159" s="3" t="s">
        <v>386</v>
      </c>
      <c r="E159" s="3" t="s">
        <v>387</v>
      </c>
    </row>
    <row r="160" customFormat="false" ht="15" hidden="false" customHeight="false" outlineLevel="0" collapsed="false">
      <c r="A160" s="3" t="s">
        <v>305</v>
      </c>
      <c r="B160" s="3" t="s">
        <v>392</v>
      </c>
      <c r="C160" s="12" t="n">
        <v>-17000</v>
      </c>
      <c r="D160" s="3" t="s">
        <v>386</v>
      </c>
      <c r="E160" s="3" t="s">
        <v>387</v>
      </c>
    </row>
    <row r="161" customFormat="false" ht="15" hidden="false" customHeight="false" outlineLevel="0" collapsed="false">
      <c r="A161" s="3" t="s">
        <v>305</v>
      </c>
      <c r="B161" s="3" t="s">
        <v>380</v>
      </c>
      <c r="C161" s="12" t="n">
        <v>810000</v>
      </c>
      <c r="D161" s="3" t="s">
        <v>381</v>
      </c>
      <c r="E161" s="3" t="s">
        <v>382</v>
      </c>
    </row>
    <row r="162" customFormat="false" ht="15" hidden="false" customHeight="false" outlineLevel="0" collapsed="false">
      <c r="A162" s="3" t="s">
        <v>305</v>
      </c>
      <c r="B162" s="3" t="s">
        <v>409</v>
      </c>
      <c r="C162" s="12" t="n">
        <v>250000</v>
      </c>
      <c r="D162" s="3" t="s">
        <v>381</v>
      </c>
      <c r="E162" s="3" t="s">
        <v>387</v>
      </c>
    </row>
    <row r="163" customFormat="false" ht="15" hidden="false" customHeight="false" outlineLevel="0" collapsed="false">
      <c r="A163" s="3" t="s">
        <v>305</v>
      </c>
      <c r="B163" s="3" t="s">
        <v>410</v>
      </c>
      <c r="C163" s="12" t="n">
        <v>200000</v>
      </c>
      <c r="D163" s="3" t="s">
        <v>381</v>
      </c>
      <c r="E163" s="3" t="s">
        <v>408</v>
      </c>
    </row>
    <row r="164" customFormat="false" ht="15" hidden="false" customHeight="false" outlineLevel="0" collapsed="false">
      <c r="A164" s="3" t="s">
        <v>305</v>
      </c>
      <c r="B164" s="3" t="s">
        <v>392</v>
      </c>
      <c r="C164" s="12" t="n">
        <v>-400000</v>
      </c>
      <c r="D164" s="3" t="s">
        <v>386</v>
      </c>
      <c r="E164" s="3" t="s">
        <v>387</v>
      </c>
    </row>
    <row r="165" customFormat="false" ht="15" hidden="false" customHeight="false" outlineLevel="0" collapsed="false">
      <c r="A165" s="3" t="s">
        <v>305</v>
      </c>
      <c r="B165" s="3" t="s">
        <v>411</v>
      </c>
      <c r="C165" s="12" t="n">
        <v>-326000</v>
      </c>
      <c r="D165" s="3" t="s">
        <v>386</v>
      </c>
      <c r="E165" s="3" t="s">
        <v>387</v>
      </c>
    </row>
    <row r="166" customFormat="false" ht="15" hidden="false" customHeight="false" outlineLevel="0" collapsed="false">
      <c r="A166" s="3" t="s">
        <v>305</v>
      </c>
      <c r="B166" s="3" t="s">
        <v>385</v>
      </c>
      <c r="C166" s="12" t="n">
        <v>-15000</v>
      </c>
      <c r="D166" s="3" t="s">
        <v>386</v>
      </c>
      <c r="E166" s="3" t="s">
        <v>387</v>
      </c>
    </row>
    <row r="167" customFormat="false" ht="15" hidden="false" customHeight="false" outlineLevel="0" collapsed="false">
      <c r="A167" s="3" t="s">
        <v>317</v>
      </c>
      <c r="B167" s="3" t="s">
        <v>412</v>
      </c>
      <c r="C167" s="12" t="n">
        <v>-7860</v>
      </c>
      <c r="D167" s="3" t="s">
        <v>386</v>
      </c>
      <c r="E167" s="3" t="s">
        <v>395</v>
      </c>
    </row>
    <row r="168" customFormat="false" ht="15" hidden="false" customHeight="false" outlineLevel="0" collapsed="false">
      <c r="A168" s="3" t="s">
        <v>317</v>
      </c>
      <c r="B168" s="3" t="s">
        <v>385</v>
      </c>
      <c r="C168" s="12" t="n">
        <v>-15000</v>
      </c>
      <c r="D168" s="3" t="s">
        <v>386</v>
      </c>
      <c r="E168" s="3" t="s">
        <v>387</v>
      </c>
    </row>
    <row r="169" customFormat="false" ht="15" hidden="false" customHeight="false" outlineLevel="0" collapsed="false">
      <c r="A169" s="3" t="s">
        <v>317</v>
      </c>
      <c r="B169" s="3" t="s">
        <v>388</v>
      </c>
      <c r="C169" s="12" t="n">
        <v>-22000</v>
      </c>
      <c r="D169" s="3" t="s">
        <v>386</v>
      </c>
      <c r="E169" s="3" t="s">
        <v>387</v>
      </c>
    </row>
    <row r="170" customFormat="false" ht="15" hidden="false" customHeight="false" outlineLevel="0" collapsed="false">
      <c r="A170" s="3" t="s">
        <v>317</v>
      </c>
      <c r="B170" s="3" t="s">
        <v>392</v>
      </c>
      <c r="C170" s="12" t="n">
        <v>-50000</v>
      </c>
      <c r="D170" s="3" t="s">
        <v>386</v>
      </c>
      <c r="E170" s="3" t="s">
        <v>387</v>
      </c>
    </row>
    <row r="171" customFormat="false" ht="15" hidden="false" customHeight="false" outlineLevel="0" collapsed="false">
      <c r="A171" s="3" t="s">
        <v>323</v>
      </c>
      <c r="B171" s="3" t="s">
        <v>388</v>
      </c>
      <c r="C171" s="12" t="n">
        <v>-18000</v>
      </c>
      <c r="D171" s="3" t="s">
        <v>386</v>
      </c>
      <c r="E171" s="3" t="s">
        <v>387</v>
      </c>
    </row>
    <row r="172" customFormat="false" ht="15" hidden="false" customHeight="false" outlineLevel="0" collapsed="false">
      <c r="A172" s="3" t="s">
        <v>323</v>
      </c>
      <c r="B172" s="3" t="s">
        <v>385</v>
      </c>
      <c r="C172" s="12" t="n">
        <v>-170000</v>
      </c>
      <c r="D172" s="3" t="s">
        <v>386</v>
      </c>
      <c r="E172" s="3" t="s">
        <v>387</v>
      </c>
    </row>
    <row r="173" customFormat="false" ht="15" hidden="false" customHeight="false" outlineLevel="0" collapsed="false">
      <c r="A173" s="3" t="s">
        <v>323</v>
      </c>
      <c r="B173" s="3" t="s">
        <v>405</v>
      </c>
      <c r="C173" s="12" t="n">
        <v>-116000</v>
      </c>
      <c r="D173" s="3" t="s">
        <v>386</v>
      </c>
      <c r="E173" s="3" t="s">
        <v>387</v>
      </c>
    </row>
    <row r="174" customFormat="false" ht="15" hidden="false" customHeight="false" outlineLevel="0" collapsed="false">
      <c r="A174" s="3" t="s">
        <v>323</v>
      </c>
      <c r="B174" s="3" t="s">
        <v>385</v>
      </c>
      <c r="C174" s="12" t="n">
        <v>-30000</v>
      </c>
      <c r="D174" s="3" t="s">
        <v>386</v>
      </c>
      <c r="E174" s="3" t="s">
        <v>387</v>
      </c>
    </row>
    <row r="175" customFormat="false" ht="15" hidden="false" customHeight="false" outlineLevel="0" collapsed="false">
      <c r="A175" s="3" t="s">
        <v>323</v>
      </c>
      <c r="B175" s="3" t="s">
        <v>413</v>
      </c>
      <c r="C175" s="12" t="n">
        <v>-20000</v>
      </c>
      <c r="D175" s="3" t="s">
        <v>386</v>
      </c>
      <c r="E175" s="3" t="s">
        <v>395</v>
      </c>
    </row>
    <row r="176" customFormat="false" ht="15" hidden="false" customHeight="false" outlineLevel="0" collapsed="false">
      <c r="A176" s="3" t="s">
        <v>323</v>
      </c>
      <c r="B176" s="3" t="s">
        <v>388</v>
      </c>
      <c r="C176" s="12" t="n">
        <v>-18000</v>
      </c>
      <c r="D176" s="3" t="s">
        <v>386</v>
      </c>
      <c r="E176" s="3" t="s">
        <v>387</v>
      </c>
    </row>
    <row r="177" customFormat="false" ht="15" hidden="false" customHeight="false" outlineLevel="0" collapsed="false">
      <c r="A177" s="3" t="s">
        <v>325</v>
      </c>
      <c r="B177" s="3" t="s">
        <v>414</v>
      </c>
      <c r="C177" s="12" t="n">
        <v>-3500</v>
      </c>
      <c r="D177" s="3" t="s">
        <v>386</v>
      </c>
      <c r="E177" s="3" t="s">
        <v>395</v>
      </c>
    </row>
    <row r="178" customFormat="false" ht="15" hidden="false" customHeight="false" outlineLevel="0" collapsed="false">
      <c r="A178" s="3" t="s">
        <v>325</v>
      </c>
      <c r="B178" s="3" t="s">
        <v>392</v>
      </c>
      <c r="C178" s="12" t="n">
        <v>-17000</v>
      </c>
      <c r="D178" s="3" t="s">
        <v>386</v>
      </c>
      <c r="E178" s="3" t="s">
        <v>387</v>
      </c>
    </row>
    <row r="179" customFormat="false" ht="15" hidden="false" customHeight="false" outlineLevel="0" collapsed="false">
      <c r="A179" s="3" t="s">
        <v>325</v>
      </c>
      <c r="B179" s="3" t="s">
        <v>388</v>
      </c>
      <c r="C179" s="12" t="n">
        <v>-150000</v>
      </c>
      <c r="D179" s="3" t="s">
        <v>386</v>
      </c>
      <c r="E179" s="3" t="s">
        <v>387</v>
      </c>
    </row>
    <row r="180" customFormat="false" ht="15" hidden="false" customHeight="false" outlineLevel="0" collapsed="false">
      <c r="A180" s="3" t="s">
        <v>325</v>
      </c>
      <c r="B180" s="3" t="s">
        <v>388</v>
      </c>
      <c r="C180" s="12" t="n">
        <v>-50000</v>
      </c>
      <c r="D180" s="3" t="s">
        <v>386</v>
      </c>
      <c r="E180" s="3" t="s">
        <v>387</v>
      </c>
    </row>
    <row r="181" customFormat="false" ht="15" hidden="false" customHeight="false" outlineLevel="0" collapsed="false">
      <c r="A181" s="3" t="s">
        <v>212</v>
      </c>
      <c r="B181" s="3" t="s">
        <v>415</v>
      </c>
      <c r="C181" s="12" t="n">
        <v>-12000</v>
      </c>
      <c r="D181" s="3" t="s">
        <v>386</v>
      </c>
      <c r="E181" s="3" t="s">
        <v>395</v>
      </c>
    </row>
    <row r="182" customFormat="false" ht="15" hidden="false" customHeight="false" outlineLevel="0" collapsed="false">
      <c r="A182" s="3" t="s">
        <v>212</v>
      </c>
      <c r="B182" s="3" t="s">
        <v>385</v>
      </c>
      <c r="C182" s="12" t="n">
        <v>-17000</v>
      </c>
      <c r="D182" s="3" t="s">
        <v>386</v>
      </c>
      <c r="E182" s="3" t="s">
        <v>387</v>
      </c>
    </row>
    <row r="183" customFormat="false" ht="15" hidden="false" customHeight="false" outlineLevel="0" collapsed="false">
      <c r="A183" s="3" t="s">
        <v>212</v>
      </c>
      <c r="B183" s="3" t="s">
        <v>416</v>
      </c>
      <c r="C183" s="12" t="n">
        <v>-24000</v>
      </c>
      <c r="D183" s="3" t="s">
        <v>386</v>
      </c>
      <c r="E183" s="3" t="s">
        <v>395</v>
      </c>
    </row>
    <row r="184" customFormat="false" ht="15" hidden="false" customHeight="false" outlineLevel="0" collapsed="false">
      <c r="A184" s="3" t="s">
        <v>212</v>
      </c>
      <c r="B184" s="3" t="s">
        <v>409</v>
      </c>
      <c r="C184" s="12" t="n">
        <v>100000</v>
      </c>
      <c r="D184" s="3" t="s">
        <v>381</v>
      </c>
      <c r="E184" s="3" t="s">
        <v>387</v>
      </c>
    </row>
    <row r="185" customFormat="false" ht="15" hidden="false" customHeight="false" outlineLevel="0" collapsed="false">
      <c r="A185" s="3" t="s">
        <v>212</v>
      </c>
      <c r="B185" s="3" t="s">
        <v>385</v>
      </c>
      <c r="C185" s="12" t="n">
        <v>-70000</v>
      </c>
      <c r="D185" s="3" t="s">
        <v>386</v>
      </c>
      <c r="E185" s="3" t="s">
        <v>387</v>
      </c>
    </row>
    <row r="186" customFormat="false" ht="15" hidden="false" customHeight="false" outlineLevel="0" collapsed="false">
      <c r="A186" s="3" t="s">
        <v>212</v>
      </c>
      <c r="B186" s="3" t="s">
        <v>417</v>
      </c>
      <c r="C186" s="12" t="n">
        <v>350000</v>
      </c>
      <c r="D186" s="3" t="s">
        <v>381</v>
      </c>
      <c r="E186" s="3" t="s">
        <v>408</v>
      </c>
    </row>
    <row r="187" customFormat="false" ht="15" hidden="false" customHeight="false" outlineLevel="0" collapsed="false">
      <c r="A187" s="3" t="s">
        <v>212</v>
      </c>
      <c r="B187" s="3" t="s">
        <v>405</v>
      </c>
      <c r="C187" s="12" t="n">
        <v>-50000</v>
      </c>
      <c r="D187" s="3" t="s">
        <v>386</v>
      </c>
      <c r="E187" s="3" t="s">
        <v>387</v>
      </c>
    </row>
    <row r="188" customFormat="false" ht="15" hidden="false" customHeight="false" outlineLevel="0" collapsed="false">
      <c r="A188" s="3" t="s">
        <v>337</v>
      </c>
      <c r="B188" s="3" t="s">
        <v>417</v>
      </c>
      <c r="C188" s="12" t="n">
        <v>364000</v>
      </c>
      <c r="D188" s="3" t="s">
        <v>381</v>
      </c>
      <c r="E188" s="3" t="s">
        <v>408</v>
      </c>
    </row>
    <row r="189" customFormat="false" ht="15" hidden="false" customHeight="false" outlineLevel="0" collapsed="false">
      <c r="A189" s="3" t="s">
        <v>337</v>
      </c>
      <c r="B189" s="3" t="s">
        <v>388</v>
      </c>
      <c r="C189" s="12" t="n">
        <v>-70000</v>
      </c>
      <c r="D189" s="3" t="s">
        <v>386</v>
      </c>
      <c r="E189" s="3" t="s">
        <v>387</v>
      </c>
    </row>
    <row r="190" customFormat="false" ht="15" hidden="false" customHeight="false" outlineLevel="0" collapsed="false">
      <c r="A190" s="3" t="s">
        <v>337</v>
      </c>
      <c r="B190" s="3" t="s">
        <v>388</v>
      </c>
      <c r="C190" s="12" t="n">
        <v>-20000</v>
      </c>
      <c r="D190" s="3" t="s">
        <v>386</v>
      </c>
      <c r="E190" s="3" t="s">
        <v>387</v>
      </c>
    </row>
    <row r="191" customFormat="false" ht="15" hidden="false" customHeight="false" outlineLevel="0" collapsed="false">
      <c r="A191" s="3" t="s">
        <v>337</v>
      </c>
      <c r="B191" s="3" t="s">
        <v>392</v>
      </c>
      <c r="C191" s="12" t="n">
        <v>-12000</v>
      </c>
      <c r="D191" s="3" t="s">
        <v>386</v>
      </c>
      <c r="E191" s="3" t="s">
        <v>387</v>
      </c>
    </row>
    <row r="192" customFormat="false" ht="15" hidden="false" customHeight="false" outlineLevel="0" collapsed="false">
      <c r="A192" s="3" t="s">
        <v>216</v>
      </c>
      <c r="B192" s="3" t="s">
        <v>390</v>
      </c>
      <c r="C192" s="12" t="n">
        <v>2658993</v>
      </c>
      <c r="D192" s="3" t="s">
        <v>381</v>
      </c>
      <c r="E192" s="3" t="s">
        <v>391</v>
      </c>
    </row>
    <row r="193" customFormat="false" ht="15" hidden="false" customHeight="false" outlineLevel="0" collapsed="false">
      <c r="A193" s="3" t="s">
        <v>216</v>
      </c>
      <c r="B193" s="3" t="s">
        <v>409</v>
      </c>
      <c r="C193" s="12" t="n">
        <v>750000</v>
      </c>
      <c r="D193" s="3" t="s">
        <v>381</v>
      </c>
      <c r="E193" s="3" t="s">
        <v>387</v>
      </c>
    </row>
    <row r="194" customFormat="false" ht="15" hidden="false" customHeight="false" outlineLevel="0" collapsed="false">
      <c r="A194" s="3" t="s">
        <v>216</v>
      </c>
      <c r="B194" s="3" t="s">
        <v>393</v>
      </c>
      <c r="C194" s="12" t="n">
        <v>-300000</v>
      </c>
      <c r="D194" s="3" t="s">
        <v>386</v>
      </c>
      <c r="E194" s="3" t="s">
        <v>387</v>
      </c>
    </row>
    <row r="195" customFormat="false" ht="15" hidden="false" customHeight="false" outlineLevel="0" collapsed="false">
      <c r="A195" s="3" t="s">
        <v>350</v>
      </c>
      <c r="B195" s="3" t="s">
        <v>392</v>
      </c>
      <c r="C195" s="12" t="n">
        <v>-14000</v>
      </c>
      <c r="D195" s="3" t="s">
        <v>386</v>
      </c>
      <c r="E195" s="3" t="s">
        <v>387</v>
      </c>
    </row>
    <row r="196" customFormat="false" ht="15" hidden="false" customHeight="false" outlineLevel="0" collapsed="false">
      <c r="A196" s="3" t="s">
        <v>350</v>
      </c>
      <c r="B196" s="3" t="s">
        <v>392</v>
      </c>
      <c r="C196" s="12" t="n">
        <v>-30000</v>
      </c>
      <c r="D196" s="3" t="s">
        <v>386</v>
      </c>
      <c r="E196" s="3" t="s">
        <v>387</v>
      </c>
    </row>
    <row r="197" customFormat="false" ht="15" hidden="false" customHeight="false" outlineLevel="0" collapsed="false">
      <c r="A197" s="3" t="s">
        <v>350</v>
      </c>
      <c r="B197" s="3" t="s">
        <v>418</v>
      </c>
      <c r="C197" s="12" t="n">
        <v>-54000</v>
      </c>
      <c r="D197" s="3" t="s">
        <v>386</v>
      </c>
      <c r="E197" s="3" t="s">
        <v>387</v>
      </c>
    </row>
    <row r="198" customFormat="false" ht="15" hidden="false" customHeight="false" outlineLevel="0" collapsed="false">
      <c r="A198" s="3" t="s">
        <v>350</v>
      </c>
      <c r="B198" s="3" t="s">
        <v>419</v>
      </c>
      <c r="C198" s="12" t="n">
        <v>500000</v>
      </c>
      <c r="D198" s="3" t="s">
        <v>381</v>
      </c>
      <c r="E198" s="3" t="s">
        <v>408</v>
      </c>
    </row>
    <row r="199" customFormat="false" ht="15" hidden="false" customHeight="false" outlineLevel="0" collapsed="false">
      <c r="A199" s="3" t="s">
        <v>350</v>
      </c>
      <c r="B199" s="3" t="s">
        <v>389</v>
      </c>
      <c r="C199" s="12" t="n">
        <v>-640000</v>
      </c>
      <c r="D199" s="3" t="s">
        <v>386</v>
      </c>
      <c r="E199" s="3" t="s">
        <v>387</v>
      </c>
    </row>
    <row r="200" customFormat="false" ht="15" hidden="false" customHeight="false" outlineLevel="0" collapsed="false">
      <c r="A200" s="3" t="s">
        <v>350</v>
      </c>
      <c r="B200" s="3" t="s">
        <v>389</v>
      </c>
      <c r="C200" s="12" t="n">
        <v>-600000</v>
      </c>
      <c r="D200" s="3" t="s">
        <v>386</v>
      </c>
      <c r="E200" s="3" t="s">
        <v>387</v>
      </c>
    </row>
    <row r="201" customFormat="false" ht="15" hidden="false" customHeight="false" outlineLevel="0" collapsed="false">
      <c r="A201" s="3" t="s">
        <v>219</v>
      </c>
      <c r="B201" s="3" t="s">
        <v>392</v>
      </c>
      <c r="C201" s="12" t="n">
        <v>-18000</v>
      </c>
      <c r="D201" s="3" t="s">
        <v>386</v>
      </c>
      <c r="E201" s="3" t="s">
        <v>387</v>
      </c>
    </row>
    <row r="202" customFormat="false" ht="15" hidden="false" customHeight="false" outlineLevel="0" collapsed="false">
      <c r="A202" s="3" t="s">
        <v>219</v>
      </c>
      <c r="B202" s="3" t="s">
        <v>388</v>
      </c>
      <c r="C202" s="12" t="n">
        <v>-17000</v>
      </c>
      <c r="D202" s="3" t="s">
        <v>386</v>
      </c>
      <c r="E202" s="3" t="s">
        <v>387</v>
      </c>
    </row>
    <row r="203" customFormat="false" ht="15" hidden="false" customHeight="false" outlineLevel="0" collapsed="false">
      <c r="A203" s="3" t="s">
        <v>219</v>
      </c>
      <c r="B203" s="3" t="s">
        <v>388</v>
      </c>
      <c r="C203" s="12" t="n">
        <v>-15000</v>
      </c>
      <c r="D203" s="3" t="s">
        <v>386</v>
      </c>
      <c r="E203" s="3" t="s">
        <v>387</v>
      </c>
    </row>
    <row r="204" customFormat="false" ht="15" hidden="false" customHeight="false" outlineLevel="0" collapsed="false">
      <c r="A204" s="3" t="s">
        <v>221</v>
      </c>
      <c r="B204" s="3" t="s">
        <v>392</v>
      </c>
      <c r="C204" s="12" t="n">
        <v>-50000</v>
      </c>
      <c r="D204" s="3" t="s">
        <v>386</v>
      </c>
      <c r="E204" s="3" t="s">
        <v>387</v>
      </c>
    </row>
    <row r="205" customFormat="false" ht="15" hidden="false" customHeight="false" outlineLevel="0" collapsed="false">
      <c r="A205" s="3" t="s">
        <v>221</v>
      </c>
      <c r="B205" s="3" t="s">
        <v>389</v>
      </c>
      <c r="C205" s="12" t="n">
        <v>-80000</v>
      </c>
      <c r="D205" s="3" t="s">
        <v>386</v>
      </c>
      <c r="E205" s="3" t="s">
        <v>387</v>
      </c>
    </row>
    <row r="206" customFormat="false" ht="15" hidden="false" customHeight="false" outlineLevel="0" collapsed="false">
      <c r="A206" s="3" t="s">
        <v>221</v>
      </c>
      <c r="B206" s="3" t="s">
        <v>388</v>
      </c>
      <c r="C206" s="12" t="n">
        <v>-42000</v>
      </c>
      <c r="D206" s="3" t="s">
        <v>386</v>
      </c>
      <c r="E206" s="3" t="s">
        <v>387</v>
      </c>
    </row>
    <row r="207" customFormat="false" ht="15" hidden="false" customHeight="false" outlineLevel="0" collapsed="false">
      <c r="A207" s="3" t="s">
        <v>221</v>
      </c>
      <c r="B207" s="3" t="s">
        <v>389</v>
      </c>
      <c r="C207" s="12" t="n">
        <v>-200000</v>
      </c>
      <c r="D207" s="3" t="s">
        <v>386</v>
      </c>
      <c r="E207" s="3" t="s">
        <v>387</v>
      </c>
    </row>
    <row r="208" customFormat="false" ht="15" hidden="false" customHeight="false" outlineLevel="0" collapsed="false">
      <c r="A208" s="3" t="s">
        <v>221</v>
      </c>
      <c r="B208" s="3" t="s">
        <v>409</v>
      </c>
      <c r="C208" s="12" t="n">
        <v>50000</v>
      </c>
      <c r="D208" s="3" t="s">
        <v>381</v>
      </c>
      <c r="E208" s="3" t="s">
        <v>387</v>
      </c>
    </row>
    <row r="209" customFormat="false" ht="15" hidden="false" customHeight="false" outlineLevel="0" collapsed="false">
      <c r="A209" s="3" t="s">
        <v>221</v>
      </c>
      <c r="B209" s="3" t="s">
        <v>385</v>
      </c>
      <c r="C209" s="12" t="n">
        <v>-100000</v>
      </c>
      <c r="D209" s="3" t="s">
        <v>386</v>
      </c>
      <c r="E209" s="3" t="s">
        <v>387</v>
      </c>
    </row>
    <row r="210" customFormat="false" ht="15" hidden="false" customHeight="false" outlineLevel="0" collapsed="false">
      <c r="A210" s="3" t="s">
        <v>221</v>
      </c>
      <c r="B210" s="3" t="s">
        <v>392</v>
      </c>
      <c r="C210" s="12" t="n">
        <v>-15000</v>
      </c>
      <c r="D210" s="3" t="s">
        <v>386</v>
      </c>
      <c r="E210" s="3" t="s">
        <v>387</v>
      </c>
    </row>
    <row r="212" customFormat="false" ht="15" hidden="false" customHeight="false" outlineLevel="0" collapsed="false">
      <c r="A212" s="2" t="s">
        <v>420</v>
      </c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9" t="s">
        <v>65</v>
      </c>
      <c r="B213" s="9" t="s">
        <v>377</v>
      </c>
      <c r="C213" s="30" t="s">
        <v>421</v>
      </c>
      <c r="D213" s="30" t="s">
        <v>422</v>
      </c>
    </row>
    <row r="214" customFormat="false" ht="15" hidden="false" customHeight="false" outlineLevel="0" collapsed="false">
      <c r="A214" s="3" t="s">
        <v>423</v>
      </c>
      <c r="B214" s="12" t="n">
        <v>191906</v>
      </c>
    </row>
    <row r="215" customFormat="false" ht="15" hidden="false" customHeight="false" outlineLevel="0" collapsed="false">
      <c r="A215" s="3" t="s">
        <v>424</v>
      </c>
      <c r="B215" s="12" t="n">
        <v>17630696</v>
      </c>
      <c r="C215" s="31" t="n">
        <f aca="false">F20</f>
        <v>16410814</v>
      </c>
      <c r="D215" s="31" t="n">
        <f aca="false">B215-C215</f>
        <v>1219882</v>
      </c>
    </row>
    <row r="216" customFormat="false" ht="15" hidden="false" customHeight="false" outlineLevel="0" collapsed="false">
      <c r="A216" s="3" t="s">
        <v>425</v>
      </c>
      <c r="B216" s="12" t="n">
        <v>-17555396</v>
      </c>
    </row>
    <row r="217" customFormat="false" ht="15" hidden="false" customHeight="false" outlineLevel="0" collapsed="false">
      <c r="A217" s="18" t="s">
        <v>426</v>
      </c>
      <c r="B217" s="14" t="n">
        <f aca="false">SUM(B214:B216)</f>
        <v>267206</v>
      </c>
    </row>
    <row r="218" customFormat="false" ht="15" hidden="false" customHeight="false" outlineLevel="0" collapsed="false">
      <c r="A218" s="18" t="s">
        <v>427</v>
      </c>
      <c r="B218" s="14" t="n">
        <v>267206</v>
      </c>
    </row>
    <row r="219" customFormat="false" ht="15" hidden="false" customHeight="false" outlineLevel="0" collapsed="false">
      <c r="A219" s="18" t="s">
        <v>428</v>
      </c>
      <c r="B219" s="14" t="n">
        <f aca="false">B217-B218</f>
        <v>0</v>
      </c>
    </row>
    <row r="221" customFormat="false" ht="15" hidden="false" customHeight="true" outlineLevel="0" collapsed="false">
      <c r="A221" s="10" t="s">
        <v>429</v>
      </c>
      <c r="B221" s="10"/>
      <c r="C221" s="10"/>
      <c r="D221" s="10"/>
      <c r="E221" s="10"/>
      <c r="F221" s="10"/>
      <c r="G221" s="10"/>
      <c r="H221" s="10"/>
    </row>
  </sheetData>
  <mergeCells count="7">
    <mergeCell ref="A1:I1"/>
    <mergeCell ref="A2:I2"/>
    <mergeCell ref="A4:I4"/>
    <mergeCell ref="A22:I22"/>
    <mergeCell ref="A96:I96"/>
    <mergeCell ref="A212:I212"/>
    <mergeCell ref="A221:H2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430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8" t="s">
        <v>431</v>
      </c>
      <c r="B2" s="28"/>
      <c r="C2" s="28"/>
      <c r="D2" s="28"/>
      <c r="E2" s="28"/>
      <c r="F2" s="28"/>
      <c r="G2" s="28"/>
      <c r="H2" s="28"/>
      <c r="I2" s="28"/>
    </row>
    <row r="4" customFormat="false" ht="15" hidden="false" customHeight="false" outlineLevel="0" collapsed="false">
      <c r="A4" s="2" t="s">
        <v>179</v>
      </c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9" t="s">
        <v>180</v>
      </c>
      <c r="B5" s="9" t="s">
        <v>181</v>
      </c>
      <c r="C5" s="9" t="s">
        <v>182</v>
      </c>
      <c r="D5" s="9" t="s">
        <v>183</v>
      </c>
      <c r="E5" s="9" t="s">
        <v>184</v>
      </c>
      <c r="F5" s="9" t="s">
        <v>185</v>
      </c>
      <c r="G5" s="9" t="s">
        <v>186</v>
      </c>
      <c r="H5" s="9" t="s">
        <v>187</v>
      </c>
    </row>
    <row r="6" customFormat="false" ht="15" hidden="false" customHeight="false" outlineLevel="0" collapsed="false">
      <c r="A6" s="3" t="s">
        <v>432</v>
      </c>
      <c r="B6" s="3" t="s">
        <v>433</v>
      </c>
      <c r="C6" s="3" t="s">
        <v>434</v>
      </c>
      <c r="D6" s="12" t="n">
        <v>370000</v>
      </c>
      <c r="E6" s="12" t="n">
        <v>70300</v>
      </c>
      <c r="F6" s="12" t="n">
        <v>440300</v>
      </c>
      <c r="G6" s="3" t="s">
        <v>229</v>
      </c>
      <c r="H6" s="3" t="s">
        <v>435</v>
      </c>
    </row>
    <row r="7" customFormat="false" ht="15" hidden="false" customHeight="false" outlineLevel="0" collapsed="false">
      <c r="A7" s="3" t="s">
        <v>188</v>
      </c>
      <c r="B7" s="3" t="s">
        <v>436</v>
      </c>
      <c r="C7" s="3" t="s">
        <v>437</v>
      </c>
      <c r="D7" s="12" t="n">
        <v>1818400</v>
      </c>
      <c r="E7" s="12" t="n">
        <v>345496</v>
      </c>
      <c r="F7" s="12" t="n">
        <v>2163896</v>
      </c>
      <c r="G7" s="3" t="s">
        <v>191</v>
      </c>
      <c r="H7" s="3" t="s">
        <v>192</v>
      </c>
    </row>
    <row r="8" customFormat="false" ht="15" hidden="false" customHeight="false" outlineLevel="0" collapsed="false">
      <c r="A8" s="3" t="s">
        <v>188</v>
      </c>
      <c r="B8" s="3" t="s">
        <v>438</v>
      </c>
      <c r="C8" s="3" t="s">
        <v>439</v>
      </c>
      <c r="D8" s="12" t="n">
        <v>2006400</v>
      </c>
      <c r="E8" s="12" t="n">
        <v>381216</v>
      </c>
      <c r="F8" s="12" t="n">
        <v>2387616</v>
      </c>
      <c r="G8" s="3" t="s">
        <v>191</v>
      </c>
      <c r="H8" s="3" t="s">
        <v>192</v>
      </c>
    </row>
    <row r="9" customFormat="false" ht="15" hidden="false" customHeight="false" outlineLevel="0" collapsed="false">
      <c r="A9" s="3" t="s">
        <v>440</v>
      </c>
      <c r="B9" s="3" t="s">
        <v>441</v>
      </c>
      <c r="C9" s="3" t="s">
        <v>442</v>
      </c>
      <c r="D9" s="12" t="n">
        <v>580000</v>
      </c>
      <c r="E9" s="12" t="n">
        <v>110200</v>
      </c>
      <c r="F9" s="12" t="n">
        <v>690200</v>
      </c>
      <c r="G9" s="3" t="s">
        <v>196</v>
      </c>
      <c r="H9" s="3" t="s">
        <v>197</v>
      </c>
    </row>
    <row r="10" customFormat="false" ht="15" hidden="false" customHeight="false" outlineLevel="0" collapsed="false">
      <c r="A10" s="3" t="s">
        <v>217</v>
      </c>
      <c r="B10" s="3" t="s">
        <v>194</v>
      </c>
      <c r="C10" s="3" t="s">
        <v>434</v>
      </c>
      <c r="D10" s="12" t="n">
        <v>370000</v>
      </c>
      <c r="E10" s="12" t="n">
        <v>70300</v>
      </c>
      <c r="F10" s="12" t="n">
        <v>440300</v>
      </c>
      <c r="G10" s="3" t="s">
        <v>196</v>
      </c>
      <c r="H10" s="3" t="s">
        <v>197</v>
      </c>
    </row>
    <row r="11" customFormat="false" ht="15" hidden="false" customHeight="false" outlineLevel="0" collapsed="false">
      <c r="A11" s="18" t="s">
        <v>222</v>
      </c>
      <c r="F11" s="14" t="n">
        <v>6122312</v>
      </c>
      <c r="G11" s="29" t="s">
        <v>443</v>
      </c>
    </row>
    <row r="13" customFormat="false" ht="15" hidden="false" customHeight="false" outlineLevel="0" collapsed="false">
      <c r="A13" s="2" t="s">
        <v>224</v>
      </c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9" t="s">
        <v>225</v>
      </c>
      <c r="B14" s="9" t="s">
        <v>181</v>
      </c>
      <c r="C14" s="9" t="s">
        <v>182</v>
      </c>
      <c r="D14" s="9" t="s">
        <v>183</v>
      </c>
      <c r="E14" s="9" t="s">
        <v>184</v>
      </c>
      <c r="F14" s="9" t="s">
        <v>185</v>
      </c>
      <c r="G14" s="9" t="s">
        <v>186</v>
      </c>
      <c r="H14" s="9" t="s">
        <v>187</v>
      </c>
    </row>
    <row r="15" customFormat="false" ht="15" hidden="false" customHeight="false" outlineLevel="0" collapsed="false">
      <c r="A15" s="3" t="s">
        <v>444</v>
      </c>
      <c r="B15" s="3" t="s">
        <v>445</v>
      </c>
      <c r="C15" s="3" t="s">
        <v>434</v>
      </c>
      <c r="D15" s="12" t="n">
        <v>17017</v>
      </c>
      <c r="E15" s="12" t="n">
        <v>3233</v>
      </c>
      <c r="F15" s="12" t="n">
        <v>20250</v>
      </c>
      <c r="G15" s="3" t="s">
        <v>196</v>
      </c>
      <c r="H15" s="3" t="s">
        <v>234</v>
      </c>
    </row>
    <row r="16" customFormat="false" ht="15" hidden="false" customHeight="false" outlineLevel="0" collapsed="false">
      <c r="A16" s="3" t="s">
        <v>444</v>
      </c>
      <c r="B16" s="3" t="s">
        <v>446</v>
      </c>
      <c r="C16" s="3" t="s">
        <v>434</v>
      </c>
      <c r="D16" s="12" t="n">
        <v>10168</v>
      </c>
      <c r="E16" s="12" t="n">
        <v>1932</v>
      </c>
      <c r="F16" s="12" t="n">
        <v>12100</v>
      </c>
      <c r="G16" s="3" t="s">
        <v>196</v>
      </c>
      <c r="H16" s="3" t="s">
        <v>234</v>
      </c>
    </row>
    <row r="17" customFormat="false" ht="15" hidden="false" customHeight="false" outlineLevel="0" collapsed="false">
      <c r="A17" s="3" t="s">
        <v>226</v>
      </c>
      <c r="B17" s="3" t="s">
        <v>447</v>
      </c>
      <c r="C17" s="3" t="s">
        <v>434</v>
      </c>
      <c r="D17" s="12" t="n">
        <v>892481</v>
      </c>
      <c r="E17" s="12" t="n">
        <v>169572</v>
      </c>
      <c r="F17" s="12" t="n">
        <v>1300000</v>
      </c>
      <c r="G17" s="3" t="s">
        <v>229</v>
      </c>
      <c r="H17" s="3" t="s">
        <v>448</v>
      </c>
    </row>
    <row r="18" customFormat="false" ht="15" hidden="false" customHeight="false" outlineLevel="0" collapsed="false">
      <c r="A18" s="3" t="s">
        <v>449</v>
      </c>
      <c r="B18" s="3" t="s">
        <v>450</v>
      </c>
      <c r="C18" s="3" t="s">
        <v>451</v>
      </c>
      <c r="D18" s="12" t="n">
        <v>25210</v>
      </c>
      <c r="E18" s="12" t="n">
        <v>4790</v>
      </c>
      <c r="F18" s="12" t="n">
        <v>30000</v>
      </c>
      <c r="G18" s="3" t="s">
        <v>229</v>
      </c>
      <c r="H18" s="3" t="s">
        <v>452</v>
      </c>
    </row>
    <row r="19" customFormat="false" ht="15" hidden="false" customHeight="false" outlineLevel="0" collapsed="false">
      <c r="A19" s="3" t="s">
        <v>231</v>
      </c>
      <c r="B19" s="3" t="s">
        <v>453</v>
      </c>
      <c r="C19" s="3" t="s">
        <v>451</v>
      </c>
      <c r="D19" s="12" t="n">
        <v>19061</v>
      </c>
      <c r="E19" s="12" t="n">
        <v>3622</v>
      </c>
      <c r="F19" s="12" t="n">
        <v>22683</v>
      </c>
      <c r="G19" s="3" t="s">
        <v>196</v>
      </c>
      <c r="H19" s="3" t="s">
        <v>234</v>
      </c>
    </row>
    <row r="20" customFormat="false" ht="15" hidden="false" customHeight="false" outlineLevel="0" collapsed="false">
      <c r="A20" s="3" t="s">
        <v>308</v>
      </c>
      <c r="B20" s="3" t="s">
        <v>454</v>
      </c>
      <c r="C20" s="3" t="s">
        <v>451</v>
      </c>
      <c r="D20" s="12" t="n">
        <v>251770</v>
      </c>
      <c r="E20" s="12" t="n">
        <v>47836</v>
      </c>
      <c r="F20" s="12" t="n">
        <v>299606</v>
      </c>
      <c r="G20" s="3" t="s">
        <v>229</v>
      </c>
      <c r="H20" s="3" t="s">
        <v>455</v>
      </c>
    </row>
    <row r="21" customFormat="false" ht="15" hidden="false" customHeight="false" outlineLevel="0" collapsed="false">
      <c r="A21" s="3" t="s">
        <v>308</v>
      </c>
      <c r="B21" s="3" t="s">
        <v>456</v>
      </c>
      <c r="C21" s="3" t="s">
        <v>451</v>
      </c>
      <c r="D21" s="12" t="n">
        <v>18674</v>
      </c>
      <c r="E21" s="12" t="n">
        <v>3548</v>
      </c>
      <c r="F21" s="12" t="n">
        <v>22222</v>
      </c>
      <c r="G21" s="3" t="s">
        <v>196</v>
      </c>
      <c r="H21" s="3" t="s">
        <v>234</v>
      </c>
    </row>
    <row r="22" customFormat="false" ht="15" hidden="false" customHeight="false" outlineLevel="0" collapsed="false">
      <c r="A22" s="3" t="s">
        <v>264</v>
      </c>
      <c r="B22" s="3" t="s">
        <v>457</v>
      </c>
      <c r="C22" s="3" t="s">
        <v>451</v>
      </c>
      <c r="D22" s="12" t="n">
        <v>77600</v>
      </c>
      <c r="E22" s="12" t="n">
        <v>14744</v>
      </c>
      <c r="F22" s="12" t="n">
        <v>92344</v>
      </c>
      <c r="G22" s="3" t="s">
        <v>229</v>
      </c>
      <c r="H22" s="3" t="s">
        <v>458</v>
      </c>
    </row>
    <row r="23" customFormat="false" ht="15" hidden="false" customHeight="false" outlineLevel="0" collapsed="false">
      <c r="A23" s="3" t="s">
        <v>266</v>
      </c>
      <c r="B23" s="3" t="s">
        <v>459</v>
      </c>
      <c r="C23" s="3" t="s">
        <v>451</v>
      </c>
      <c r="D23" s="12" t="n">
        <v>15109</v>
      </c>
      <c r="E23" s="12" t="n">
        <v>2871</v>
      </c>
      <c r="F23" s="12" t="n">
        <v>17980</v>
      </c>
      <c r="G23" s="3" t="s">
        <v>229</v>
      </c>
      <c r="H23" s="3" t="s">
        <v>460</v>
      </c>
    </row>
    <row r="24" customFormat="false" ht="15" hidden="false" customHeight="false" outlineLevel="0" collapsed="false">
      <c r="A24" s="3" t="s">
        <v>461</v>
      </c>
      <c r="B24" s="3" t="s">
        <v>462</v>
      </c>
      <c r="C24" s="3" t="s">
        <v>451</v>
      </c>
      <c r="D24" s="12" t="n">
        <v>66387</v>
      </c>
      <c r="E24" s="12" t="n">
        <v>12614</v>
      </c>
      <c r="F24" s="12" t="n">
        <v>79001</v>
      </c>
      <c r="G24" s="3" t="s">
        <v>196</v>
      </c>
      <c r="H24" s="3" t="s">
        <v>234</v>
      </c>
    </row>
    <row r="25" customFormat="false" ht="15" hidden="false" customHeight="false" outlineLevel="0" collapsed="false">
      <c r="A25" s="3" t="s">
        <v>255</v>
      </c>
      <c r="B25" s="3" t="s">
        <v>463</v>
      </c>
      <c r="C25" s="3" t="s">
        <v>451</v>
      </c>
      <c r="D25" s="12" t="n">
        <v>8403</v>
      </c>
      <c r="E25" s="12" t="n">
        <v>1597</v>
      </c>
      <c r="F25" s="12" t="n">
        <v>10000</v>
      </c>
      <c r="G25" s="3" t="s">
        <v>196</v>
      </c>
      <c r="H25" s="3" t="s">
        <v>234</v>
      </c>
    </row>
    <row r="26" customFormat="false" ht="15" hidden="false" customHeight="false" outlineLevel="0" collapsed="false">
      <c r="A26" s="3" t="s">
        <v>255</v>
      </c>
      <c r="B26" s="3" t="s">
        <v>464</v>
      </c>
      <c r="C26" s="3" t="s">
        <v>465</v>
      </c>
      <c r="D26" s="12" t="n">
        <v>29418</v>
      </c>
      <c r="E26" s="12" t="n">
        <v>5590</v>
      </c>
      <c r="F26" s="12" t="n">
        <v>41580</v>
      </c>
      <c r="G26" s="3" t="s">
        <v>196</v>
      </c>
      <c r="H26" s="3" t="s">
        <v>234</v>
      </c>
    </row>
    <row r="27" customFormat="false" ht="15" hidden="false" customHeight="false" outlineLevel="0" collapsed="false">
      <c r="A27" s="3" t="s">
        <v>255</v>
      </c>
      <c r="B27" s="3" t="s">
        <v>466</v>
      </c>
      <c r="C27" s="3" t="s">
        <v>465</v>
      </c>
      <c r="D27" s="12" t="n">
        <v>33298</v>
      </c>
      <c r="E27" s="12" t="n">
        <v>6327</v>
      </c>
      <c r="F27" s="12" t="n">
        <v>50000</v>
      </c>
      <c r="G27" s="3" t="s">
        <v>229</v>
      </c>
      <c r="H27" s="3" t="s">
        <v>467</v>
      </c>
    </row>
    <row r="28" customFormat="false" ht="15" hidden="false" customHeight="false" outlineLevel="0" collapsed="false">
      <c r="A28" s="3" t="s">
        <v>255</v>
      </c>
      <c r="B28" s="3" t="s">
        <v>468</v>
      </c>
      <c r="C28" s="3" t="s">
        <v>469</v>
      </c>
      <c r="D28" s="12" t="n">
        <v>8403</v>
      </c>
      <c r="E28" s="12" t="n">
        <v>1597</v>
      </c>
      <c r="F28" s="12" t="n">
        <v>10000</v>
      </c>
      <c r="G28" s="3" t="s">
        <v>196</v>
      </c>
      <c r="H28" s="3" t="s">
        <v>234</v>
      </c>
    </row>
    <row r="29" customFormat="false" ht="15" hidden="false" customHeight="false" outlineLevel="0" collapsed="false">
      <c r="A29" s="3" t="s">
        <v>231</v>
      </c>
      <c r="B29" s="3" t="s">
        <v>470</v>
      </c>
      <c r="C29" s="3" t="s">
        <v>471</v>
      </c>
      <c r="D29" s="12" t="n">
        <v>17771</v>
      </c>
      <c r="E29" s="12" t="n">
        <v>3376</v>
      </c>
      <c r="F29" s="12" t="n">
        <v>21147</v>
      </c>
      <c r="G29" s="3" t="s">
        <v>196</v>
      </c>
      <c r="H29" s="3" t="s">
        <v>234</v>
      </c>
    </row>
    <row r="30" customFormat="false" ht="15" hidden="false" customHeight="false" outlineLevel="0" collapsed="false">
      <c r="A30" s="3" t="s">
        <v>292</v>
      </c>
      <c r="B30" s="3" t="s">
        <v>472</v>
      </c>
      <c r="C30" s="3" t="s">
        <v>473</v>
      </c>
      <c r="D30" s="12" t="n">
        <v>30470</v>
      </c>
      <c r="E30" s="12" t="n">
        <v>5789</v>
      </c>
      <c r="F30" s="12" t="n">
        <v>36259</v>
      </c>
      <c r="G30" s="3" t="s">
        <v>229</v>
      </c>
      <c r="H30" s="3" t="s">
        <v>474</v>
      </c>
    </row>
    <row r="31" customFormat="false" ht="15" hidden="false" customHeight="false" outlineLevel="0" collapsed="false">
      <c r="A31" s="3" t="s">
        <v>308</v>
      </c>
      <c r="B31" s="3" t="s">
        <v>475</v>
      </c>
      <c r="C31" s="3" t="s">
        <v>473</v>
      </c>
      <c r="D31" s="12" t="n">
        <v>40516</v>
      </c>
      <c r="E31" s="12" t="n">
        <v>7698</v>
      </c>
      <c r="F31" s="12" t="n">
        <v>48214</v>
      </c>
      <c r="G31" s="3" t="s">
        <v>196</v>
      </c>
      <c r="H31" s="3" t="s">
        <v>234</v>
      </c>
    </row>
    <row r="32" customFormat="false" ht="15" hidden="false" customHeight="false" outlineLevel="0" collapsed="false">
      <c r="A32" s="3" t="s">
        <v>308</v>
      </c>
      <c r="B32" s="3" t="s">
        <v>476</v>
      </c>
      <c r="C32" s="3" t="s">
        <v>473</v>
      </c>
      <c r="D32" s="12" t="n">
        <v>12480</v>
      </c>
      <c r="E32" s="12" t="n">
        <v>2371</v>
      </c>
      <c r="F32" s="12" t="n">
        <v>14851</v>
      </c>
      <c r="G32" s="3" t="s">
        <v>196</v>
      </c>
      <c r="H32" s="3" t="s">
        <v>234</v>
      </c>
    </row>
    <row r="33" customFormat="false" ht="15" hidden="false" customHeight="false" outlineLevel="0" collapsed="false">
      <c r="A33" s="3" t="s">
        <v>255</v>
      </c>
      <c r="B33" s="3" t="s">
        <v>477</v>
      </c>
      <c r="C33" s="3" t="s">
        <v>473</v>
      </c>
      <c r="D33" s="12" t="n">
        <v>33097</v>
      </c>
      <c r="E33" s="12" t="n">
        <v>6289</v>
      </c>
      <c r="F33" s="12" t="n">
        <v>50000</v>
      </c>
      <c r="G33" s="3" t="s">
        <v>229</v>
      </c>
      <c r="H33" s="3" t="s">
        <v>478</v>
      </c>
    </row>
    <row r="34" customFormat="false" ht="15" hidden="false" customHeight="false" outlineLevel="0" collapsed="false">
      <c r="A34" s="3" t="s">
        <v>479</v>
      </c>
      <c r="B34" s="3" t="s">
        <v>480</v>
      </c>
      <c r="C34" s="3" t="s">
        <v>473</v>
      </c>
      <c r="D34" s="12" t="n">
        <v>74011</v>
      </c>
      <c r="E34" s="12" t="n">
        <v>14062</v>
      </c>
      <c r="F34" s="12" t="n">
        <v>88073</v>
      </c>
      <c r="G34" s="3" t="s">
        <v>229</v>
      </c>
      <c r="H34" s="3" t="s">
        <v>481</v>
      </c>
    </row>
    <row r="35" customFormat="false" ht="15" hidden="false" customHeight="false" outlineLevel="0" collapsed="false">
      <c r="A35" s="3" t="s">
        <v>266</v>
      </c>
      <c r="B35" s="3" t="s">
        <v>482</v>
      </c>
      <c r="C35" s="3" t="s">
        <v>483</v>
      </c>
      <c r="D35" s="12" t="n">
        <v>65538</v>
      </c>
      <c r="E35" s="12" t="n">
        <v>12452</v>
      </c>
      <c r="F35" s="12" t="n">
        <v>77990</v>
      </c>
      <c r="G35" s="3" t="s">
        <v>229</v>
      </c>
      <c r="H35" s="3" t="s">
        <v>484</v>
      </c>
    </row>
    <row r="36" customFormat="false" ht="15" hidden="false" customHeight="false" outlineLevel="0" collapsed="false">
      <c r="A36" s="3" t="s">
        <v>231</v>
      </c>
      <c r="B36" s="3" t="s">
        <v>485</v>
      </c>
      <c r="C36" s="3" t="s">
        <v>483</v>
      </c>
      <c r="D36" s="12" t="n">
        <v>11904</v>
      </c>
      <c r="E36" s="12" t="n">
        <v>2262</v>
      </c>
      <c r="F36" s="12" t="n">
        <v>14166</v>
      </c>
      <c r="G36" s="3" t="s">
        <v>196</v>
      </c>
      <c r="H36" s="3" t="s">
        <v>234</v>
      </c>
    </row>
    <row r="37" customFormat="false" ht="15" hidden="false" customHeight="false" outlineLevel="0" collapsed="false">
      <c r="A37" s="3" t="s">
        <v>255</v>
      </c>
      <c r="B37" s="3" t="s">
        <v>486</v>
      </c>
      <c r="C37" s="3" t="s">
        <v>487</v>
      </c>
      <c r="D37" s="12" t="n">
        <v>37951</v>
      </c>
      <c r="E37" s="12" t="n">
        <v>7211</v>
      </c>
      <c r="F37" s="12" t="n">
        <v>50000</v>
      </c>
      <c r="G37" s="3" t="s">
        <v>229</v>
      </c>
      <c r="H37" s="3" t="s">
        <v>488</v>
      </c>
    </row>
    <row r="38" customFormat="false" ht="15" hidden="false" customHeight="false" outlineLevel="0" collapsed="false">
      <c r="A38" s="3" t="s">
        <v>231</v>
      </c>
      <c r="B38" s="3" t="s">
        <v>489</v>
      </c>
      <c r="C38" s="3" t="s">
        <v>490</v>
      </c>
      <c r="D38" s="12" t="n">
        <v>189112</v>
      </c>
      <c r="E38" s="12" t="n">
        <v>35931</v>
      </c>
      <c r="F38" s="12" t="n">
        <v>225043</v>
      </c>
      <c r="G38" s="3" t="s">
        <v>196</v>
      </c>
      <c r="H38" s="3" t="s">
        <v>234</v>
      </c>
    </row>
    <row r="39" customFormat="false" ht="15" hidden="false" customHeight="false" outlineLevel="0" collapsed="false">
      <c r="A39" s="3" t="s">
        <v>335</v>
      </c>
      <c r="B39" s="3" t="s">
        <v>491</v>
      </c>
      <c r="C39" s="3" t="s">
        <v>487</v>
      </c>
      <c r="D39" s="12" t="n">
        <v>22771</v>
      </c>
      <c r="E39" s="12" t="n">
        <v>4326</v>
      </c>
      <c r="F39" s="12" t="n">
        <v>30000</v>
      </c>
      <c r="G39" s="3" t="s">
        <v>229</v>
      </c>
      <c r="H39" s="3" t="s">
        <v>492</v>
      </c>
    </row>
    <row r="40" customFormat="false" ht="15" hidden="false" customHeight="false" outlineLevel="0" collapsed="false">
      <c r="A40" s="3" t="s">
        <v>226</v>
      </c>
      <c r="B40" s="3" t="s">
        <v>493</v>
      </c>
      <c r="C40" s="3" t="s">
        <v>494</v>
      </c>
      <c r="D40" s="12" t="n">
        <v>759419</v>
      </c>
      <c r="E40" s="12" t="n">
        <v>144289</v>
      </c>
      <c r="F40" s="12" t="n">
        <v>1000000</v>
      </c>
      <c r="G40" s="3" t="s">
        <v>229</v>
      </c>
      <c r="H40" s="3" t="s">
        <v>495</v>
      </c>
    </row>
    <row r="41" customFormat="false" ht="15" hidden="false" customHeight="false" outlineLevel="0" collapsed="false">
      <c r="A41" s="3" t="s">
        <v>242</v>
      </c>
      <c r="B41" s="3" t="s">
        <v>496</v>
      </c>
      <c r="C41" s="3" t="s">
        <v>497</v>
      </c>
      <c r="D41" s="12" t="n">
        <v>536255</v>
      </c>
      <c r="E41" s="12" t="n">
        <v>101889</v>
      </c>
      <c r="F41" s="12" t="n">
        <v>638144</v>
      </c>
      <c r="G41" s="3" t="s">
        <v>196</v>
      </c>
      <c r="H41" s="3" t="s">
        <v>234</v>
      </c>
    </row>
    <row r="42" customFormat="false" ht="15" hidden="false" customHeight="false" outlineLevel="0" collapsed="false">
      <c r="A42" s="3" t="s">
        <v>255</v>
      </c>
      <c r="B42" s="3" t="s">
        <v>498</v>
      </c>
      <c r="C42" s="3" t="s">
        <v>497</v>
      </c>
      <c r="D42" s="12" t="n">
        <v>8403</v>
      </c>
      <c r="E42" s="12" t="n">
        <v>1597</v>
      </c>
      <c r="F42" s="12" t="n">
        <v>10000</v>
      </c>
      <c r="G42" s="3" t="s">
        <v>196</v>
      </c>
      <c r="H42" s="3" t="s">
        <v>234</v>
      </c>
    </row>
    <row r="43" customFormat="false" ht="15" hidden="false" customHeight="false" outlineLevel="0" collapsed="false">
      <c r="A43" s="3" t="s">
        <v>499</v>
      </c>
      <c r="B43" s="3" t="s">
        <v>500</v>
      </c>
      <c r="C43" s="3" t="s">
        <v>501</v>
      </c>
      <c r="D43" s="12" t="n">
        <v>70000</v>
      </c>
      <c r="E43" s="12" t="n">
        <v>13300</v>
      </c>
      <c r="F43" s="12" t="n">
        <v>83300</v>
      </c>
      <c r="G43" s="3" t="s">
        <v>229</v>
      </c>
      <c r="H43" s="3" t="s">
        <v>502</v>
      </c>
    </row>
    <row r="44" customFormat="false" ht="15" hidden="false" customHeight="false" outlineLevel="0" collapsed="false">
      <c r="A44" s="3" t="s">
        <v>255</v>
      </c>
      <c r="B44" s="3" t="s">
        <v>503</v>
      </c>
      <c r="C44" s="3" t="s">
        <v>501</v>
      </c>
      <c r="D44" s="12" t="n">
        <v>75752</v>
      </c>
      <c r="E44" s="12" t="n">
        <v>14393</v>
      </c>
      <c r="F44" s="12" t="n">
        <v>100000</v>
      </c>
      <c r="G44" s="3" t="s">
        <v>229</v>
      </c>
      <c r="H44" s="3" t="s">
        <v>504</v>
      </c>
    </row>
    <row r="45" customFormat="false" ht="15" hidden="false" customHeight="false" outlineLevel="0" collapsed="false">
      <c r="A45" s="3" t="s">
        <v>335</v>
      </c>
      <c r="B45" s="3" t="s">
        <v>505</v>
      </c>
      <c r="C45" s="3" t="s">
        <v>506</v>
      </c>
      <c r="D45" s="12" t="n">
        <v>16347</v>
      </c>
      <c r="E45" s="12" t="n">
        <v>2798</v>
      </c>
      <c r="F45" s="12" t="n">
        <v>19145</v>
      </c>
      <c r="G45" s="3" t="s">
        <v>229</v>
      </c>
      <c r="H45" s="3" t="s">
        <v>507</v>
      </c>
    </row>
    <row r="46" customFormat="false" ht="15" hidden="false" customHeight="false" outlineLevel="0" collapsed="false">
      <c r="A46" s="3" t="s">
        <v>235</v>
      </c>
      <c r="B46" s="3" t="s">
        <v>508</v>
      </c>
      <c r="C46" s="3" t="s">
        <v>509</v>
      </c>
      <c r="D46" s="12" t="n">
        <v>37807</v>
      </c>
      <c r="E46" s="12" t="n">
        <v>7183</v>
      </c>
      <c r="F46" s="12" t="n">
        <v>44990</v>
      </c>
      <c r="G46" s="3" t="s">
        <v>196</v>
      </c>
      <c r="H46" s="3" t="s">
        <v>234</v>
      </c>
    </row>
    <row r="47" customFormat="false" ht="15" hidden="false" customHeight="false" outlineLevel="0" collapsed="false">
      <c r="A47" s="3" t="s">
        <v>235</v>
      </c>
      <c r="B47" s="3" t="s">
        <v>510</v>
      </c>
      <c r="C47" s="3" t="s">
        <v>509</v>
      </c>
      <c r="D47" s="12" t="n">
        <v>18977</v>
      </c>
      <c r="E47" s="12" t="n">
        <v>3606</v>
      </c>
      <c r="F47" s="12" t="n">
        <v>22583</v>
      </c>
      <c r="G47" s="3" t="s">
        <v>196</v>
      </c>
      <c r="H47" s="3" t="s">
        <v>234</v>
      </c>
    </row>
    <row r="48" customFormat="false" ht="15" hidden="false" customHeight="false" outlineLevel="0" collapsed="false">
      <c r="A48" s="3" t="s">
        <v>226</v>
      </c>
      <c r="B48" s="3" t="s">
        <v>511</v>
      </c>
      <c r="C48" s="3" t="s">
        <v>512</v>
      </c>
      <c r="D48" s="12" t="n">
        <v>811375</v>
      </c>
      <c r="E48" s="12" t="n">
        <v>154161</v>
      </c>
      <c r="F48" s="12" t="n">
        <v>1000000</v>
      </c>
      <c r="G48" s="3" t="s">
        <v>229</v>
      </c>
      <c r="H48" s="3" t="s">
        <v>513</v>
      </c>
    </row>
    <row r="49" customFormat="false" ht="15" hidden="false" customHeight="false" outlineLevel="0" collapsed="false">
      <c r="A49" s="3" t="s">
        <v>514</v>
      </c>
      <c r="B49" s="3" t="s">
        <v>515</v>
      </c>
      <c r="C49" s="3" t="s">
        <v>512</v>
      </c>
      <c r="D49" s="12" t="n">
        <v>983773</v>
      </c>
      <c r="E49" s="12" t="n">
        <v>186918</v>
      </c>
      <c r="F49" s="12" t="n">
        <v>1170691</v>
      </c>
      <c r="G49" s="3" t="s">
        <v>196</v>
      </c>
      <c r="H49" s="3" t="s">
        <v>234</v>
      </c>
    </row>
    <row r="50" customFormat="false" ht="15" hidden="false" customHeight="false" outlineLevel="0" collapsed="false">
      <c r="A50" s="3" t="s">
        <v>516</v>
      </c>
      <c r="B50" s="3" t="s">
        <v>517</v>
      </c>
      <c r="C50" s="3" t="s">
        <v>512</v>
      </c>
      <c r="D50" s="12" t="n">
        <v>21008</v>
      </c>
      <c r="E50" s="12" t="n">
        <v>3992</v>
      </c>
      <c r="F50" s="12" t="n">
        <v>25000</v>
      </c>
      <c r="G50" s="3" t="s">
        <v>229</v>
      </c>
      <c r="H50" s="3" t="s">
        <v>518</v>
      </c>
    </row>
    <row r="51" customFormat="false" ht="15" hidden="false" customHeight="false" outlineLevel="0" collapsed="false">
      <c r="A51" s="3" t="s">
        <v>255</v>
      </c>
      <c r="B51" s="3" t="s">
        <v>519</v>
      </c>
      <c r="C51" s="3" t="s">
        <v>512</v>
      </c>
      <c r="D51" s="12" t="n">
        <v>12605</v>
      </c>
      <c r="E51" s="12" t="n">
        <v>2395</v>
      </c>
      <c r="F51" s="12" t="n">
        <v>15000</v>
      </c>
      <c r="G51" s="3" t="s">
        <v>229</v>
      </c>
      <c r="H51" s="3" t="s">
        <v>520</v>
      </c>
    </row>
    <row r="52" customFormat="false" ht="15" hidden="false" customHeight="false" outlineLevel="0" collapsed="false">
      <c r="A52" s="3" t="s">
        <v>226</v>
      </c>
      <c r="B52" s="3" t="s">
        <v>521</v>
      </c>
      <c r="C52" s="3" t="s">
        <v>522</v>
      </c>
      <c r="D52" s="12" t="n">
        <v>121706</v>
      </c>
      <c r="E52" s="12" t="n">
        <v>23124</v>
      </c>
      <c r="F52" s="12" t="n">
        <v>150000</v>
      </c>
      <c r="G52" s="3" t="s">
        <v>229</v>
      </c>
      <c r="H52" s="3" t="s">
        <v>523</v>
      </c>
    </row>
    <row r="53" customFormat="false" ht="15" hidden="false" customHeight="false" outlineLevel="0" collapsed="false">
      <c r="A53" s="3" t="s">
        <v>226</v>
      </c>
      <c r="B53" s="3" t="s">
        <v>524</v>
      </c>
      <c r="C53" s="3" t="s">
        <v>522</v>
      </c>
      <c r="D53" s="12" t="n">
        <v>129820</v>
      </c>
      <c r="E53" s="12" t="n">
        <v>24666</v>
      </c>
      <c r="F53" s="12" t="n">
        <v>160000</v>
      </c>
      <c r="G53" s="3" t="s">
        <v>229</v>
      </c>
      <c r="H53" s="3" t="s">
        <v>523</v>
      </c>
    </row>
    <row r="54" customFormat="false" ht="15" hidden="false" customHeight="false" outlineLevel="0" collapsed="false">
      <c r="A54" s="3" t="s">
        <v>226</v>
      </c>
      <c r="B54" s="3" t="s">
        <v>525</v>
      </c>
      <c r="C54" s="3" t="s">
        <v>522</v>
      </c>
      <c r="D54" s="12" t="n">
        <v>811375</v>
      </c>
      <c r="E54" s="12" t="n">
        <v>154161</v>
      </c>
      <c r="F54" s="12" t="n">
        <v>1000000</v>
      </c>
      <c r="G54" s="3" t="s">
        <v>229</v>
      </c>
      <c r="H54" s="3" t="s">
        <v>526</v>
      </c>
    </row>
    <row r="55" customFormat="false" ht="15" hidden="false" customHeight="false" outlineLevel="0" collapsed="false">
      <c r="A55" s="3" t="s">
        <v>255</v>
      </c>
      <c r="B55" s="3" t="s">
        <v>527</v>
      </c>
      <c r="C55" s="3" t="s">
        <v>528</v>
      </c>
      <c r="D55" s="12" t="n">
        <v>44769</v>
      </c>
      <c r="E55" s="12" t="n">
        <v>8507</v>
      </c>
      <c r="F55" s="12" t="n">
        <v>50000</v>
      </c>
      <c r="G55" s="3" t="s">
        <v>229</v>
      </c>
      <c r="H55" s="3" t="s">
        <v>529</v>
      </c>
    </row>
    <row r="56" customFormat="false" ht="15" hidden="false" customHeight="false" outlineLevel="0" collapsed="false">
      <c r="A56" s="3" t="s">
        <v>308</v>
      </c>
      <c r="B56" s="3" t="s">
        <v>530</v>
      </c>
      <c r="C56" s="3" t="s">
        <v>531</v>
      </c>
      <c r="D56" s="12" t="n">
        <v>16806</v>
      </c>
      <c r="E56" s="12" t="n">
        <v>3193</v>
      </c>
      <c r="F56" s="12" t="n">
        <v>19999</v>
      </c>
      <c r="G56" s="3" t="s">
        <v>229</v>
      </c>
      <c r="H56" s="3" t="s">
        <v>532</v>
      </c>
    </row>
    <row r="57" customFormat="false" ht="15" hidden="false" customHeight="false" outlineLevel="0" collapsed="false">
      <c r="A57" s="3" t="s">
        <v>308</v>
      </c>
      <c r="B57" s="3" t="s">
        <v>533</v>
      </c>
      <c r="C57" s="3" t="s">
        <v>531</v>
      </c>
      <c r="D57" s="12" t="n">
        <v>16623</v>
      </c>
      <c r="E57" s="12" t="n">
        <v>3158</v>
      </c>
      <c r="F57" s="12" t="n">
        <v>19781</v>
      </c>
      <c r="G57" s="3" t="s">
        <v>229</v>
      </c>
      <c r="H57" s="3" t="s">
        <v>532</v>
      </c>
    </row>
    <row r="58" customFormat="false" ht="15" hidden="false" customHeight="false" outlineLevel="0" collapsed="false">
      <c r="A58" s="3" t="s">
        <v>255</v>
      </c>
      <c r="B58" s="3" t="s">
        <v>534</v>
      </c>
      <c r="C58" s="3" t="s">
        <v>531</v>
      </c>
      <c r="D58" s="12" t="n">
        <v>53759</v>
      </c>
      <c r="E58" s="12" t="n">
        <v>10215</v>
      </c>
      <c r="F58" s="12" t="n">
        <v>60000</v>
      </c>
      <c r="G58" s="3" t="s">
        <v>229</v>
      </c>
      <c r="H58" s="3" t="s">
        <v>535</v>
      </c>
    </row>
    <row r="59" customFormat="false" ht="15" hidden="false" customHeight="false" outlineLevel="0" collapsed="false">
      <c r="A59" s="3" t="s">
        <v>242</v>
      </c>
      <c r="B59" s="3" t="s">
        <v>536</v>
      </c>
      <c r="C59" s="3" t="s">
        <v>531</v>
      </c>
      <c r="D59" s="12" t="n">
        <v>248771</v>
      </c>
      <c r="E59" s="12" t="n">
        <v>47266</v>
      </c>
      <c r="F59" s="12" t="n">
        <v>296037</v>
      </c>
      <c r="G59" s="3" t="s">
        <v>229</v>
      </c>
      <c r="H59" s="3" t="s">
        <v>537</v>
      </c>
    </row>
    <row r="60" customFormat="false" ht="15" hidden="false" customHeight="false" outlineLevel="0" collapsed="false">
      <c r="A60" s="3" t="s">
        <v>255</v>
      </c>
      <c r="B60" s="3" t="s">
        <v>538</v>
      </c>
      <c r="C60" s="3" t="s">
        <v>531</v>
      </c>
      <c r="D60" s="12" t="n">
        <v>71678</v>
      </c>
      <c r="E60" s="12" t="n">
        <v>13620</v>
      </c>
      <c r="F60" s="12" t="n">
        <v>80000</v>
      </c>
      <c r="G60" s="3" t="s">
        <v>229</v>
      </c>
      <c r="H60" s="3" t="s">
        <v>535</v>
      </c>
    </row>
    <row r="61" customFormat="false" ht="15" hidden="false" customHeight="false" outlineLevel="0" collapsed="false">
      <c r="A61" s="3" t="s">
        <v>539</v>
      </c>
      <c r="B61" s="3" t="s">
        <v>540</v>
      </c>
      <c r="C61" s="3" t="s">
        <v>442</v>
      </c>
      <c r="D61" s="12" t="n">
        <v>2479</v>
      </c>
      <c r="E61" s="12" t="n">
        <v>471</v>
      </c>
      <c r="F61" s="12" t="n">
        <v>2950</v>
      </c>
      <c r="G61" s="3" t="s">
        <v>196</v>
      </c>
      <c r="H61" s="3" t="s">
        <v>234</v>
      </c>
    </row>
    <row r="62" customFormat="false" ht="15" hidden="false" customHeight="false" outlineLevel="0" collapsed="false">
      <c r="A62" s="3" t="s">
        <v>308</v>
      </c>
      <c r="B62" s="3" t="s">
        <v>541</v>
      </c>
      <c r="C62" s="3" t="s">
        <v>451</v>
      </c>
      <c r="D62" s="12" t="n">
        <v>18674</v>
      </c>
      <c r="E62" s="12" t="n">
        <v>3548</v>
      </c>
      <c r="F62" s="12" t="n">
        <v>22222</v>
      </c>
      <c r="G62" s="3" t="s">
        <v>196</v>
      </c>
      <c r="H62" s="3" t="s">
        <v>234</v>
      </c>
    </row>
    <row r="63" customFormat="false" ht="15" hidden="false" customHeight="false" outlineLevel="0" collapsed="false">
      <c r="A63" s="3" t="s">
        <v>231</v>
      </c>
      <c r="B63" s="3" t="s">
        <v>262</v>
      </c>
      <c r="C63" s="3" t="s">
        <v>497</v>
      </c>
      <c r="D63" s="12" t="n">
        <v>20124</v>
      </c>
      <c r="E63" s="12" t="n">
        <v>3824</v>
      </c>
      <c r="F63" s="12" t="n">
        <v>23948</v>
      </c>
      <c r="G63" s="3" t="s">
        <v>196</v>
      </c>
      <c r="H63" s="3" t="s">
        <v>234</v>
      </c>
    </row>
    <row r="64" customFormat="false" ht="15" hidden="false" customHeight="false" outlineLevel="0" collapsed="false">
      <c r="A64" s="18" t="s">
        <v>372</v>
      </c>
      <c r="F64" s="14" t="n">
        <v>8677299</v>
      </c>
      <c r="G64" s="29" t="s">
        <v>542</v>
      </c>
    </row>
    <row r="66" customFormat="false" ht="15" hidden="false" customHeight="false" outlineLevel="0" collapsed="false">
      <c r="A66" s="2" t="s">
        <v>374</v>
      </c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9" t="s">
        <v>375</v>
      </c>
      <c r="B67" s="9" t="s">
        <v>376</v>
      </c>
      <c r="C67" s="9" t="s">
        <v>377</v>
      </c>
      <c r="D67" s="9" t="s">
        <v>378</v>
      </c>
      <c r="E67" s="9" t="s">
        <v>379</v>
      </c>
    </row>
    <row r="68" customFormat="false" ht="15" hidden="false" customHeight="false" outlineLevel="0" collapsed="false">
      <c r="A68" s="3" t="s">
        <v>434</v>
      </c>
      <c r="B68" s="3" t="s">
        <v>385</v>
      </c>
      <c r="C68" s="12" t="n">
        <v>-27000</v>
      </c>
      <c r="D68" s="3" t="s">
        <v>386</v>
      </c>
      <c r="E68" s="3" t="s">
        <v>387</v>
      </c>
    </row>
    <row r="69" customFormat="false" ht="15" hidden="false" customHeight="false" outlineLevel="0" collapsed="false">
      <c r="A69" s="3" t="s">
        <v>434</v>
      </c>
      <c r="B69" s="3" t="s">
        <v>543</v>
      </c>
      <c r="C69" s="12" t="n">
        <v>2326472</v>
      </c>
      <c r="D69" s="3" t="s">
        <v>381</v>
      </c>
      <c r="E69" s="3" t="s">
        <v>382</v>
      </c>
    </row>
    <row r="70" customFormat="false" ht="15" hidden="false" customHeight="false" outlineLevel="0" collapsed="false">
      <c r="A70" s="3" t="s">
        <v>434</v>
      </c>
      <c r="B70" s="3" t="s">
        <v>544</v>
      </c>
      <c r="C70" s="12" t="n">
        <v>-70000</v>
      </c>
      <c r="D70" s="3" t="s">
        <v>386</v>
      </c>
      <c r="E70" s="3" t="s">
        <v>387</v>
      </c>
    </row>
    <row r="71" customFormat="false" ht="15" hidden="false" customHeight="false" outlineLevel="0" collapsed="false">
      <c r="A71" s="3" t="s">
        <v>434</v>
      </c>
      <c r="B71" s="3" t="s">
        <v>385</v>
      </c>
      <c r="C71" s="12" t="n">
        <v>-6000</v>
      </c>
      <c r="D71" s="3" t="s">
        <v>386</v>
      </c>
      <c r="E71" s="3" t="s">
        <v>387</v>
      </c>
    </row>
    <row r="72" customFormat="false" ht="15" hidden="false" customHeight="false" outlineLevel="0" collapsed="false">
      <c r="A72" s="3" t="s">
        <v>451</v>
      </c>
      <c r="B72" s="3" t="s">
        <v>545</v>
      </c>
      <c r="C72" s="12" t="n">
        <v>-2700</v>
      </c>
      <c r="D72" s="3" t="s">
        <v>386</v>
      </c>
      <c r="E72" s="3" t="s">
        <v>408</v>
      </c>
    </row>
    <row r="73" customFormat="false" ht="15" hidden="false" customHeight="false" outlineLevel="0" collapsed="false">
      <c r="A73" s="3" t="s">
        <v>451</v>
      </c>
      <c r="B73" s="3" t="s">
        <v>546</v>
      </c>
      <c r="C73" s="12" t="n">
        <v>-190000</v>
      </c>
      <c r="D73" s="3" t="s">
        <v>386</v>
      </c>
      <c r="E73" s="3" t="s">
        <v>387</v>
      </c>
    </row>
    <row r="74" customFormat="false" ht="15" hidden="false" customHeight="false" outlineLevel="0" collapsed="false">
      <c r="A74" s="3" t="s">
        <v>451</v>
      </c>
      <c r="B74" s="3" t="s">
        <v>547</v>
      </c>
      <c r="C74" s="12" t="n">
        <v>-54000</v>
      </c>
      <c r="D74" s="3" t="s">
        <v>386</v>
      </c>
      <c r="E74" s="3" t="s">
        <v>387</v>
      </c>
    </row>
    <row r="75" customFormat="false" ht="15" hidden="false" customHeight="false" outlineLevel="0" collapsed="false">
      <c r="A75" s="3" t="s">
        <v>451</v>
      </c>
      <c r="B75" s="3" t="s">
        <v>548</v>
      </c>
      <c r="C75" s="12" t="n">
        <v>-225000</v>
      </c>
      <c r="D75" s="3" t="s">
        <v>386</v>
      </c>
      <c r="E75" s="3" t="s">
        <v>387</v>
      </c>
    </row>
    <row r="76" customFormat="false" ht="15" hidden="false" customHeight="false" outlineLevel="0" collapsed="false">
      <c r="A76" s="3" t="s">
        <v>465</v>
      </c>
      <c r="B76" s="3" t="s">
        <v>385</v>
      </c>
      <c r="C76" s="12" t="n">
        <v>-17000</v>
      </c>
      <c r="D76" s="3" t="s">
        <v>386</v>
      </c>
      <c r="E76" s="3" t="s">
        <v>387</v>
      </c>
    </row>
    <row r="77" customFormat="false" ht="15" hidden="false" customHeight="false" outlineLevel="0" collapsed="false">
      <c r="A77" s="3" t="s">
        <v>465</v>
      </c>
      <c r="B77" s="3" t="s">
        <v>549</v>
      </c>
      <c r="C77" s="12" t="n">
        <v>83100</v>
      </c>
      <c r="D77" s="3" t="s">
        <v>381</v>
      </c>
      <c r="E77" s="3" t="s">
        <v>408</v>
      </c>
    </row>
    <row r="78" customFormat="false" ht="15" hidden="false" customHeight="false" outlineLevel="0" collapsed="false">
      <c r="A78" s="3" t="s">
        <v>465</v>
      </c>
      <c r="B78" s="3" t="s">
        <v>550</v>
      </c>
      <c r="C78" s="12" t="n">
        <v>270000</v>
      </c>
      <c r="D78" s="3" t="s">
        <v>381</v>
      </c>
      <c r="E78" s="3" t="s">
        <v>408</v>
      </c>
    </row>
    <row r="79" customFormat="false" ht="15" hidden="false" customHeight="false" outlineLevel="0" collapsed="false">
      <c r="A79" s="3" t="s">
        <v>465</v>
      </c>
      <c r="B79" s="3" t="s">
        <v>551</v>
      </c>
      <c r="C79" s="12" t="n">
        <v>-280000</v>
      </c>
      <c r="D79" s="3" t="s">
        <v>386</v>
      </c>
      <c r="E79" s="3" t="s">
        <v>387</v>
      </c>
    </row>
    <row r="80" customFormat="false" ht="15" hidden="false" customHeight="false" outlineLevel="0" collapsed="false">
      <c r="A80" s="3" t="s">
        <v>465</v>
      </c>
      <c r="B80" s="3" t="s">
        <v>552</v>
      </c>
      <c r="C80" s="12" t="n">
        <v>-15000</v>
      </c>
      <c r="D80" s="3" t="s">
        <v>386</v>
      </c>
      <c r="E80" s="3" t="s">
        <v>387</v>
      </c>
    </row>
    <row r="81" customFormat="false" ht="15" hidden="false" customHeight="false" outlineLevel="0" collapsed="false">
      <c r="A81" s="3" t="s">
        <v>465</v>
      </c>
      <c r="B81" s="3" t="s">
        <v>553</v>
      </c>
      <c r="C81" s="12" t="n">
        <v>1200000</v>
      </c>
      <c r="D81" s="3" t="s">
        <v>381</v>
      </c>
      <c r="E81" s="3" t="s">
        <v>387</v>
      </c>
    </row>
    <row r="82" customFormat="false" ht="15" hidden="false" customHeight="false" outlineLevel="0" collapsed="false">
      <c r="A82" s="3" t="s">
        <v>469</v>
      </c>
      <c r="B82" s="3" t="s">
        <v>544</v>
      </c>
      <c r="C82" s="12" t="n">
        <v>-270000</v>
      </c>
      <c r="D82" s="3" t="s">
        <v>386</v>
      </c>
      <c r="E82" s="3" t="s">
        <v>387</v>
      </c>
    </row>
    <row r="83" customFormat="false" ht="15" hidden="false" customHeight="false" outlineLevel="0" collapsed="false">
      <c r="A83" s="3" t="s">
        <v>469</v>
      </c>
      <c r="B83" s="3" t="s">
        <v>548</v>
      </c>
      <c r="C83" s="12" t="n">
        <v>-225000</v>
      </c>
      <c r="D83" s="3" t="s">
        <v>386</v>
      </c>
      <c r="E83" s="3" t="s">
        <v>387</v>
      </c>
    </row>
    <row r="84" customFormat="false" ht="15" hidden="false" customHeight="false" outlineLevel="0" collapsed="false">
      <c r="A84" s="3" t="s">
        <v>469</v>
      </c>
      <c r="B84" s="3" t="s">
        <v>552</v>
      </c>
      <c r="C84" s="12" t="n">
        <v>-150000</v>
      </c>
      <c r="D84" s="3" t="s">
        <v>386</v>
      </c>
      <c r="E84" s="3" t="s">
        <v>387</v>
      </c>
    </row>
    <row r="85" customFormat="false" ht="15" hidden="false" customHeight="false" outlineLevel="0" collapsed="false">
      <c r="A85" s="3" t="s">
        <v>469</v>
      </c>
      <c r="B85" s="3" t="s">
        <v>554</v>
      </c>
      <c r="C85" s="12" t="n">
        <v>-180000</v>
      </c>
      <c r="D85" s="3" t="s">
        <v>386</v>
      </c>
      <c r="E85" s="3" t="s">
        <v>387</v>
      </c>
    </row>
    <row r="86" customFormat="false" ht="15" hidden="false" customHeight="false" outlineLevel="0" collapsed="false">
      <c r="A86" s="3" t="s">
        <v>469</v>
      </c>
      <c r="B86" s="3" t="s">
        <v>555</v>
      </c>
      <c r="C86" s="12" t="n">
        <v>320000</v>
      </c>
      <c r="D86" s="3" t="s">
        <v>381</v>
      </c>
      <c r="E86" s="3" t="s">
        <v>408</v>
      </c>
    </row>
    <row r="87" customFormat="false" ht="15" hidden="false" customHeight="false" outlineLevel="0" collapsed="false">
      <c r="A87" s="3" t="s">
        <v>469</v>
      </c>
      <c r="B87" s="3" t="s">
        <v>385</v>
      </c>
      <c r="C87" s="12" t="n">
        <v>-250000</v>
      </c>
      <c r="D87" s="3" t="s">
        <v>386</v>
      </c>
      <c r="E87" s="3" t="s">
        <v>387</v>
      </c>
    </row>
    <row r="88" customFormat="false" ht="15" hidden="false" customHeight="false" outlineLevel="0" collapsed="false">
      <c r="A88" s="3" t="s">
        <v>469</v>
      </c>
      <c r="B88" s="3" t="s">
        <v>406</v>
      </c>
      <c r="C88" s="12" t="n">
        <v>-100000</v>
      </c>
      <c r="D88" s="3" t="s">
        <v>386</v>
      </c>
      <c r="E88" s="3" t="s">
        <v>387</v>
      </c>
    </row>
    <row r="89" customFormat="false" ht="15" hidden="false" customHeight="false" outlineLevel="0" collapsed="false">
      <c r="A89" s="3" t="s">
        <v>469</v>
      </c>
      <c r="B89" s="3" t="s">
        <v>552</v>
      </c>
      <c r="C89" s="12" t="n">
        <v>-12000</v>
      </c>
      <c r="D89" s="3" t="s">
        <v>386</v>
      </c>
      <c r="E89" s="3" t="s">
        <v>387</v>
      </c>
    </row>
    <row r="90" customFormat="false" ht="15" hidden="false" customHeight="false" outlineLevel="0" collapsed="false">
      <c r="A90" s="3" t="s">
        <v>469</v>
      </c>
      <c r="B90" s="3" t="s">
        <v>552</v>
      </c>
      <c r="C90" s="12" t="n">
        <v>-120000</v>
      </c>
      <c r="D90" s="3" t="s">
        <v>386</v>
      </c>
      <c r="E90" s="3" t="s">
        <v>387</v>
      </c>
    </row>
    <row r="91" customFormat="false" ht="15" hidden="false" customHeight="false" outlineLevel="0" collapsed="false">
      <c r="A91" s="3" t="s">
        <v>469</v>
      </c>
      <c r="B91" s="3" t="s">
        <v>552</v>
      </c>
      <c r="C91" s="12" t="n">
        <v>-100000</v>
      </c>
      <c r="D91" s="3" t="s">
        <v>386</v>
      </c>
      <c r="E91" s="3" t="s">
        <v>387</v>
      </c>
    </row>
    <row r="92" customFormat="false" ht="15" hidden="false" customHeight="false" outlineLevel="0" collapsed="false">
      <c r="A92" s="3" t="s">
        <v>471</v>
      </c>
      <c r="B92" s="3" t="s">
        <v>556</v>
      </c>
      <c r="C92" s="12" t="n">
        <v>-4700</v>
      </c>
      <c r="D92" s="3" t="s">
        <v>386</v>
      </c>
      <c r="E92" s="3" t="s">
        <v>408</v>
      </c>
    </row>
    <row r="93" customFormat="false" ht="15" hidden="false" customHeight="false" outlineLevel="0" collapsed="false">
      <c r="A93" s="3" t="s">
        <v>471</v>
      </c>
      <c r="B93" s="3" t="s">
        <v>393</v>
      </c>
      <c r="C93" s="12" t="n">
        <v>-17000</v>
      </c>
      <c r="D93" s="3" t="s">
        <v>386</v>
      </c>
      <c r="E93" s="3" t="s">
        <v>387</v>
      </c>
    </row>
    <row r="94" customFormat="false" ht="15" hidden="false" customHeight="false" outlineLevel="0" collapsed="false">
      <c r="A94" s="3" t="s">
        <v>471</v>
      </c>
      <c r="B94" s="3" t="s">
        <v>552</v>
      </c>
      <c r="C94" s="12" t="n">
        <v>-12000</v>
      </c>
      <c r="D94" s="3" t="s">
        <v>386</v>
      </c>
      <c r="E94" s="3" t="s">
        <v>387</v>
      </c>
    </row>
    <row r="95" customFormat="false" ht="15" hidden="false" customHeight="false" outlineLevel="0" collapsed="false">
      <c r="A95" s="3" t="s">
        <v>473</v>
      </c>
      <c r="B95" s="3" t="s">
        <v>552</v>
      </c>
      <c r="C95" s="12" t="n">
        <v>-8000</v>
      </c>
      <c r="D95" s="3" t="s">
        <v>386</v>
      </c>
      <c r="E95" s="3" t="s">
        <v>387</v>
      </c>
    </row>
    <row r="96" customFormat="false" ht="15" hidden="false" customHeight="false" outlineLevel="0" collapsed="false">
      <c r="A96" s="3" t="s">
        <v>473</v>
      </c>
      <c r="B96" s="3" t="s">
        <v>557</v>
      </c>
      <c r="C96" s="12" t="n">
        <v>-14880</v>
      </c>
      <c r="D96" s="3" t="s">
        <v>386</v>
      </c>
      <c r="E96" s="3" t="s">
        <v>408</v>
      </c>
    </row>
    <row r="97" customFormat="false" ht="15" hidden="false" customHeight="false" outlineLevel="0" collapsed="false">
      <c r="A97" s="3" t="s">
        <v>473</v>
      </c>
      <c r="B97" s="3" t="s">
        <v>552</v>
      </c>
      <c r="C97" s="12" t="n">
        <v>-32000</v>
      </c>
      <c r="D97" s="3" t="s">
        <v>386</v>
      </c>
      <c r="E97" s="3" t="s">
        <v>387</v>
      </c>
    </row>
    <row r="98" customFormat="false" ht="15" hidden="false" customHeight="false" outlineLevel="0" collapsed="false">
      <c r="A98" s="3" t="s">
        <v>483</v>
      </c>
      <c r="B98" s="3" t="s">
        <v>558</v>
      </c>
      <c r="C98" s="12" t="n">
        <v>-63065</v>
      </c>
      <c r="D98" s="3" t="s">
        <v>386</v>
      </c>
      <c r="E98" s="3" t="s">
        <v>408</v>
      </c>
    </row>
    <row r="99" customFormat="false" ht="15" hidden="false" customHeight="false" outlineLevel="0" collapsed="false">
      <c r="A99" s="3" t="s">
        <v>483</v>
      </c>
      <c r="B99" s="3" t="s">
        <v>559</v>
      </c>
      <c r="C99" s="12" t="n">
        <v>-31955</v>
      </c>
      <c r="D99" s="3" t="s">
        <v>386</v>
      </c>
      <c r="E99" s="3" t="s">
        <v>408</v>
      </c>
    </row>
    <row r="100" customFormat="false" ht="15" hidden="false" customHeight="false" outlineLevel="0" collapsed="false">
      <c r="A100" s="3" t="s">
        <v>490</v>
      </c>
      <c r="B100" s="3" t="s">
        <v>552</v>
      </c>
      <c r="C100" s="12" t="n">
        <v>-17000</v>
      </c>
      <c r="D100" s="3" t="s">
        <v>386</v>
      </c>
      <c r="E100" s="3" t="s">
        <v>387</v>
      </c>
    </row>
    <row r="101" customFormat="false" ht="15" hidden="false" customHeight="false" outlineLevel="0" collapsed="false">
      <c r="A101" s="3" t="s">
        <v>497</v>
      </c>
      <c r="B101" s="3" t="s">
        <v>385</v>
      </c>
      <c r="C101" s="12" t="n">
        <v>-200000</v>
      </c>
      <c r="D101" s="3" t="s">
        <v>386</v>
      </c>
      <c r="E101" s="3" t="s">
        <v>387</v>
      </c>
    </row>
    <row r="102" customFormat="false" ht="15" hidden="false" customHeight="false" outlineLevel="0" collapsed="false">
      <c r="A102" s="3" t="s">
        <v>497</v>
      </c>
      <c r="B102" s="3" t="s">
        <v>545</v>
      </c>
      <c r="C102" s="12" t="n">
        <v>-21470</v>
      </c>
      <c r="D102" s="3" t="s">
        <v>386</v>
      </c>
      <c r="E102" s="3" t="s">
        <v>408</v>
      </c>
    </row>
    <row r="103" customFormat="false" ht="15" hidden="false" customHeight="false" outlineLevel="0" collapsed="false">
      <c r="A103" s="3" t="s">
        <v>497</v>
      </c>
      <c r="B103" s="3" t="s">
        <v>553</v>
      </c>
      <c r="C103" s="12" t="n">
        <v>200000</v>
      </c>
      <c r="D103" s="3" t="s">
        <v>381</v>
      </c>
      <c r="E103" s="3" t="s">
        <v>387</v>
      </c>
    </row>
    <row r="104" customFormat="false" ht="15" hidden="false" customHeight="false" outlineLevel="0" collapsed="false">
      <c r="A104" s="3" t="s">
        <v>497</v>
      </c>
      <c r="B104" s="3" t="s">
        <v>543</v>
      </c>
      <c r="C104" s="12" t="n">
        <v>1650249</v>
      </c>
      <c r="D104" s="3" t="s">
        <v>381</v>
      </c>
      <c r="E104" s="3" t="s">
        <v>382</v>
      </c>
    </row>
    <row r="105" customFormat="false" ht="15" hidden="false" customHeight="false" outlineLevel="0" collapsed="false">
      <c r="A105" s="3" t="s">
        <v>497</v>
      </c>
      <c r="B105" s="3" t="s">
        <v>552</v>
      </c>
      <c r="C105" s="12" t="n">
        <v>-12000</v>
      </c>
      <c r="D105" s="3" t="s">
        <v>386</v>
      </c>
      <c r="E105" s="3" t="s">
        <v>387</v>
      </c>
    </row>
    <row r="106" customFormat="false" ht="15" hidden="false" customHeight="false" outlineLevel="0" collapsed="false">
      <c r="A106" s="3" t="s">
        <v>501</v>
      </c>
      <c r="B106" s="3" t="s">
        <v>554</v>
      </c>
      <c r="C106" s="12" t="n">
        <v>-15000</v>
      </c>
      <c r="D106" s="3" t="s">
        <v>386</v>
      </c>
      <c r="E106" s="3" t="s">
        <v>387</v>
      </c>
    </row>
    <row r="107" customFormat="false" ht="15" hidden="false" customHeight="false" outlineLevel="0" collapsed="false">
      <c r="A107" s="3" t="s">
        <v>501</v>
      </c>
      <c r="B107" s="3" t="s">
        <v>552</v>
      </c>
      <c r="C107" s="12" t="n">
        <v>-16000</v>
      </c>
      <c r="D107" s="3" t="s">
        <v>386</v>
      </c>
      <c r="E107" s="3" t="s">
        <v>387</v>
      </c>
    </row>
    <row r="108" customFormat="false" ht="15" hidden="false" customHeight="false" outlineLevel="0" collapsed="false">
      <c r="A108" s="3" t="s">
        <v>501</v>
      </c>
      <c r="B108" s="3" t="s">
        <v>548</v>
      </c>
      <c r="C108" s="12" t="n">
        <v>-225000</v>
      </c>
      <c r="D108" s="3" t="s">
        <v>386</v>
      </c>
      <c r="E108" s="3" t="s">
        <v>387</v>
      </c>
    </row>
    <row r="109" customFormat="false" ht="15" hidden="false" customHeight="false" outlineLevel="0" collapsed="false">
      <c r="A109" s="3" t="s">
        <v>437</v>
      </c>
      <c r="B109" s="3" t="s">
        <v>552</v>
      </c>
      <c r="C109" s="12" t="n">
        <v>-6800</v>
      </c>
      <c r="D109" s="3" t="s">
        <v>386</v>
      </c>
      <c r="E109" s="3" t="s">
        <v>387</v>
      </c>
    </row>
    <row r="110" customFormat="false" ht="15" hidden="false" customHeight="false" outlineLevel="0" collapsed="false">
      <c r="A110" s="3" t="s">
        <v>437</v>
      </c>
      <c r="B110" s="3" t="s">
        <v>554</v>
      </c>
      <c r="C110" s="12" t="n">
        <v>-30000</v>
      </c>
      <c r="D110" s="3" t="s">
        <v>386</v>
      </c>
      <c r="E110" s="3" t="s">
        <v>387</v>
      </c>
    </row>
    <row r="111" customFormat="false" ht="15" hidden="false" customHeight="false" outlineLevel="0" collapsed="false">
      <c r="A111" s="3" t="s">
        <v>437</v>
      </c>
      <c r="B111" s="3" t="s">
        <v>552</v>
      </c>
      <c r="C111" s="12" t="n">
        <v>-6000</v>
      </c>
      <c r="D111" s="3" t="s">
        <v>386</v>
      </c>
      <c r="E111" s="3" t="s">
        <v>387</v>
      </c>
    </row>
    <row r="112" customFormat="false" ht="15" hidden="false" customHeight="false" outlineLevel="0" collapsed="false">
      <c r="A112" s="3" t="s">
        <v>437</v>
      </c>
      <c r="B112" s="3" t="s">
        <v>554</v>
      </c>
      <c r="C112" s="12" t="n">
        <v>-15000</v>
      </c>
      <c r="D112" s="3" t="s">
        <v>386</v>
      </c>
      <c r="E112" s="3" t="s">
        <v>387</v>
      </c>
    </row>
    <row r="113" customFormat="false" ht="15" hidden="false" customHeight="false" outlineLevel="0" collapsed="false">
      <c r="A113" s="3" t="s">
        <v>437</v>
      </c>
      <c r="B113" s="3" t="s">
        <v>552</v>
      </c>
      <c r="C113" s="12" t="n">
        <v>-50000</v>
      </c>
      <c r="D113" s="3" t="s">
        <v>386</v>
      </c>
      <c r="E113" s="3" t="s">
        <v>387</v>
      </c>
    </row>
    <row r="114" customFormat="false" ht="15" hidden="false" customHeight="false" outlineLevel="0" collapsed="false">
      <c r="A114" s="3" t="s">
        <v>506</v>
      </c>
      <c r="B114" s="3" t="s">
        <v>554</v>
      </c>
      <c r="C114" s="12" t="n">
        <v>-50000</v>
      </c>
      <c r="D114" s="3" t="s">
        <v>386</v>
      </c>
      <c r="E114" s="3" t="s">
        <v>387</v>
      </c>
    </row>
    <row r="115" customFormat="false" ht="15" hidden="false" customHeight="false" outlineLevel="0" collapsed="false">
      <c r="A115" s="3" t="s">
        <v>506</v>
      </c>
      <c r="B115" s="3" t="s">
        <v>560</v>
      </c>
      <c r="C115" s="12" t="n">
        <v>2813595</v>
      </c>
      <c r="D115" s="3" t="s">
        <v>381</v>
      </c>
      <c r="E115" s="3" t="s">
        <v>391</v>
      </c>
    </row>
    <row r="116" customFormat="false" ht="15" hidden="false" customHeight="false" outlineLevel="0" collapsed="false">
      <c r="A116" s="3" t="s">
        <v>512</v>
      </c>
      <c r="B116" s="3" t="s">
        <v>385</v>
      </c>
      <c r="C116" s="12" t="n">
        <v>-400000</v>
      </c>
      <c r="D116" s="3" t="s">
        <v>386</v>
      </c>
      <c r="E116" s="3" t="s">
        <v>387</v>
      </c>
    </row>
    <row r="117" customFormat="false" ht="15" hidden="false" customHeight="false" outlineLevel="0" collapsed="false">
      <c r="A117" s="3" t="s">
        <v>512</v>
      </c>
      <c r="B117" s="3" t="s">
        <v>561</v>
      </c>
      <c r="C117" s="12" t="n">
        <v>760000</v>
      </c>
      <c r="D117" s="3" t="s">
        <v>381</v>
      </c>
      <c r="E117" s="3" t="s">
        <v>408</v>
      </c>
    </row>
    <row r="118" customFormat="false" ht="15" hidden="false" customHeight="false" outlineLevel="0" collapsed="false">
      <c r="A118" s="3" t="s">
        <v>512</v>
      </c>
      <c r="B118" s="3" t="s">
        <v>552</v>
      </c>
      <c r="C118" s="12" t="n">
        <v>-250000</v>
      </c>
      <c r="D118" s="3" t="s">
        <v>386</v>
      </c>
      <c r="E118" s="3" t="s">
        <v>387</v>
      </c>
    </row>
    <row r="119" customFormat="false" ht="15" hidden="false" customHeight="false" outlineLevel="0" collapsed="false">
      <c r="A119" s="3" t="s">
        <v>512</v>
      </c>
      <c r="B119" s="3" t="s">
        <v>393</v>
      </c>
      <c r="C119" s="12" t="n">
        <v>-300000</v>
      </c>
      <c r="D119" s="3" t="s">
        <v>386</v>
      </c>
      <c r="E119" s="3" t="s">
        <v>387</v>
      </c>
    </row>
    <row r="120" customFormat="false" ht="15" hidden="false" customHeight="false" outlineLevel="0" collapsed="false">
      <c r="A120" s="3" t="s">
        <v>512</v>
      </c>
      <c r="B120" s="3" t="s">
        <v>544</v>
      </c>
      <c r="C120" s="12" t="n">
        <v>-300000</v>
      </c>
      <c r="D120" s="3" t="s">
        <v>386</v>
      </c>
      <c r="E120" s="3" t="s">
        <v>387</v>
      </c>
    </row>
    <row r="121" customFormat="false" ht="15" hidden="false" customHeight="false" outlineLevel="0" collapsed="false">
      <c r="A121" s="3" t="s">
        <v>512</v>
      </c>
      <c r="B121" s="3" t="s">
        <v>406</v>
      </c>
      <c r="C121" s="12" t="n">
        <v>-150000</v>
      </c>
      <c r="D121" s="3" t="s">
        <v>386</v>
      </c>
      <c r="E121" s="3" t="s">
        <v>387</v>
      </c>
    </row>
    <row r="122" customFormat="false" ht="15" hidden="false" customHeight="false" outlineLevel="0" collapsed="false">
      <c r="A122" s="3" t="s">
        <v>512</v>
      </c>
      <c r="B122" s="3" t="s">
        <v>562</v>
      </c>
      <c r="C122" s="12" t="n">
        <v>-1000000</v>
      </c>
      <c r="D122" s="3" t="s">
        <v>386</v>
      </c>
      <c r="E122" s="3" t="s">
        <v>387</v>
      </c>
    </row>
    <row r="123" customFormat="false" ht="15" hidden="false" customHeight="false" outlineLevel="0" collapsed="false">
      <c r="A123" s="3" t="s">
        <v>512</v>
      </c>
      <c r="B123" s="3" t="s">
        <v>548</v>
      </c>
      <c r="C123" s="12" t="n">
        <v>-55000</v>
      </c>
      <c r="D123" s="3" t="s">
        <v>386</v>
      </c>
      <c r="E123" s="3" t="s">
        <v>387</v>
      </c>
    </row>
    <row r="124" customFormat="false" ht="15" hidden="false" customHeight="false" outlineLevel="0" collapsed="false">
      <c r="A124" s="3" t="s">
        <v>512</v>
      </c>
      <c r="B124" s="3" t="s">
        <v>554</v>
      </c>
      <c r="C124" s="12" t="n">
        <v>-70000</v>
      </c>
      <c r="D124" s="3" t="s">
        <v>386</v>
      </c>
      <c r="E124" s="3" t="s">
        <v>387</v>
      </c>
    </row>
    <row r="125" customFormat="false" ht="15" hidden="false" customHeight="false" outlineLevel="0" collapsed="false">
      <c r="A125" s="3" t="s">
        <v>439</v>
      </c>
      <c r="B125" s="3" t="s">
        <v>554</v>
      </c>
      <c r="C125" s="12" t="n">
        <v>-17000</v>
      </c>
      <c r="D125" s="3" t="s">
        <v>386</v>
      </c>
      <c r="E125" s="3" t="s">
        <v>387</v>
      </c>
    </row>
    <row r="126" customFormat="false" ht="15" hidden="false" customHeight="false" outlineLevel="0" collapsed="false">
      <c r="A126" s="3" t="s">
        <v>439</v>
      </c>
      <c r="B126" s="3" t="s">
        <v>393</v>
      </c>
      <c r="C126" s="12" t="n">
        <v>-32000</v>
      </c>
      <c r="D126" s="3" t="s">
        <v>386</v>
      </c>
      <c r="E126" s="3" t="s">
        <v>387</v>
      </c>
    </row>
    <row r="127" customFormat="false" ht="15" hidden="false" customHeight="false" outlineLevel="0" collapsed="false">
      <c r="A127" s="3" t="s">
        <v>439</v>
      </c>
      <c r="B127" s="3" t="s">
        <v>563</v>
      </c>
      <c r="C127" s="12" t="n">
        <v>-9471</v>
      </c>
      <c r="D127" s="3" t="s">
        <v>386</v>
      </c>
      <c r="E127" s="3" t="s">
        <v>408</v>
      </c>
    </row>
    <row r="128" customFormat="false" ht="15" hidden="false" customHeight="false" outlineLevel="0" collapsed="false">
      <c r="A128" s="3" t="s">
        <v>522</v>
      </c>
      <c r="B128" s="3" t="s">
        <v>564</v>
      </c>
      <c r="C128" s="12" t="n">
        <v>-31319</v>
      </c>
      <c r="D128" s="3" t="s">
        <v>386</v>
      </c>
      <c r="E128" s="3" t="s">
        <v>408</v>
      </c>
    </row>
    <row r="129" customFormat="false" ht="15" hidden="false" customHeight="false" outlineLevel="0" collapsed="false">
      <c r="A129" s="3" t="s">
        <v>522</v>
      </c>
      <c r="B129" s="3" t="s">
        <v>543</v>
      </c>
      <c r="C129" s="12" t="n">
        <v>198000</v>
      </c>
      <c r="D129" s="3" t="s">
        <v>381</v>
      </c>
      <c r="E129" s="3" t="s">
        <v>382</v>
      </c>
    </row>
    <row r="130" customFormat="false" ht="15" hidden="false" customHeight="false" outlineLevel="0" collapsed="false">
      <c r="A130" s="3" t="s">
        <v>522</v>
      </c>
      <c r="B130" s="3" t="s">
        <v>552</v>
      </c>
      <c r="C130" s="12" t="n">
        <v>-12000</v>
      </c>
      <c r="D130" s="3" t="s">
        <v>386</v>
      </c>
      <c r="E130" s="3" t="s">
        <v>387</v>
      </c>
    </row>
    <row r="131" customFormat="false" ht="15" hidden="false" customHeight="false" outlineLevel="0" collapsed="false">
      <c r="A131" s="3" t="s">
        <v>522</v>
      </c>
      <c r="B131" s="3" t="s">
        <v>554</v>
      </c>
      <c r="C131" s="12" t="n">
        <v>-12000</v>
      </c>
      <c r="D131" s="3" t="s">
        <v>386</v>
      </c>
      <c r="E131" s="3" t="s">
        <v>387</v>
      </c>
    </row>
    <row r="132" customFormat="false" ht="15" hidden="false" customHeight="false" outlineLevel="0" collapsed="false">
      <c r="A132" s="3" t="s">
        <v>522</v>
      </c>
      <c r="B132" s="3" t="s">
        <v>560</v>
      </c>
      <c r="C132" s="12" t="n">
        <v>2234722</v>
      </c>
      <c r="D132" s="3" t="s">
        <v>381</v>
      </c>
      <c r="E132" s="3" t="s">
        <v>391</v>
      </c>
    </row>
    <row r="133" customFormat="false" ht="15" hidden="false" customHeight="false" outlineLevel="0" collapsed="false">
      <c r="A133" s="3" t="s">
        <v>528</v>
      </c>
      <c r="B133" s="3" t="s">
        <v>548</v>
      </c>
      <c r="C133" s="12" t="n">
        <v>-350000</v>
      </c>
      <c r="D133" s="3" t="s">
        <v>386</v>
      </c>
      <c r="E133" s="3" t="s">
        <v>387</v>
      </c>
    </row>
    <row r="134" customFormat="false" ht="15" hidden="false" customHeight="false" outlineLevel="0" collapsed="false">
      <c r="A134" s="3" t="s">
        <v>528</v>
      </c>
      <c r="B134" s="3" t="s">
        <v>552</v>
      </c>
      <c r="C134" s="12" t="n">
        <v>-16000</v>
      </c>
      <c r="D134" s="3" t="s">
        <v>386</v>
      </c>
      <c r="E134" s="3" t="s">
        <v>387</v>
      </c>
    </row>
    <row r="135" customFormat="false" ht="15" hidden="false" customHeight="false" outlineLevel="0" collapsed="false">
      <c r="A135" s="3" t="s">
        <v>528</v>
      </c>
      <c r="B135" s="3" t="s">
        <v>565</v>
      </c>
      <c r="C135" s="12" t="n">
        <v>-5770</v>
      </c>
      <c r="D135" s="3" t="s">
        <v>386</v>
      </c>
      <c r="E135" s="3" t="s">
        <v>395</v>
      </c>
    </row>
    <row r="136" customFormat="false" ht="15" hidden="false" customHeight="false" outlineLevel="0" collapsed="false">
      <c r="A136" s="3" t="s">
        <v>528</v>
      </c>
      <c r="B136" s="3" t="s">
        <v>554</v>
      </c>
      <c r="C136" s="12" t="n">
        <v>-20000</v>
      </c>
      <c r="D136" s="3" t="s">
        <v>386</v>
      </c>
      <c r="E136" s="3" t="s">
        <v>387</v>
      </c>
    </row>
    <row r="137" customFormat="false" ht="15" hidden="false" customHeight="false" outlineLevel="0" collapsed="false">
      <c r="A137" s="3" t="s">
        <v>528</v>
      </c>
      <c r="B137" s="3" t="s">
        <v>566</v>
      </c>
      <c r="C137" s="12" t="n">
        <v>-405600</v>
      </c>
      <c r="D137" s="3" t="s">
        <v>386</v>
      </c>
      <c r="E137" s="3" t="s">
        <v>395</v>
      </c>
    </row>
    <row r="138" customFormat="false" ht="15" hidden="false" customHeight="false" outlineLevel="0" collapsed="false">
      <c r="A138" s="3" t="s">
        <v>528</v>
      </c>
      <c r="B138" s="3" t="s">
        <v>393</v>
      </c>
      <c r="C138" s="12" t="n">
        <v>-15000</v>
      </c>
      <c r="D138" s="3" t="s">
        <v>386</v>
      </c>
      <c r="E138" s="3" t="s">
        <v>387</v>
      </c>
    </row>
    <row r="139" customFormat="false" ht="15" hidden="false" customHeight="false" outlineLevel="0" collapsed="false">
      <c r="A139" s="3" t="s">
        <v>531</v>
      </c>
      <c r="B139" s="3" t="s">
        <v>554</v>
      </c>
      <c r="C139" s="12" t="n">
        <v>-20000</v>
      </c>
      <c r="D139" s="3" t="s">
        <v>386</v>
      </c>
      <c r="E139" s="3" t="s">
        <v>387</v>
      </c>
    </row>
    <row r="140" customFormat="false" ht="15" hidden="false" customHeight="false" outlineLevel="0" collapsed="false">
      <c r="A140" s="3" t="s">
        <v>531</v>
      </c>
      <c r="B140" s="3" t="s">
        <v>552</v>
      </c>
      <c r="C140" s="12" t="n">
        <v>-20000</v>
      </c>
      <c r="D140" s="3" t="s">
        <v>386</v>
      </c>
      <c r="E140" s="3" t="s">
        <v>387</v>
      </c>
    </row>
    <row r="141" customFormat="false" ht="15" hidden="false" customHeight="false" outlineLevel="0" collapsed="false">
      <c r="A141" s="3" t="s">
        <v>531</v>
      </c>
      <c r="B141" s="3" t="s">
        <v>567</v>
      </c>
      <c r="C141" s="12" t="n">
        <v>357000</v>
      </c>
      <c r="D141" s="3" t="s">
        <v>381</v>
      </c>
      <c r="E141" s="3" t="s">
        <v>408</v>
      </c>
    </row>
    <row r="142" customFormat="false" ht="15" hidden="false" customHeight="false" outlineLevel="0" collapsed="false">
      <c r="A142" s="3" t="s">
        <v>531</v>
      </c>
      <c r="B142" s="3" t="s">
        <v>393</v>
      </c>
      <c r="C142" s="12" t="n">
        <v>-29000</v>
      </c>
      <c r="D142" s="3" t="s">
        <v>386</v>
      </c>
      <c r="E142" s="3" t="s">
        <v>387</v>
      </c>
    </row>
    <row r="143" customFormat="false" ht="15" hidden="false" customHeight="false" outlineLevel="0" collapsed="false">
      <c r="A143" s="3" t="s">
        <v>531</v>
      </c>
      <c r="B143" s="3" t="s">
        <v>544</v>
      </c>
      <c r="C143" s="12" t="n">
        <v>-20000</v>
      </c>
      <c r="D143" s="3" t="s">
        <v>386</v>
      </c>
      <c r="E143" s="3" t="s">
        <v>387</v>
      </c>
    </row>
    <row r="144" customFormat="false" ht="15" hidden="false" customHeight="false" outlineLevel="0" collapsed="false">
      <c r="A144" s="3" t="s">
        <v>568</v>
      </c>
      <c r="B144" s="3" t="s">
        <v>554</v>
      </c>
      <c r="C144" s="12" t="n">
        <v>-12000</v>
      </c>
      <c r="D144" s="3" t="s">
        <v>386</v>
      </c>
      <c r="E144" s="3" t="s">
        <v>387</v>
      </c>
    </row>
    <row r="145" customFormat="false" ht="15" hidden="false" customHeight="false" outlineLevel="0" collapsed="false">
      <c r="A145" s="3" t="s">
        <v>568</v>
      </c>
      <c r="B145" s="3" t="s">
        <v>569</v>
      </c>
      <c r="C145" s="12" t="n">
        <v>-58001</v>
      </c>
      <c r="D145" s="3" t="s">
        <v>386</v>
      </c>
      <c r="E145" s="3" t="s">
        <v>408</v>
      </c>
    </row>
    <row r="146" customFormat="false" ht="15" hidden="false" customHeight="false" outlineLevel="0" collapsed="false">
      <c r="A146" s="3" t="s">
        <v>568</v>
      </c>
      <c r="B146" s="3" t="s">
        <v>570</v>
      </c>
      <c r="C146" s="12" t="n">
        <v>-6950</v>
      </c>
      <c r="D146" s="3" t="s">
        <v>386</v>
      </c>
      <c r="E146" s="3" t="s">
        <v>395</v>
      </c>
    </row>
    <row r="147" customFormat="false" ht="15" hidden="false" customHeight="false" outlineLevel="0" collapsed="false">
      <c r="A147" s="3" t="s">
        <v>568</v>
      </c>
      <c r="B147" s="3" t="s">
        <v>552</v>
      </c>
      <c r="C147" s="12" t="n">
        <v>-15000</v>
      </c>
      <c r="D147" s="3" t="s">
        <v>386</v>
      </c>
      <c r="E147" s="3" t="s">
        <v>387</v>
      </c>
    </row>
    <row r="148" customFormat="false" ht="15" hidden="false" customHeight="false" outlineLevel="0" collapsed="false">
      <c r="A148" s="3" t="s">
        <v>568</v>
      </c>
      <c r="B148" s="3" t="s">
        <v>571</v>
      </c>
      <c r="C148" s="12" t="n">
        <v>-66878</v>
      </c>
      <c r="D148" s="3" t="s">
        <v>386</v>
      </c>
      <c r="E148" s="3" t="s">
        <v>395</v>
      </c>
    </row>
    <row r="149" customFormat="false" ht="15" hidden="false" customHeight="false" outlineLevel="0" collapsed="false">
      <c r="A149" s="3" t="s">
        <v>568</v>
      </c>
      <c r="B149" s="3" t="s">
        <v>572</v>
      </c>
      <c r="C149" s="12" t="n">
        <v>490200</v>
      </c>
      <c r="D149" s="3" t="s">
        <v>381</v>
      </c>
      <c r="E149" s="3" t="s">
        <v>408</v>
      </c>
    </row>
    <row r="150" customFormat="false" ht="15" hidden="false" customHeight="false" outlineLevel="0" collapsed="false">
      <c r="A150" s="3" t="s">
        <v>568</v>
      </c>
      <c r="B150" s="3" t="s">
        <v>573</v>
      </c>
      <c r="C150" s="12" t="n">
        <v>-4200</v>
      </c>
      <c r="D150" s="3" t="s">
        <v>386</v>
      </c>
      <c r="E150" s="3" t="s">
        <v>408</v>
      </c>
    </row>
    <row r="151" customFormat="false" ht="15" hidden="false" customHeight="false" outlineLevel="0" collapsed="false">
      <c r="A151" s="3" t="s">
        <v>568</v>
      </c>
      <c r="B151" s="3" t="s">
        <v>573</v>
      </c>
      <c r="C151" s="12" t="n">
        <v>-6700</v>
      </c>
      <c r="D151" s="3" t="s">
        <v>386</v>
      </c>
      <c r="E151" s="3" t="s">
        <v>408</v>
      </c>
    </row>
    <row r="152" customFormat="false" ht="15" hidden="false" customHeight="false" outlineLevel="0" collapsed="false">
      <c r="A152" s="3" t="s">
        <v>568</v>
      </c>
      <c r="B152" s="3" t="s">
        <v>548</v>
      </c>
      <c r="C152" s="12" t="n">
        <v>-18000</v>
      </c>
      <c r="D152" s="3" t="s">
        <v>386</v>
      </c>
      <c r="E152" s="3" t="s">
        <v>387</v>
      </c>
    </row>
    <row r="153" customFormat="false" ht="15" hidden="false" customHeight="false" outlineLevel="0" collapsed="false">
      <c r="A153" s="3" t="s">
        <v>568</v>
      </c>
      <c r="B153" s="3" t="s">
        <v>572</v>
      </c>
      <c r="C153" s="12" t="n">
        <v>200000</v>
      </c>
      <c r="D153" s="3" t="s">
        <v>381</v>
      </c>
      <c r="E153" s="3" t="s">
        <v>408</v>
      </c>
    </row>
    <row r="154" customFormat="false" ht="15" hidden="false" customHeight="false" outlineLevel="0" collapsed="false">
      <c r="A154" s="3" t="s">
        <v>568</v>
      </c>
      <c r="B154" s="3" t="s">
        <v>574</v>
      </c>
      <c r="C154" s="12" t="n">
        <v>-38000</v>
      </c>
      <c r="D154" s="3" t="s">
        <v>386</v>
      </c>
      <c r="E154" s="3" t="s">
        <v>395</v>
      </c>
    </row>
    <row r="155" customFormat="false" ht="15" hidden="false" customHeight="false" outlineLevel="0" collapsed="false">
      <c r="A155" s="3" t="s">
        <v>568</v>
      </c>
      <c r="B155" s="3" t="s">
        <v>553</v>
      </c>
      <c r="C155" s="12" t="n">
        <v>1000000</v>
      </c>
      <c r="D155" s="3" t="s">
        <v>381</v>
      </c>
      <c r="E155" s="3" t="s">
        <v>387</v>
      </c>
    </row>
    <row r="156" customFormat="false" ht="15" hidden="false" customHeight="false" outlineLevel="0" collapsed="false">
      <c r="A156" s="3" t="s">
        <v>568</v>
      </c>
      <c r="B156" s="3" t="s">
        <v>552</v>
      </c>
      <c r="C156" s="12" t="n">
        <v>-70000</v>
      </c>
      <c r="D156" s="3" t="s">
        <v>386</v>
      </c>
      <c r="E156" s="3" t="s">
        <v>387</v>
      </c>
    </row>
    <row r="157" customFormat="false" ht="15" hidden="false" customHeight="false" outlineLevel="0" collapsed="false">
      <c r="A157" s="3" t="s">
        <v>568</v>
      </c>
      <c r="B157" s="3" t="s">
        <v>554</v>
      </c>
      <c r="C157" s="12" t="n">
        <v>-120000</v>
      </c>
      <c r="D157" s="3" t="s">
        <v>386</v>
      </c>
      <c r="E157" s="3" t="s">
        <v>387</v>
      </c>
    </row>
    <row r="158" customFormat="false" ht="15" hidden="false" customHeight="false" outlineLevel="0" collapsed="false">
      <c r="A158" s="3" t="s">
        <v>568</v>
      </c>
      <c r="B158" s="3" t="s">
        <v>554</v>
      </c>
      <c r="C158" s="12" t="n">
        <v>-3000</v>
      </c>
      <c r="D158" s="3" t="s">
        <v>386</v>
      </c>
      <c r="E158" s="3" t="s">
        <v>387</v>
      </c>
    </row>
    <row r="159" customFormat="false" ht="15" hidden="false" customHeight="false" outlineLevel="0" collapsed="false">
      <c r="A159" s="3" t="s">
        <v>568</v>
      </c>
      <c r="B159" s="3" t="s">
        <v>544</v>
      </c>
      <c r="C159" s="12" t="n">
        <v>-25000</v>
      </c>
      <c r="D159" s="3" t="s">
        <v>386</v>
      </c>
      <c r="E159" s="3" t="s">
        <v>387</v>
      </c>
    </row>
    <row r="160" customFormat="false" ht="15" hidden="false" customHeight="false" outlineLevel="0" collapsed="false">
      <c r="A160" s="3" t="s">
        <v>568</v>
      </c>
      <c r="B160" s="3" t="s">
        <v>573</v>
      </c>
      <c r="C160" s="12" t="n">
        <v>-16500</v>
      </c>
      <c r="D160" s="3" t="s">
        <v>386</v>
      </c>
      <c r="E160" s="3" t="s">
        <v>408</v>
      </c>
    </row>
    <row r="161" customFormat="false" ht="15" hidden="false" customHeight="false" outlineLevel="0" collapsed="false">
      <c r="A161" s="3" t="s">
        <v>575</v>
      </c>
      <c r="B161" s="3" t="s">
        <v>552</v>
      </c>
      <c r="C161" s="12" t="n">
        <v>-15000</v>
      </c>
      <c r="D161" s="3" t="s">
        <v>386</v>
      </c>
      <c r="E161" s="3" t="s">
        <v>387</v>
      </c>
    </row>
    <row r="162" customFormat="false" ht="15" hidden="false" customHeight="false" outlineLevel="0" collapsed="false">
      <c r="A162" s="3" t="s">
        <v>575</v>
      </c>
      <c r="B162" s="3" t="s">
        <v>544</v>
      </c>
      <c r="C162" s="12" t="n">
        <v>-170000</v>
      </c>
      <c r="D162" s="3" t="s">
        <v>386</v>
      </c>
      <c r="E162" s="3" t="s">
        <v>387</v>
      </c>
    </row>
    <row r="163" customFormat="false" ht="15" hidden="false" customHeight="false" outlineLevel="0" collapsed="false">
      <c r="A163" s="3" t="s">
        <v>575</v>
      </c>
      <c r="B163" s="3" t="s">
        <v>576</v>
      </c>
      <c r="C163" s="12" t="n">
        <v>-97000</v>
      </c>
      <c r="D163" s="3" t="s">
        <v>386</v>
      </c>
      <c r="E163" s="3" t="s">
        <v>387</v>
      </c>
    </row>
    <row r="164" customFormat="false" ht="15" hidden="false" customHeight="false" outlineLevel="0" collapsed="false">
      <c r="A164" s="3" t="s">
        <v>575</v>
      </c>
      <c r="B164" s="3" t="s">
        <v>554</v>
      </c>
      <c r="C164" s="12" t="n">
        <v>-20000</v>
      </c>
      <c r="D164" s="3" t="s">
        <v>386</v>
      </c>
      <c r="E164" s="3" t="s">
        <v>387</v>
      </c>
    </row>
    <row r="165" customFormat="false" ht="15" hidden="false" customHeight="false" outlineLevel="0" collapsed="false">
      <c r="A165" s="3" t="s">
        <v>575</v>
      </c>
      <c r="B165" s="3" t="s">
        <v>577</v>
      </c>
      <c r="C165" s="12" t="n">
        <v>-100000</v>
      </c>
      <c r="D165" s="3" t="s">
        <v>386</v>
      </c>
      <c r="E165" s="3" t="s">
        <v>387</v>
      </c>
    </row>
    <row r="166" customFormat="false" ht="15" hidden="false" customHeight="false" outlineLevel="0" collapsed="false">
      <c r="A166" s="3" t="s">
        <v>575</v>
      </c>
      <c r="B166" s="3" t="s">
        <v>578</v>
      </c>
      <c r="C166" s="12" t="n">
        <v>-800000</v>
      </c>
      <c r="D166" s="3" t="s">
        <v>386</v>
      </c>
      <c r="E166" s="3" t="s">
        <v>77</v>
      </c>
    </row>
    <row r="167" customFormat="false" ht="15" hidden="false" customHeight="false" outlineLevel="0" collapsed="false">
      <c r="A167" s="3" t="s">
        <v>579</v>
      </c>
      <c r="B167" s="3" t="s">
        <v>554</v>
      </c>
      <c r="C167" s="12" t="n">
        <v>-100000</v>
      </c>
      <c r="D167" s="3" t="s">
        <v>386</v>
      </c>
      <c r="E167" s="3" t="s">
        <v>387</v>
      </c>
    </row>
    <row r="168" customFormat="false" ht="15" hidden="false" customHeight="false" outlineLevel="0" collapsed="false">
      <c r="A168" s="3" t="s">
        <v>579</v>
      </c>
      <c r="B168" s="3" t="s">
        <v>554</v>
      </c>
      <c r="C168" s="12" t="n">
        <v>-53000</v>
      </c>
      <c r="D168" s="3" t="s">
        <v>386</v>
      </c>
      <c r="E168" s="3" t="s">
        <v>387</v>
      </c>
    </row>
    <row r="169" customFormat="false" ht="15" hidden="false" customHeight="false" outlineLevel="0" collapsed="false">
      <c r="A169" s="3" t="s">
        <v>579</v>
      </c>
      <c r="B169" s="3" t="s">
        <v>577</v>
      </c>
      <c r="C169" s="12" t="n">
        <v>-50000</v>
      </c>
      <c r="D169" s="3" t="s">
        <v>386</v>
      </c>
      <c r="E169" s="3" t="s">
        <v>387</v>
      </c>
    </row>
    <row r="171" customFormat="false" ht="15" hidden="false" customHeight="false" outlineLevel="0" collapsed="false">
      <c r="A171" s="2" t="s">
        <v>420</v>
      </c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9" t="s">
        <v>65</v>
      </c>
      <c r="B172" s="9" t="s">
        <v>377</v>
      </c>
      <c r="C172" s="30" t="s">
        <v>421</v>
      </c>
      <c r="D172" s="30" t="s">
        <v>422</v>
      </c>
    </row>
    <row r="173" customFormat="false" ht="15" hidden="false" customHeight="false" outlineLevel="0" collapsed="false">
      <c r="A173" s="3" t="s">
        <v>423</v>
      </c>
      <c r="B173" s="12" t="n">
        <v>267206</v>
      </c>
    </row>
    <row r="174" customFormat="false" ht="15" hidden="false" customHeight="false" outlineLevel="0" collapsed="false">
      <c r="A174" s="3" t="s">
        <v>424</v>
      </c>
      <c r="B174" s="12" t="n">
        <v>14543638</v>
      </c>
      <c r="C174" s="31" t="n">
        <f aca="false">F11</f>
        <v>6122312</v>
      </c>
      <c r="D174" s="31" t="n">
        <f aca="false">B174-C174</f>
        <v>8421326</v>
      </c>
    </row>
    <row r="175" customFormat="false" ht="15" hidden="false" customHeight="false" outlineLevel="0" collapsed="false">
      <c r="A175" s="3" t="s">
        <v>425</v>
      </c>
      <c r="B175" s="12" t="n">
        <v>-14747473</v>
      </c>
    </row>
    <row r="176" customFormat="false" ht="15" hidden="false" customHeight="false" outlineLevel="0" collapsed="false">
      <c r="A176" s="18" t="s">
        <v>426</v>
      </c>
      <c r="B176" s="14" t="n">
        <f aca="false">SUM(B173:B175)</f>
        <v>63371</v>
      </c>
    </row>
    <row r="177" customFormat="false" ht="15" hidden="false" customHeight="false" outlineLevel="0" collapsed="false">
      <c r="A177" s="18" t="s">
        <v>427</v>
      </c>
      <c r="B177" s="14" t="n">
        <v>63371</v>
      </c>
    </row>
    <row r="178" customFormat="false" ht="15" hidden="false" customHeight="false" outlineLevel="0" collapsed="false">
      <c r="A178" s="18" t="s">
        <v>428</v>
      </c>
      <c r="B178" s="14" t="n">
        <f aca="false">B176-B177</f>
        <v>0</v>
      </c>
    </row>
    <row r="180" customFormat="false" ht="15" hidden="false" customHeight="true" outlineLevel="0" collapsed="false">
      <c r="A180" s="10" t="s">
        <v>429</v>
      </c>
      <c r="B180" s="10"/>
      <c r="C180" s="10"/>
      <c r="D180" s="10"/>
      <c r="E180" s="10"/>
      <c r="F180" s="10"/>
      <c r="G180" s="10"/>
      <c r="H180" s="10"/>
    </row>
  </sheetData>
  <mergeCells count="7">
    <mergeCell ref="A1:I1"/>
    <mergeCell ref="A2:I2"/>
    <mergeCell ref="A4:I4"/>
    <mergeCell ref="A13:I13"/>
    <mergeCell ref="A66:I66"/>
    <mergeCell ref="A171:I171"/>
    <mergeCell ref="A180:H1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5"/>
    <col collapsed="false" customWidth="true" hidden="false" outlineLevel="0" max="11" min="10" style="0" width="30"/>
  </cols>
  <sheetData>
    <row r="1" customFormat="false" ht="16.15" hidden="false" customHeight="false" outlineLevel="0" collapsed="false">
      <c r="A1" s="1" t="s">
        <v>580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8" t="s">
        <v>581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customFormat="false" ht="15" hidden="false" customHeight="false" outlineLevel="0" collapsed="false">
      <c r="A4" s="2" t="s">
        <v>582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6.85" hidden="false" customHeight="false" outlineLevel="0" collapsed="false">
      <c r="A5" s="9" t="s">
        <v>153</v>
      </c>
      <c r="B5" s="9" t="s">
        <v>583</v>
      </c>
      <c r="C5" s="9" t="s">
        <v>584</v>
      </c>
      <c r="D5" s="9" t="s">
        <v>585</v>
      </c>
      <c r="E5" s="9" t="s">
        <v>586</v>
      </c>
      <c r="F5" s="9" t="s">
        <v>587</v>
      </c>
      <c r="G5" s="9" t="s">
        <v>588</v>
      </c>
      <c r="H5" s="9" t="s">
        <v>589</v>
      </c>
      <c r="I5" s="9" t="s">
        <v>590</v>
      </c>
      <c r="J5" s="9" t="s">
        <v>591</v>
      </c>
      <c r="K5" s="9" t="s">
        <v>592</v>
      </c>
    </row>
    <row r="6" customFormat="false" ht="15" hidden="false" customHeight="false" outlineLevel="0" collapsed="false">
      <c r="A6" s="32" t="str">
        <f aca="false">Consolidado!A26</f>
        <v>S0 (01-02 ago)</v>
      </c>
      <c r="B6" s="33" t="n">
        <f aca="false">Consolidado!B26</f>
        <v>0</v>
      </c>
      <c r="C6" s="34"/>
      <c r="D6" s="12" t="str">
        <f aca="false">IF(C6="","",C6-B6)</f>
        <v/>
      </c>
      <c r="E6" s="33" t="n">
        <f aca="false">Consolidado!C26</f>
        <v>4129033.31531019</v>
      </c>
      <c r="F6" s="34"/>
      <c r="G6" s="12" t="str">
        <f aca="false">IF(F6="","",F6-E6)</f>
        <v/>
      </c>
      <c r="H6" s="33" t="n">
        <f aca="false">Consolidado!D26</f>
        <v>-4129033.31531019</v>
      </c>
      <c r="I6" s="12" t="str">
        <f aca="false">IF(OR(C6="",F6=""),"",C6-F6)</f>
        <v/>
      </c>
      <c r="J6" s="35" t="str">
        <f aca="false">IF(I6="","Pendiente",IF(I6&gt;=H6,"Sí","No"))</f>
        <v>Pendiente</v>
      </c>
      <c r="K6" s="36"/>
    </row>
    <row r="7" customFormat="false" ht="15" hidden="false" customHeight="false" outlineLevel="0" collapsed="false">
      <c r="A7" s="32" t="str">
        <f aca="false">Consolidado!A27</f>
        <v>S1 (03-09 ago)</v>
      </c>
      <c r="B7" s="33" t="n">
        <f aca="false">Consolidado!B27</f>
        <v>7000633.3291383</v>
      </c>
      <c r="C7" s="34"/>
      <c r="D7" s="12" t="str">
        <f aca="false">IF(C7="","",C7-B7)</f>
        <v/>
      </c>
      <c r="E7" s="33" t="n">
        <f aca="false">Consolidado!C27</f>
        <v>6761468.23566739</v>
      </c>
      <c r="F7" s="34"/>
      <c r="G7" s="12" t="str">
        <f aca="false">IF(F7="","",F7-E7)</f>
        <v/>
      </c>
      <c r="H7" s="33" t="n">
        <f aca="false">Consolidado!D27</f>
        <v>239165.093470911</v>
      </c>
      <c r="I7" s="12" t="str">
        <f aca="false">IF(OR(C7="",F7=""),"",C7-F7)</f>
        <v/>
      </c>
      <c r="J7" s="35" t="str">
        <f aca="false">IF(I7="","Pendiente",IF(I7&gt;=H7,"Sí","No"))</f>
        <v>Pendiente</v>
      </c>
      <c r="K7" s="36"/>
    </row>
    <row r="8" customFormat="false" ht="15" hidden="false" customHeight="false" outlineLevel="0" collapsed="false">
      <c r="A8" s="32" t="str">
        <f aca="false">Consolidado!A28</f>
        <v>S2 (10-16 ago)</v>
      </c>
      <c r="B8" s="33" t="n">
        <f aca="false">Consolidado!B28</f>
        <v>7000633.3291383</v>
      </c>
      <c r="C8" s="34"/>
      <c r="D8" s="12" t="str">
        <f aca="false">IF(C8="","",C8-B8)</f>
        <v/>
      </c>
      <c r="E8" s="33" t="n">
        <f aca="false">Consolidado!C28</f>
        <v>5283517.93116225</v>
      </c>
      <c r="F8" s="34"/>
      <c r="G8" s="12" t="str">
        <f aca="false">IF(F8="","",F8-E8)</f>
        <v/>
      </c>
      <c r="H8" s="33" t="n">
        <f aca="false">Consolidado!D28</f>
        <v>1717115.39797605</v>
      </c>
      <c r="I8" s="12" t="str">
        <f aca="false">IF(OR(C8="",F8=""),"",C8-F8)</f>
        <v/>
      </c>
      <c r="J8" s="35" t="str">
        <f aca="false">IF(I8="","Pendiente",IF(I8&gt;=H8,"Sí","No"))</f>
        <v>Pendiente</v>
      </c>
      <c r="K8" s="36"/>
    </row>
    <row r="9" customFormat="false" ht="15" hidden="false" customHeight="false" outlineLevel="0" collapsed="false">
      <c r="A9" s="32" t="str">
        <f aca="false">Consolidado!A29</f>
        <v>S3 (17-23 ago)</v>
      </c>
      <c r="B9" s="33" t="n">
        <f aca="false">Consolidado!B29</f>
        <v>7000633.3291383</v>
      </c>
      <c r="C9" s="34"/>
      <c r="D9" s="12" t="str">
        <f aca="false">IF(C9="","",C9-B9)</f>
        <v/>
      </c>
      <c r="E9" s="33" t="n">
        <f aca="false">Consolidado!C29</f>
        <v>3544548.73104622</v>
      </c>
      <c r="F9" s="34"/>
      <c r="G9" s="12" t="str">
        <f aca="false">IF(F9="","",F9-E9)</f>
        <v/>
      </c>
      <c r="H9" s="33" t="n">
        <f aca="false">Consolidado!D29</f>
        <v>3456084.59809208</v>
      </c>
      <c r="I9" s="12" t="str">
        <f aca="false">IF(OR(C9="",F9=""),"",C9-F9)</f>
        <v/>
      </c>
      <c r="J9" s="35" t="str">
        <f aca="false">IF(I9="","Pendiente",IF(I9&gt;=H9,"Sí","No"))</f>
        <v>Pendiente</v>
      </c>
      <c r="K9" s="36"/>
    </row>
    <row r="10" customFormat="false" ht="15" hidden="false" customHeight="false" outlineLevel="0" collapsed="false">
      <c r="A10" s="32" t="str">
        <f aca="false">Consolidado!A30</f>
        <v>S4 (24-30 ago)</v>
      </c>
      <c r="B10" s="33" t="n">
        <f aca="false">Consolidado!B30</f>
        <v>7000633.3291383</v>
      </c>
      <c r="C10" s="34"/>
      <c r="D10" s="12" t="str">
        <f aca="false">IF(C10="","",C10-B10)</f>
        <v/>
      </c>
      <c r="E10" s="33" t="n">
        <f aca="false">Consolidado!C30</f>
        <v>3019139.95896636</v>
      </c>
      <c r="F10" s="34"/>
      <c r="G10" s="12" t="str">
        <f aca="false">IF(F10="","",F10-E10)</f>
        <v/>
      </c>
      <c r="H10" s="33" t="n">
        <f aca="false">Consolidado!D30</f>
        <v>3981493.37017194</v>
      </c>
      <c r="I10" s="12" t="str">
        <f aca="false">IF(OR(C10="",F10=""),"",C10-F10)</f>
        <v/>
      </c>
      <c r="J10" s="35" t="str">
        <f aca="false">IF(I10="","Pendiente",IF(I10&gt;=H10,"Sí","No"))</f>
        <v>Pendiente</v>
      </c>
      <c r="K10" s="36"/>
    </row>
    <row r="11" customFormat="false" ht="15" hidden="false" customHeight="false" outlineLevel="0" collapsed="false">
      <c r="A11" s="32" t="str">
        <f aca="false">Consolidado!A31</f>
        <v>S5 (31 ago)</v>
      </c>
      <c r="B11" s="33" t="n">
        <f aca="false">Consolidado!B31</f>
        <v>1400127.04474013</v>
      </c>
      <c r="C11" s="34"/>
      <c r="D11" s="12" t="str">
        <f aca="false">IF(C11="","",C11-B11)</f>
        <v/>
      </c>
      <c r="E11" s="33" t="n">
        <f aca="false">Consolidado!C31</f>
        <v>3701387.17047305</v>
      </c>
      <c r="F11" s="34"/>
      <c r="G11" s="12" t="str">
        <f aca="false">IF(F11="","",F11-E11)</f>
        <v/>
      </c>
      <c r="H11" s="33" t="n">
        <f aca="false">Consolidado!D31</f>
        <v>-2301260.12573292</v>
      </c>
      <c r="I11" s="12" t="str">
        <f aca="false">IF(OR(C11="",F11=""),"",C11-F11)</f>
        <v/>
      </c>
      <c r="J11" s="35" t="str">
        <f aca="false">IF(I11="","Pendiente",IF(I11&gt;=H11,"Sí","No"))</f>
        <v>Pendiente</v>
      </c>
      <c r="K11" s="36"/>
    </row>
    <row r="13" customFormat="false" ht="15" hidden="false" customHeight="false" outlineLevel="0" collapsed="false">
      <c r="A13" s="2" t="s">
        <v>593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26.85" hidden="false" customHeight="false" outlineLevel="0" collapsed="false">
      <c r="A14" s="9" t="s">
        <v>153</v>
      </c>
      <c r="B14" s="9" t="s">
        <v>583</v>
      </c>
      <c r="C14" s="9" t="s">
        <v>584</v>
      </c>
      <c r="D14" s="9" t="s">
        <v>585</v>
      </c>
      <c r="E14" s="9" t="s">
        <v>586</v>
      </c>
      <c r="F14" s="9" t="s">
        <v>587</v>
      </c>
      <c r="G14" s="9" t="s">
        <v>588</v>
      </c>
      <c r="H14" s="9" t="s">
        <v>589</v>
      </c>
      <c r="I14" s="9" t="s">
        <v>590</v>
      </c>
      <c r="J14" s="9" t="s">
        <v>591</v>
      </c>
      <c r="K14" s="9" t="s">
        <v>592</v>
      </c>
    </row>
    <row r="15" customFormat="false" ht="15" hidden="false" customHeight="false" outlineLevel="0" collapsed="false">
      <c r="A15" s="32" t="str">
        <f aca="false">Consolidado!A36</f>
        <v>S0 (01-06 sep)</v>
      </c>
      <c r="B15" s="33" t="n">
        <f aca="false">Consolidado!B36</f>
        <v>6914612.46944364</v>
      </c>
      <c r="C15" s="34"/>
      <c r="D15" s="12" t="str">
        <f aca="false">IF(C15="","",C15-B15)</f>
        <v/>
      </c>
      <c r="E15" s="33" t="n">
        <f aca="false">Consolidado!C36</f>
        <v>12205955.256226</v>
      </c>
      <c r="F15" s="34"/>
      <c r="G15" s="12" t="str">
        <f aca="false">IF(F15="","",F15-E15)</f>
        <v/>
      </c>
      <c r="H15" s="33" t="n">
        <f aca="false">Consolidado!D36</f>
        <v>-5291342.78678235</v>
      </c>
      <c r="I15" s="12" t="str">
        <f aca="false">IF(OR(C15="",F15=""),"",C15-F15)</f>
        <v/>
      </c>
      <c r="J15" s="35" t="str">
        <f aca="false">IF(I15="","Pendiente",IF(I15&gt;=H15,"Sí","No"))</f>
        <v>Pendiente</v>
      </c>
      <c r="K15" s="36"/>
    </row>
    <row r="16" customFormat="false" ht="15" hidden="false" customHeight="false" outlineLevel="0" collapsed="false">
      <c r="A16" s="32" t="str">
        <f aca="false">Consolidado!A37</f>
        <v>S1 (07-13 sep)</v>
      </c>
      <c r="B16" s="33" t="n">
        <f aca="false">Consolidado!B37</f>
        <v>8643265.58680455</v>
      </c>
      <c r="C16" s="34"/>
      <c r="D16" s="12" t="str">
        <f aca="false">IF(C16="","",C16-B16)</f>
        <v/>
      </c>
      <c r="E16" s="33" t="n">
        <f aca="false">Consolidado!C37</f>
        <v>6413187.57966098</v>
      </c>
      <c r="F16" s="34"/>
      <c r="G16" s="12" t="str">
        <f aca="false">IF(F16="","",F16-E16)</f>
        <v/>
      </c>
      <c r="H16" s="33" t="n">
        <f aca="false">Consolidado!D37</f>
        <v>2230078.00714357</v>
      </c>
      <c r="I16" s="12" t="str">
        <f aca="false">IF(OR(C16="",F16=""),"",C16-F16)</f>
        <v/>
      </c>
      <c r="J16" s="35" t="str">
        <f aca="false">IF(I16="","Pendiente",IF(I16&gt;=H16,"Sí","No"))</f>
        <v>Pendiente</v>
      </c>
      <c r="K16" s="36"/>
    </row>
    <row r="17" customFormat="false" ht="15" hidden="false" customHeight="false" outlineLevel="0" collapsed="false">
      <c r="A17" s="32" t="str">
        <f aca="false">Consolidado!A38</f>
        <v>S2 (14-20 sep)</v>
      </c>
      <c r="B17" s="33" t="n">
        <f aca="false">Consolidado!B38</f>
        <v>8643265.58680455</v>
      </c>
      <c r="C17" s="34"/>
      <c r="D17" s="12" t="str">
        <f aca="false">IF(C17="","",C17-B17)</f>
        <v/>
      </c>
      <c r="E17" s="33" t="n">
        <f aca="false">Consolidado!C38</f>
        <v>4519357.2201501</v>
      </c>
      <c r="F17" s="34"/>
      <c r="G17" s="12" t="str">
        <f aca="false">IF(F17="","",F17-E17)</f>
        <v/>
      </c>
      <c r="H17" s="33" t="n">
        <f aca="false">Consolidado!D38</f>
        <v>4123908.36665444</v>
      </c>
      <c r="I17" s="12" t="str">
        <f aca="false">IF(OR(C17="",F17=""),"",C17-F17)</f>
        <v/>
      </c>
      <c r="J17" s="35" t="str">
        <f aca="false">IF(I17="","Pendiente",IF(I17&gt;=H17,"Sí","No"))</f>
        <v>Pendiente</v>
      </c>
      <c r="K17" s="36"/>
    </row>
    <row r="18" customFormat="false" ht="15" hidden="false" customHeight="false" outlineLevel="0" collapsed="false">
      <c r="A18" s="32" t="str">
        <f aca="false">Consolidado!A39</f>
        <v>S3 (21-27 sep)</v>
      </c>
      <c r="B18" s="33" t="n">
        <f aca="false">Consolidado!B39</f>
        <v>8643265.58680455</v>
      </c>
      <c r="C18" s="34"/>
      <c r="D18" s="12" t="str">
        <f aca="false">IF(C18="","",C18-B18)</f>
        <v/>
      </c>
      <c r="E18" s="33" t="n">
        <f aca="false">Consolidado!C39</f>
        <v>3827177.95636368</v>
      </c>
      <c r="F18" s="34"/>
      <c r="G18" s="12" t="str">
        <f aca="false">IF(F18="","",F18-E18)</f>
        <v/>
      </c>
      <c r="H18" s="33" t="n">
        <f aca="false">Consolidado!D39</f>
        <v>4816087.63044086</v>
      </c>
      <c r="I18" s="12" t="str">
        <f aca="false">IF(OR(C18="",F18=""),"",C18-F18)</f>
        <v/>
      </c>
      <c r="J18" s="35" t="str">
        <f aca="false">IF(I18="","Pendiente",IF(I18&gt;=H18,"Sí","No"))</f>
        <v>Pendiente</v>
      </c>
      <c r="K18" s="36"/>
    </row>
    <row r="19" customFormat="false" ht="15" hidden="false" customHeight="false" outlineLevel="0" collapsed="false">
      <c r="A19" s="32" t="str">
        <f aca="false">Consolidado!A40</f>
        <v>S4 (28-30 sep)</v>
      </c>
      <c r="B19" s="33" t="n">
        <f aca="false">Consolidado!B40</f>
        <v>5185959.35208273</v>
      </c>
      <c r="C19" s="34"/>
      <c r="D19" s="12" t="str">
        <f aca="false">IF(C19="","",C19-B19)</f>
        <v/>
      </c>
      <c r="E19" s="33" t="n">
        <f aca="false">Consolidado!C40</f>
        <v>6108458.24153745</v>
      </c>
      <c r="F19" s="34"/>
      <c r="G19" s="12" t="str">
        <f aca="false">IF(F19="","",F19-E19)</f>
        <v/>
      </c>
      <c r="H19" s="33" t="n">
        <f aca="false">Consolidado!D40</f>
        <v>-922498.889454725</v>
      </c>
      <c r="I19" s="12" t="str">
        <f aca="false">IF(OR(C19="",F19=""),"",C19-F19)</f>
        <v/>
      </c>
      <c r="J19" s="35" t="str">
        <f aca="false">IF(I19="","Pendiente",IF(I19&gt;=H19,"Sí","No"))</f>
        <v>Pendiente</v>
      </c>
      <c r="K19" s="36"/>
    </row>
  </sheetData>
  <mergeCells count="4">
    <mergeCell ref="A1:K1"/>
    <mergeCell ref="A2:K2"/>
    <mergeCell ref="A4:K4"/>
    <mergeCell ref="A13:K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</cols>
  <sheetData>
    <row r="1" customFormat="false" ht="16.15" hidden="false" customHeight="false" outlineLevel="0" collapsed="false">
      <c r="A1" s="1" t="s">
        <v>594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595</v>
      </c>
      <c r="B3" s="2"/>
      <c r="C3" s="2"/>
    </row>
    <row r="4" customFormat="false" ht="26.85" hidden="false" customHeight="false" outlineLevel="0" collapsed="false">
      <c r="A4" s="9" t="s">
        <v>65</v>
      </c>
      <c r="B4" s="9" t="s">
        <v>596</v>
      </c>
      <c r="C4" s="9" t="s">
        <v>597</v>
      </c>
    </row>
    <row r="5" customFormat="false" ht="15" hidden="false" customHeight="false" outlineLevel="0" collapsed="false">
      <c r="A5" s="3" t="s">
        <v>135</v>
      </c>
      <c r="B5" s="12" t="n">
        <f aca="false">Consolidado!B5</f>
        <v>24708117.9506667</v>
      </c>
      <c r="C5" s="12" t="n">
        <f aca="false">Consolidado!C5</f>
        <v>31958292.926</v>
      </c>
    </row>
    <row r="6" customFormat="false" ht="15" hidden="false" customHeight="false" outlineLevel="0" collapsed="false">
      <c r="A6" s="3" t="s">
        <v>598</v>
      </c>
      <c r="B6" s="12" t="n">
        <f aca="false">Consolidado!B6</f>
        <v>4694542.41062667</v>
      </c>
      <c r="C6" s="12" t="n">
        <f aca="false">Consolidado!C6</f>
        <v>6072075.65594</v>
      </c>
    </row>
    <row r="7" customFormat="false" ht="15" hidden="false" customHeight="false" outlineLevel="0" collapsed="false">
      <c r="A7" s="15" t="s">
        <v>105</v>
      </c>
      <c r="B7" s="17" t="n">
        <f aca="false">Consolidado!B7</f>
        <v>29402660.3612933</v>
      </c>
      <c r="C7" s="17" t="n">
        <f aca="false">Consolidado!C7</f>
        <v>38030368.58194</v>
      </c>
    </row>
    <row r="8" customFormat="false" ht="15" hidden="false" customHeight="false" outlineLevel="0" collapsed="false">
      <c r="A8" s="3" t="s">
        <v>114</v>
      </c>
      <c r="B8" s="12" t="n">
        <f aca="false">Consolidado!B9</f>
        <v>17886252.6907312</v>
      </c>
      <c r="C8" s="12" t="n">
        <f aca="false">Consolidado!C9</f>
        <v>23350823.3638279</v>
      </c>
    </row>
    <row r="9" customFormat="false" ht="15" hidden="false" customHeight="false" outlineLevel="0" collapsed="false">
      <c r="A9" s="15" t="s">
        <v>599</v>
      </c>
      <c r="B9" s="17" t="n">
        <f aca="false">Consolidado!B10</f>
        <v>6821865.25993546</v>
      </c>
      <c r="C9" s="17" t="n">
        <f aca="false">Consolidado!C10</f>
        <v>8607469.5621721</v>
      </c>
    </row>
    <row r="10" customFormat="false" ht="15" hidden="false" customHeight="false" outlineLevel="0" collapsed="false">
      <c r="A10" s="3" t="s">
        <v>85</v>
      </c>
      <c r="B10" s="12" t="n">
        <f aca="false">Consolidado!B11</f>
        <v>670779.0132388</v>
      </c>
      <c r="C10" s="12" t="n">
        <f aca="false">Consolidado!C11</f>
        <v>929610.2598582</v>
      </c>
    </row>
    <row r="11" customFormat="false" ht="15" hidden="false" customHeight="false" outlineLevel="0" collapsed="false">
      <c r="A11" s="15" t="s">
        <v>144</v>
      </c>
      <c r="B11" s="17" t="n">
        <f aca="false">Consolidado!B12</f>
        <v>6151086.24669666</v>
      </c>
      <c r="C11" s="17" t="n">
        <f aca="false">Consolidado!C12</f>
        <v>7677859.3023139</v>
      </c>
    </row>
    <row r="12" customFormat="false" ht="15" hidden="false" customHeight="false" outlineLevel="0" collapsed="false">
      <c r="A12" s="3" t="s">
        <v>146</v>
      </c>
      <c r="B12" s="12" t="n">
        <f aca="false">Consolidado!B15</f>
        <v>3940000</v>
      </c>
      <c r="C12" s="12" t="n">
        <f aca="false">Consolidado!C15</f>
        <v>3940000</v>
      </c>
    </row>
    <row r="13" customFormat="false" ht="15" hidden="false" customHeight="false" outlineLevel="0" collapsed="false">
      <c r="A13" s="3" t="s">
        <v>147</v>
      </c>
      <c r="B13" s="12" t="n">
        <f aca="false">Consolidado!B16</f>
        <v>9000</v>
      </c>
      <c r="C13" s="12" t="n">
        <f aca="false">Consolidado!C16</f>
        <v>9000</v>
      </c>
    </row>
    <row r="14" customFormat="false" ht="15" hidden="false" customHeight="false" outlineLevel="0" collapsed="false">
      <c r="A14" s="15" t="s">
        <v>148</v>
      </c>
      <c r="B14" s="17" t="n">
        <f aca="false">Consolidado!B18</f>
        <v>2202086.24669666</v>
      </c>
      <c r="C14" s="17" t="n">
        <f aca="false">Consolidado!C18</f>
        <v>3728859.3023139</v>
      </c>
    </row>
    <row r="15" customFormat="false" ht="15" hidden="false" customHeight="false" outlineLevel="0" collapsed="false">
      <c r="A15" s="18" t="s">
        <v>149</v>
      </c>
      <c r="B15" s="27" t="n">
        <f aca="false">Consolidado!B19</f>
        <v>0.0748941156901422</v>
      </c>
      <c r="C15" s="27" t="n">
        <f aca="false">Consolidado!C19</f>
        <v>0.0980495178288825</v>
      </c>
    </row>
    <row r="17" customFormat="false" ht="27.75" hidden="false" customHeight="true" outlineLevel="0" collapsed="false">
      <c r="A17" s="10" t="s">
        <v>600</v>
      </c>
      <c r="B17" s="10"/>
      <c r="C17" s="10"/>
      <c r="D17" s="10"/>
      <c r="E17" s="10"/>
      <c r="F17" s="10"/>
      <c r="G17" s="10"/>
    </row>
    <row r="20" customFormat="false" ht="15" hidden="false" customHeight="false" outlineLevel="0" collapsed="false">
      <c r="A20" s="2" t="s">
        <v>601</v>
      </c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8" t="s">
        <v>602</v>
      </c>
      <c r="B21" s="28"/>
      <c r="C21" s="28"/>
      <c r="D21" s="28"/>
      <c r="E21" s="28"/>
      <c r="F21" s="28"/>
      <c r="G21" s="28"/>
    </row>
    <row r="22" customFormat="false" ht="15" hidden="false" customHeight="false" outlineLevel="0" collapsed="false">
      <c r="A22" s="2" t="s">
        <v>603</v>
      </c>
      <c r="B22" s="2"/>
      <c r="C22" s="2"/>
      <c r="D22" s="2"/>
      <c r="E22" s="2"/>
      <c r="F22" s="2"/>
      <c r="G22" s="2"/>
    </row>
    <row r="23" customFormat="false" ht="26.85" hidden="false" customHeight="false" outlineLevel="0" collapsed="false">
      <c r="A23" s="9" t="s">
        <v>65</v>
      </c>
      <c r="B23" s="9" t="s">
        <v>604</v>
      </c>
      <c r="C23" s="9" t="s">
        <v>605</v>
      </c>
      <c r="D23" s="9" t="s">
        <v>606</v>
      </c>
      <c r="E23" s="9" t="s">
        <v>607</v>
      </c>
      <c r="F23" s="9" t="s">
        <v>608</v>
      </c>
      <c r="G23" s="9" t="s">
        <v>609</v>
      </c>
    </row>
    <row r="24" customFormat="false" ht="15" hidden="false" customHeight="false" outlineLevel="0" collapsed="false">
      <c r="A24" s="3" t="s">
        <v>610</v>
      </c>
      <c r="B24" s="33" t="n">
        <f aca="false">Consolidado!B32</f>
        <v>29402660.3612933</v>
      </c>
      <c r="C24" s="12" t="n">
        <f aca="false">SUM(Real_vs_Presupuesto!C6:C11)</f>
        <v>0</v>
      </c>
      <c r="D24" s="35" t="str">
        <f aca="false">COUNT(Real_vs_Presupuesto!C6:C11)&amp;" de 6"</f>
        <v>0 de 6</v>
      </c>
      <c r="E24" s="12" t="n">
        <f aca="false">SUMIF(Real_vs_Presupuesto!C6:C11,"",Real_vs_Presupuesto!B6:B11)</f>
        <v>29402660.3612933</v>
      </c>
      <c r="F24" s="14" t="n">
        <f aca="false">C24+E24</f>
        <v>29402660.3612933</v>
      </c>
      <c r="G24" s="27" t="n">
        <f aca="false">F24/B24</f>
        <v>1</v>
      </c>
    </row>
    <row r="25" customFormat="false" ht="15" hidden="false" customHeight="false" outlineLevel="0" collapsed="false">
      <c r="A25" s="3" t="s">
        <v>611</v>
      </c>
      <c r="B25" s="33" t="n">
        <f aca="false">Consolidado!C32</f>
        <v>26439095.3426255</v>
      </c>
      <c r="C25" s="12" t="n">
        <f aca="false">SUM(Real_vs_Presupuesto!F6:F11)</f>
        <v>0</v>
      </c>
      <c r="D25" s="35" t="str">
        <f aca="false">COUNT(Real_vs_Presupuesto!F6:F11)&amp;" de 6"</f>
        <v>0 de 6</v>
      </c>
      <c r="E25" s="12" t="n">
        <f aca="false">SUMIF(Real_vs_Presupuesto!F6:F11,"",Real_vs_Presupuesto!E6:E11)</f>
        <v>26439095.3426255</v>
      </c>
      <c r="F25" s="14" t="n">
        <f aca="false">C25+E25</f>
        <v>26439095.3426255</v>
      </c>
      <c r="G25" s="27" t="n">
        <f aca="false">F25/B25</f>
        <v>1</v>
      </c>
    </row>
    <row r="26" customFormat="false" ht="15" hidden="false" customHeight="false" outlineLevel="0" collapsed="false">
      <c r="A26" s="18" t="s">
        <v>612</v>
      </c>
      <c r="B26" s="14" t="n">
        <f aca="false">B24-B25</f>
        <v>2963565.01866787</v>
      </c>
      <c r="C26" s="14" t="n">
        <f aca="false">C24-C25</f>
        <v>0</v>
      </c>
      <c r="D26" s="37"/>
      <c r="E26" s="14" t="n">
        <f aca="false">E24-E25</f>
        <v>2963565.01866787</v>
      </c>
      <c r="F26" s="14" t="n">
        <f aca="false">F24-F25</f>
        <v>2963565.01866787</v>
      </c>
      <c r="G26" s="37"/>
    </row>
    <row r="28" customFormat="false" ht="15" hidden="false" customHeight="false" outlineLevel="0" collapsed="false">
      <c r="A28" s="2" t="s">
        <v>613</v>
      </c>
      <c r="B28" s="2"/>
      <c r="C28" s="2"/>
      <c r="D28" s="2"/>
      <c r="E28" s="2"/>
      <c r="F28" s="2"/>
      <c r="G28" s="2"/>
    </row>
    <row r="29" customFormat="false" ht="26.85" hidden="false" customHeight="false" outlineLevel="0" collapsed="false">
      <c r="A29" s="9" t="s">
        <v>65</v>
      </c>
      <c r="B29" s="9" t="s">
        <v>604</v>
      </c>
      <c r="C29" s="9" t="s">
        <v>605</v>
      </c>
      <c r="D29" s="9" t="s">
        <v>606</v>
      </c>
      <c r="E29" s="9" t="s">
        <v>607</v>
      </c>
      <c r="F29" s="9" t="s">
        <v>608</v>
      </c>
      <c r="G29" s="9" t="s">
        <v>609</v>
      </c>
    </row>
    <row r="30" customFormat="false" ht="15" hidden="false" customHeight="false" outlineLevel="0" collapsed="false">
      <c r="A30" s="3" t="s">
        <v>610</v>
      </c>
      <c r="B30" s="33" t="n">
        <f aca="false">Consolidado!B41</f>
        <v>38030368.58194</v>
      </c>
      <c r="C30" s="12" t="n">
        <f aca="false">SUM(Real_vs_Presupuesto!C15:C19)</f>
        <v>0</v>
      </c>
      <c r="D30" s="35" t="str">
        <f aca="false">COUNT(Real_vs_Presupuesto!C15:C19)&amp;" de 5"</f>
        <v>0 de 5</v>
      </c>
      <c r="E30" s="12" t="n">
        <f aca="false">SUMIF(Real_vs_Presupuesto!C15:C19,"",Real_vs_Presupuesto!B15:B19)</f>
        <v>38030368.58194</v>
      </c>
      <c r="F30" s="14" t="n">
        <f aca="false">C30+E30</f>
        <v>38030368.58194</v>
      </c>
      <c r="G30" s="27" t="n">
        <f aca="false">F30/B30</f>
        <v>1</v>
      </c>
    </row>
    <row r="31" customFormat="false" ht="15" hidden="false" customHeight="false" outlineLevel="0" collapsed="false">
      <c r="A31" s="3" t="s">
        <v>611</v>
      </c>
      <c r="B31" s="33" t="n">
        <f aca="false">Consolidado!C41</f>
        <v>33074136.2539382</v>
      </c>
      <c r="C31" s="12" t="n">
        <f aca="false">SUM(Real_vs_Presupuesto!F15:F19)</f>
        <v>0</v>
      </c>
      <c r="D31" s="35" t="str">
        <f aca="false">COUNT(Real_vs_Presupuesto!F15:F19)&amp;" de 5"</f>
        <v>0 de 5</v>
      </c>
      <c r="E31" s="12" t="n">
        <f aca="false">SUMIF(Real_vs_Presupuesto!F15:F19,"",Real_vs_Presupuesto!E15:E19)</f>
        <v>33074136.2539382</v>
      </c>
      <c r="F31" s="14" t="n">
        <f aca="false">C31+E31</f>
        <v>33074136.2539382</v>
      </c>
      <c r="G31" s="27" t="n">
        <f aca="false">F31/B31</f>
        <v>1</v>
      </c>
    </row>
    <row r="32" customFormat="false" ht="15" hidden="false" customHeight="false" outlineLevel="0" collapsed="false">
      <c r="A32" s="18" t="s">
        <v>612</v>
      </c>
      <c r="B32" s="14" t="n">
        <f aca="false">B30-B31</f>
        <v>4956232.3280018</v>
      </c>
      <c r="C32" s="14" t="n">
        <f aca="false">C30-C31</f>
        <v>0</v>
      </c>
      <c r="D32" s="37"/>
      <c r="E32" s="14" t="n">
        <f aca="false">E30-E31</f>
        <v>4956232.3280018</v>
      </c>
      <c r="F32" s="14" t="n">
        <f aca="false">F30-F31</f>
        <v>4956232.3280018</v>
      </c>
      <c r="G32" s="37"/>
    </row>
  </sheetData>
  <mergeCells count="7">
    <mergeCell ref="A1:G1"/>
    <mergeCell ref="A3:C3"/>
    <mergeCell ref="A17:G17"/>
    <mergeCell ref="A20:G20"/>
    <mergeCell ref="A21:G21"/>
    <mergeCell ref="A22:G22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614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24" t="s">
        <v>615</v>
      </c>
      <c r="B2" s="24"/>
      <c r="C2" s="24"/>
      <c r="D2" s="24"/>
      <c r="E2" s="24"/>
      <c r="F2" s="24"/>
    </row>
    <row r="4" customFormat="false" ht="39.55" hidden="false" customHeight="false" outlineLevel="0" collapsed="false">
      <c r="A4" s="9" t="s">
        <v>375</v>
      </c>
      <c r="B4" s="9" t="s">
        <v>616</v>
      </c>
      <c r="C4" s="9" t="s">
        <v>617</v>
      </c>
      <c r="D4" s="9" t="s">
        <v>618</v>
      </c>
      <c r="E4" s="9" t="s">
        <v>619</v>
      </c>
      <c r="F4" s="9" t="s">
        <v>187</v>
      </c>
    </row>
    <row r="5" customFormat="false" ht="15" hidden="false" customHeight="false" outlineLevel="0" collapsed="false">
      <c r="A5" s="3" t="s">
        <v>579</v>
      </c>
      <c r="B5" s="12" t="n">
        <v>63371</v>
      </c>
      <c r="C5" s="3" t="s">
        <v>620</v>
      </c>
      <c r="D5" s="37"/>
      <c r="E5" s="37"/>
      <c r="F5" s="3" t="s">
        <v>621</v>
      </c>
    </row>
    <row r="6" customFormat="false" ht="15" hidden="false" customHeight="false" outlineLevel="0" collapsed="false">
      <c r="A6" s="38"/>
      <c r="B6" s="34"/>
      <c r="C6" s="38"/>
      <c r="D6" s="34"/>
      <c r="E6" s="12" t="str">
        <f aca="false">IF(OR(B6="",D6=""),"",B6-D6)</f>
        <v/>
      </c>
      <c r="F6" s="38"/>
    </row>
    <row r="7" customFormat="false" ht="15" hidden="false" customHeight="false" outlineLevel="0" collapsed="false">
      <c r="A7" s="38"/>
      <c r="B7" s="34"/>
      <c r="C7" s="38"/>
      <c r="D7" s="34"/>
      <c r="E7" s="12" t="str">
        <f aca="false">IF(OR(B7="",D7=""),"",B7-D7)</f>
        <v/>
      </c>
      <c r="F7" s="38"/>
    </row>
    <row r="8" customFormat="false" ht="15" hidden="false" customHeight="false" outlineLevel="0" collapsed="false">
      <c r="A8" s="38"/>
      <c r="B8" s="34"/>
      <c r="C8" s="38"/>
      <c r="D8" s="34"/>
      <c r="E8" s="12" t="str">
        <f aca="false">IF(OR(B8="",D8=""),"",B8-D8)</f>
        <v/>
      </c>
      <c r="F8" s="38"/>
    </row>
    <row r="9" customFormat="false" ht="15" hidden="false" customHeight="false" outlineLevel="0" collapsed="false">
      <c r="A9" s="38"/>
      <c r="B9" s="34"/>
      <c r="C9" s="38"/>
      <c r="D9" s="34"/>
      <c r="E9" s="12" t="str">
        <f aca="false">IF(OR(B9="",D9=""),"",B9-D9)</f>
        <v/>
      </c>
      <c r="F9" s="38"/>
    </row>
    <row r="10" customFormat="false" ht="15" hidden="false" customHeight="false" outlineLevel="0" collapsed="false">
      <c r="A10" s="38"/>
      <c r="B10" s="34"/>
      <c r="C10" s="38"/>
      <c r="D10" s="34"/>
      <c r="E10" s="12" t="str">
        <f aca="false">IF(OR(B10="",D10=""),"",B10-D10)</f>
        <v/>
      </c>
      <c r="F10" s="38"/>
    </row>
    <row r="11" customFormat="false" ht="15" hidden="false" customHeight="false" outlineLevel="0" collapsed="false">
      <c r="A11" s="38"/>
      <c r="B11" s="34"/>
      <c r="C11" s="38"/>
      <c r="D11" s="34"/>
      <c r="E11" s="12" t="str">
        <f aca="false">IF(OR(B11="",D11=""),"",B11-D11)</f>
        <v/>
      </c>
      <c r="F11" s="38"/>
    </row>
    <row r="12" customFormat="false" ht="15" hidden="false" customHeight="false" outlineLevel="0" collapsed="false">
      <c r="A12" s="38"/>
      <c r="B12" s="34"/>
      <c r="C12" s="38"/>
      <c r="D12" s="34"/>
      <c r="E12" s="12" t="str">
        <f aca="false">IF(OR(B12="",D12=""),"",B12-D12)</f>
        <v/>
      </c>
      <c r="F12" s="38"/>
    </row>
    <row r="13" customFormat="false" ht="15" hidden="false" customHeight="false" outlineLevel="0" collapsed="false">
      <c r="A13" s="38"/>
      <c r="B13" s="34"/>
      <c r="C13" s="38"/>
      <c r="D13" s="34"/>
      <c r="E13" s="12" t="str">
        <f aca="false">IF(OR(B13="",D13=""),"",B13-D13)</f>
        <v/>
      </c>
      <c r="F13" s="38"/>
    </row>
    <row r="14" customFormat="false" ht="15" hidden="false" customHeight="false" outlineLevel="0" collapsed="false">
      <c r="A14" s="38"/>
      <c r="B14" s="34"/>
      <c r="C14" s="38"/>
      <c r="D14" s="34"/>
      <c r="E14" s="12" t="str">
        <f aca="false">IF(OR(B14="",D14=""),"",B14-D14)</f>
        <v/>
      </c>
      <c r="F14" s="38"/>
    </row>
    <row r="15" customFormat="false" ht="15" hidden="false" customHeight="false" outlineLevel="0" collapsed="false">
      <c r="A15" s="38"/>
      <c r="B15" s="34"/>
      <c r="C15" s="38"/>
      <c r="D15" s="34"/>
      <c r="E15" s="12" t="str">
        <f aca="false">IF(OR(B15="",D15=""),"",B15-D15)</f>
        <v/>
      </c>
      <c r="F15" s="38"/>
    </row>
    <row r="16" customFormat="false" ht="15" hidden="false" customHeight="false" outlineLevel="0" collapsed="false">
      <c r="A16" s="38"/>
      <c r="B16" s="34"/>
      <c r="C16" s="38"/>
      <c r="D16" s="34"/>
      <c r="E16" s="12" t="str">
        <f aca="false">IF(OR(B16="",D16=""),"",B16-D16)</f>
        <v/>
      </c>
      <c r="F16" s="38"/>
    </row>
    <row r="17" customFormat="false" ht="15" hidden="false" customHeight="false" outlineLevel="0" collapsed="false">
      <c r="A17" s="38"/>
      <c r="B17" s="34"/>
      <c r="C17" s="38"/>
      <c r="D17" s="34"/>
      <c r="E17" s="12" t="str">
        <f aca="false">IF(OR(B17="",D17=""),"",B17-D17)</f>
        <v/>
      </c>
      <c r="F17" s="38"/>
    </row>
    <row r="18" customFormat="false" ht="15" hidden="false" customHeight="false" outlineLevel="0" collapsed="false">
      <c r="A18" s="38"/>
      <c r="B18" s="34"/>
      <c r="C18" s="38"/>
      <c r="D18" s="34"/>
      <c r="E18" s="12" t="str">
        <f aca="false">IF(OR(B18="",D18=""),"",B18-D18)</f>
        <v/>
      </c>
      <c r="F18" s="38"/>
    </row>
    <row r="19" customFormat="false" ht="15" hidden="false" customHeight="false" outlineLevel="0" collapsed="false">
      <c r="A19" s="38"/>
      <c r="B19" s="34"/>
      <c r="C19" s="38"/>
      <c r="D19" s="34"/>
      <c r="E19" s="12" t="str">
        <f aca="false">IF(OR(B19="",D19=""),"",B19-D19)</f>
        <v/>
      </c>
      <c r="F19" s="38"/>
    </row>
    <row r="20" customFormat="false" ht="15" hidden="false" customHeight="false" outlineLevel="0" collapsed="false">
      <c r="A20" s="38"/>
      <c r="B20" s="34"/>
      <c r="C20" s="38"/>
      <c r="D20" s="34"/>
      <c r="E20" s="12" t="str">
        <f aca="false">IF(OR(B20="",D20=""),"",B20-D20)</f>
        <v/>
      </c>
      <c r="F20" s="38"/>
    </row>
    <row r="21" customFormat="false" ht="15" hidden="false" customHeight="false" outlineLevel="0" collapsed="false">
      <c r="A21" s="38"/>
      <c r="B21" s="34"/>
      <c r="C21" s="38"/>
      <c r="D21" s="34"/>
      <c r="E21" s="12" t="str">
        <f aca="false">IF(OR(B21="",D21=""),"",B21-D21)</f>
        <v/>
      </c>
      <c r="F21" s="38"/>
    </row>
    <row r="22" customFormat="false" ht="15" hidden="false" customHeight="false" outlineLevel="0" collapsed="false">
      <c r="A22" s="38"/>
      <c r="B22" s="34"/>
      <c r="C22" s="38"/>
      <c r="D22" s="34"/>
      <c r="E22" s="12" t="str">
        <f aca="false">IF(OR(B22="",D22=""),"",B22-D22)</f>
        <v/>
      </c>
      <c r="F22" s="38"/>
    </row>
    <row r="23" customFormat="false" ht="15" hidden="false" customHeight="false" outlineLevel="0" collapsed="false">
      <c r="A23" s="38"/>
      <c r="B23" s="34"/>
      <c r="C23" s="38"/>
      <c r="D23" s="34"/>
      <c r="E23" s="12" t="str">
        <f aca="false">IF(OR(B23="",D23=""),"",B23-D23)</f>
        <v/>
      </c>
      <c r="F23" s="38"/>
    </row>
    <row r="24" customFormat="false" ht="15" hidden="false" customHeight="false" outlineLevel="0" collapsed="false">
      <c r="A24" s="38"/>
      <c r="B24" s="34"/>
      <c r="C24" s="38"/>
      <c r="D24" s="34"/>
      <c r="E24" s="12" t="str">
        <f aca="false">IF(OR(B24="",D24=""),"",B24-D24)</f>
        <v/>
      </c>
      <c r="F24" s="38"/>
    </row>
    <row r="25" customFormat="false" ht="15" hidden="false" customHeight="false" outlineLevel="0" collapsed="false">
      <c r="A25" s="38"/>
      <c r="B25" s="34"/>
      <c r="C25" s="38"/>
      <c r="D25" s="34"/>
      <c r="E25" s="12" t="str">
        <f aca="false">IF(OR(B25="",D25=""),"",B25-D25)</f>
        <v/>
      </c>
      <c r="F25" s="38"/>
    </row>
    <row r="26" customFormat="false" ht="15" hidden="false" customHeight="false" outlineLevel="0" collapsed="false">
      <c r="A26" s="38"/>
      <c r="B26" s="34"/>
      <c r="C26" s="38"/>
      <c r="D26" s="34"/>
      <c r="E26" s="12" t="str">
        <f aca="false">IF(OR(B26="",D26=""),"",B26-D26)</f>
        <v/>
      </c>
      <c r="F26" s="38"/>
    </row>
    <row r="27" customFormat="false" ht="15" hidden="false" customHeight="false" outlineLevel="0" collapsed="false">
      <c r="A27" s="38"/>
      <c r="B27" s="34"/>
      <c r="C27" s="38"/>
      <c r="D27" s="34"/>
      <c r="E27" s="12" t="str">
        <f aca="false">IF(OR(B27="",D27=""),"",B27-D27)</f>
        <v/>
      </c>
      <c r="F27" s="38"/>
    </row>
    <row r="28" customFormat="false" ht="15" hidden="false" customHeight="false" outlineLevel="0" collapsed="false">
      <c r="A28" s="38"/>
      <c r="B28" s="34"/>
      <c r="C28" s="38"/>
      <c r="D28" s="34"/>
      <c r="E28" s="12" t="str">
        <f aca="false">IF(OR(B28="",D28=""),"",B28-D28)</f>
        <v/>
      </c>
      <c r="F28" s="38"/>
    </row>
    <row r="29" customFormat="false" ht="15" hidden="false" customHeight="false" outlineLevel="0" collapsed="false">
      <c r="A29" s="38"/>
      <c r="B29" s="34"/>
      <c r="C29" s="38"/>
      <c r="D29" s="34"/>
      <c r="E29" s="12" t="str">
        <f aca="false">IF(OR(B29="",D29=""),"",B29-D29)</f>
        <v/>
      </c>
      <c r="F29" s="38"/>
    </row>
    <row r="30" customFormat="false" ht="15" hidden="false" customHeight="false" outlineLevel="0" collapsed="false">
      <c r="A30" s="38"/>
      <c r="B30" s="34"/>
      <c r="C30" s="38"/>
      <c r="D30" s="34"/>
      <c r="E30" s="12" t="str">
        <f aca="false">IF(OR(B30="",D30=""),"",B30-D30)</f>
        <v/>
      </c>
      <c r="F30" s="3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2026-07-29T15:17:00Z</dcterms:created>
  <dc:creator>openpyxl</dc:creator>
  <dc:description/>
  <dc:language>en-US</dc:language>
  <cp:lastModifiedBy/>
  <dcterms:modified xsi:type="dcterms:W3CDTF">2026-07-29T15:17:02Z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