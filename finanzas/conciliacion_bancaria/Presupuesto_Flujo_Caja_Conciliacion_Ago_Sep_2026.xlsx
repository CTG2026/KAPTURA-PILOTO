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Seguimiento_Factoring" sheetId="10" state="visible" r:id="rId12"/>
    <sheet name="Seguimiento_Pago_Clientes" sheetId="11" state="visible" r:id="rId13"/>
    <sheet name="Control_Caja_7_Dias" sheetId="12" state="visible" r:id="rId14"/>
    <sheet name="Bitácora_Saldo_Diario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<sst xmlns="http://schemas.openxmlformats.org/spreadsheetml/2006/main" count="3197" uniqueCount="858">
  <si>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</si>
  <si>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</si>
  <si>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</si>
  <si>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</si>
  <si>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</si>
  <si>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</si>
  <si>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</si>
  <si>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</si>
  <si>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</si>
  <si>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</si>
  <si>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</si>
  <si>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</si>
  <si>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</si>
  <si>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</si>
  <si>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</si>
  <si>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</si>
  <si>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</si>
  <si>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</si>
  <si>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</si>
  <si>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</si>
  <si>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</si>
  <si>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</si>
  <si>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</si>
  <si>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</si>
  <si>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</si>
  <si>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</si>
  <si>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</si>
  <si>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</si>
  <si>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</si>
  <si>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</si>
  <si>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</si>
  <si>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</si>
  <si>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</si>
  <si>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</si>
  <si>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</si>
  <si>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</si>
  <si>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</si>
  <si>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</si>
  <si>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</si>
  <si>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</si>
  <si>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</si>
  <si>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</si>
  <si>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</si>
  <si>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</si>
  <si>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</si>
  <si>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</si>
  <si>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</si>
  <si>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</si>
  <si>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</si>
  <si>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</si>
  <si>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</si>
  <si>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</si>
  <si>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</si>
  <si>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</si>
  <si>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</si>
  <si>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</si>
  <si>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</si>
  <si>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</si>
  <si>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</si>
  <si>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</si>
  <si>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</si>
  <si>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</si>
  <si>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</si>
  <si>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</si>
  <si>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</si>
  <si>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</si>
  <si>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</si>
  <si>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</si>
  <si>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</si>
  <si>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</si>
  <si>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</si>
  <si>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</si>
  <si>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</si>
  <si>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</si>
  <si>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</si>
  <si>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</si>
  <si>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</si>
  <si>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</si>
  <si>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</si>
  <si>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</si>
  <si>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</si>
  <si>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</si>
  <si>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</si>
  <si>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</si>
  <si>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</si>
  <si>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</si>
  <si>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</si>
  <si>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</si>
  <si>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</si>
  <si>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</si>
  <si>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</si>
  <si>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</si>
  <si>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</si>
  <si>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</si>
  <si>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</si>
  <si>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</si>
  <si>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</si>
  <si>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</si>
  <si>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</si>
  <si>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</si>
  <si>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</si>
  <si>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</si>
  <si>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</si>
  <si>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</si>
  <si>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</si>
  <si>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</si>
  <si>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</si>
  <si>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</si>
  <si>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</si>
  <si>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</si>
  <si>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</si>
  <si>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</si>
  <si>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</si>
  <si>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</si>
  <si>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</si>
  <si>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</si>
  <si>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</si>
  <si>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</si>
  <si>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</si>
  <si>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</si>
  <si>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</si>
  <si>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</si>
  <si>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</si>
  <si>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</si>
  <si>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</si>
  <si>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</si>
  <si>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</si>
  <si>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</si>
  <si>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</si>
  <si>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</si>
  <si>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</si>
  <si>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</si>
  <si>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</si>
  <si>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</si>
  <si>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</si>
  <si>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</si>
  <si>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</si>
  <si>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</si>
  <si>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</si>
  <si>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</si>
  <si>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</si>
  <si>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</si>
  <si>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</si>
  <si>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</si>
  <si>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</si>
  <si>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</si>
  <si>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</si>
  <si>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</si>
  <si>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</si>
  <si>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</si>
  <si>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</si>
  <si>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</si>
  <si>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</si>
  <si>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</si>
  <si>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</si>
  <si>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</si>
  <si>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</si>
  <si>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</si>
  <si>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</si>
  <si>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</si>
  <si>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</si>
  <si>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</si>
  <si>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</si>
  <si>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</si>
  <si>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</si>
  <si>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</si>
  <si>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</si>
  <si>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</si>
  <si>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</si>
  <si>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</si>
  <si>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</si>
  <si>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</si>
  <si>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</si>
  <si>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</si>
  <si>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</si>
  <si>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</si>
  <si>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</si>
  <si>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</si>
  <si>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</si>
  <si>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</si>
  <si>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</si>
  <si>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</si>
  <si>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</si>
  <si>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</si>
  <si>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</si>
  <si>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</si>
  <si>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</si>
  <si>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</si>
  <si>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</si>
  <si>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</si>
  <si>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</si>
  <si>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</si>
  <si>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</si>
  <si>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</si>
  <si>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</si>
  <si>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</si>
  <si>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</si>
  <si>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</si>
  <si>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</si>
  <si>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</si>
  <si>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</si>
  <si>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</si>
  <si>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</si>
  <si>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</si>
  <si>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</si>
  <si>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</si>
  <si>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</si>
  <si>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</si>
  <si>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</si>
  <si>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</si>
  <si>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</si>
  <si>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</si>
  <si>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</si>
  <si>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</si>
  <si>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</si>
  <si>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</si>
  <si>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</si>
  <si>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</si>
  <si>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</si>
  <si>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</si>
  <si>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</si>
  <si>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</si>
  <si>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</si>
  <si>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</si>
  <si>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</si>
  <si>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</si>
  <si>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</si>
  <si>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</si>
  <si>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</si>
  <si>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</si>
  <si>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</si>
  <si>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</si>
  <si>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</si>
  <si>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</si>
  <si>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</si>
  <si>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</si>
  <si>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</si>
  <si>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</si>
  <si>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</si>
  <si>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</si>
  <si>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</si>
  <si>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</si>
  <si>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</si>
  <si>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</si>
  <si>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</si>
  <si>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</si>
  <si>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</si>
  <si>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</si>
  <si>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</si>
  <si>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</si>
  <si>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</si>
  <si>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</si>
  <si>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</si>
  <si>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</si>
  <si>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</si>
  <si>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</si>
  <si>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</si>
  <si>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</si>
  <si>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</si>
  <si>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</si>
  <si>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</si>
  <si>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</si>
  <si>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</si>
  <si>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</si>
  <si>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</si>
  <si>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</si>
  <si>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</si>
  <si>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</si>
  <si>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</si>
  <si>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</si>
  <si>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</si>
  <si>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</si>
  <si>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</si>
  <si>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</si>
  <si>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</si>
  <si>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</si>
  <si>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</si>
  <si>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</si>
  <si>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</si>
  <si>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</si>
  <si>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</si>
  <si>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</si>
  <si>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</si>
  <si>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</si>
  <si>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</si>
  <si>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</si>
  <si>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</si>
  <si>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</si>
  <si>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</si>
  <si>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</si>
  <si>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</si>
  <si>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</si>
  <si>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</si>
  <si>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</si>
  <si>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</si>
  <si>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</si>
  <si>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</si>
  <si>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</si>
  <si>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</si>
  <si>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</si>
  <si>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</si>
  <si>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</si>
  <si>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</si>
  <si>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</si>
  <si>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</si>
  <si>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</si>
  <si>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</si>
  <si>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</si>
  <si>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</si>
  <si>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</si>
  <si>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</si>
  <si>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</si>
  <si>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</si>
  <si>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</si>
  <si>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</si>
  <si>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</si>
  <si>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</si>
  <si>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</si>
  <si>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</si>
  <si>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</si>
  <si>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</si>
  <si>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</si>
  <si>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</si>
  <si>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</si>
  <si>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</si>
  <si>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</si>
  <si>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</si>
  <si>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</si>
  <si>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</si>
  <si>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</si>
  <si>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</si>
  <si>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</si>
  <si>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</si>
  <si>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</si>
  <si>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</si>
  <si>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</si>
  <si>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</si>
  <si>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</si>
  <si>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</si>
  <si>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</si>
  <si>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</si>
  <si>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</si>
  <si>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</si>
  <si>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</si>
  <si>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</si>
  <si>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</si>
  <si>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</si>
  <si>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</si>
  <si>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</si>
  <si>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</si>
  <si>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</si>
  <si>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</si>
  <si>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</si>
  <si>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</si>
  <si>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</si>
  <si>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</si>
  <si>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</si>
  <si>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</si>
  <si>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</si>
  <si>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</si>
  <si>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</si>
  <si>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</si>
  <si>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</si>
  <si>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</si>
  <si>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</si>
  <si>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</si>
  <si>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</si>
  <si>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</si>
  <si>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</si>
  <si>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</si>
  <si>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</si>
  <si>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</si>
  <si>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</si>
  <si>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</si>
  <si>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</si>
  <si>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</si>
  <si>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</si>
  <si>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</si>
  <si>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</si>
  <si>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</si>
  <si>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</si>
  <si>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</si>
  <si>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</si>
  <si>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</si>
  <si>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</si>
  <si>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</si>
  <si>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</si>
  <si>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</si>
  <si>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</si>
  <si>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</si>
  <si>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</si>
  <si>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</si>
  <si>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</si>
  <si>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</si>
  <si>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</si>
  <si>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</si>
  <si>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</si>
  <si>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</si>
  <si>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</si>
  <si>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</si>
  <si>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</si>
  <si>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</si>
  <si>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</si>
  <si>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</si>
  <si>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</si>
  <si>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</si>
  <si>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</si>
  <si>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</si>
  <si>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</si>
  <si>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</si>
  <si>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</si>
  <si>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</si>
  <si>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</si>
  <si>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</si>
  <si>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</si>
  <si>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</si>
  <si>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</si>
  <si>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</si>
  <si>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</si>
  <si>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</si>
  <si>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</si>
  <si>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</si>
  <si>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</si>
  <si>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</si>
  <si>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</si>
  <si>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</si>
  <si>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</si>
  <si>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</si>
  <si>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</si>
  <si>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</si>
  <si>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</si>
  <si>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</si>
  <si>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</si>
  <si>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</si>
  <si>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</si>
  <si>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</si>
  <si>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</si>
  <si>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</si>
  <si>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</si>
  <si>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</si>
  <si>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</si>
  <si>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</si>
  <si>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</si>
  <si>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</si>
  <si>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</si>
  <si>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</si>
  <si>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</si>
  <si>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</si>
  <si>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</si>
  <si>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</si>
  <si>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</si>
  <si>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</si>
  <si>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</si>
  <si>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</si>
  <si>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</si>
  <si>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</si>
  <si>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</si>
  <si>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</si>
  <si>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</si>
  <si>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</si>
  <si>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</si>
  <si>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</si>
  <si>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</si>
  <si>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</si>
  <si>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</si>
  <si>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</si>
  <si>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</si>
  <si>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</si>
  <si>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</si>
  <si>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</si>
  <si>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</si>
  <si>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</si>
  <si>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</si>
  <si>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</si>
  <si>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</si>
  <si>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</si>
  <si>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</si>
  <si>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</si>
  <si>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</si>
  <si>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</si>
  <si>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</si>
  <si>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</si>
  <si>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</si>
  <si>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</si>
  <si>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</si>
  <si>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</si>
  <si>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</si>
  <si>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</si>
  <si>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</si>
  <si>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</si>
  <si>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</si>
  <si>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</si>
  <si>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</si>
  <si>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</si>
  <si>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</si>
  <si>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</si>
  <si>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</si>
  <si>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</si>
  <si>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</si>
  <si>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</si>
  <si>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</si>
  <si>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</si>
  <si>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</si>
  <si>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</si>
  <si>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</si>
  <si>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</si>
  <si>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</si>
  <si>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</si>
  <si>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</si>
  <si>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</si>
  <si>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</si>
  <si>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</si>
  <si>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</si>
  <si>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</si>
  <si>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</si>
  <si>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</si>
  <si>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</si>
  <si>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</si>
  <si>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</si>
  <si>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</si>
  <si>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</si>
  <si>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</si>
  <si>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</si>
  <si>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</si>
  <si>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</si>
  <si>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</si>
  <si>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</si>
  <si>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</si>
  <si>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</si>
  <si>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</si>
  <si>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</si>
  <si>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</si>
  <si>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</si>
  <si>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</si>
  <si>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</si>
  <si>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</si>
  <si>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</si>
  <si>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</si>
  <si>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</si>
  <si>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</si>
  <si>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</si>
  <si>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</si>
  <si>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</si>
  <si>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</si>
  <si>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</si>
  <si>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</si>
  <si>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</si>
  <si>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</si>
  <si>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</si>
  <si>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</si>
  <si>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</si>
  <si>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</si>
  <si>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</si>
  <si>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</si>
  <si>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</si>
  <si>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</si>
  <si>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</si>
  <si>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</si>
  <si>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</si>
  <si>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</si>
  <si>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</si>
  <si>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</si>
  <si>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</si>
  <si>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</si>
  <si>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</si>
  <si>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</si>
  <si>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</si>
  <si>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</si>
  <si>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</si>
  <si>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</si>
  <si>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</si>
  <si>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</si>
  <si>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</si>
  <si>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</si>
  <si>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</si>
  <si>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</si>
  <si>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</si>
  <si>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</si>
  <si>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</si>
  <si>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</si>
  <si>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</si>
  <si>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</si>
  <si>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</si>
  <si>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</si>
  <si>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</si>
  <si>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</si>
  <si>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</si>
  <si>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</si>
  <si>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</si>
  <si>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</si>
  <si>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</si>
  <si>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</si>
  <si>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</si>
  <si>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</si>
  <si>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</si>
  <si>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</si>
  <si>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</si>
  <si>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</si>
  <si>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</si>
  <si>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</si>
  <si>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</si>
  <si>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</si>
  <si>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</si>
  <si>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</si>
  <si>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</si>
  <si>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</si>
  <si>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</si>
  <si>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</si>
  <si>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</si>
  <si>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</si>
  <si>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</si>
  <si>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</si>
  <si>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</si>
  <si>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</si>
  <si>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</si>
  <si>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</si>
  <si>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</si>
  <si>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</si>
  <si>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</si>
  <si>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</si>
  <si>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</si>
  <si>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</si>
  <si>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</si>
  <si>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</si>
  <si>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</si>
  <si>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</si>
  <si>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</si>
  <si>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</si>
  <si>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</si>
  <si>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</si>
  <si>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</si>
  <si>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</si>
  <si>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</si>
  <si>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</si>
  <si>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</si>
  <si>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</si>
  <si>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</si>
  <si>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</si>
  <si>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</si>
  <si>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</si>
  <si>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</si>
  <si>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</si>
  <si>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</si>
  <si>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</si>
  <si>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</si>
  <si>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 — Ingreso Devengado, mes cerrado)</t>
  </si>
  <si>
    <t xml:space="preserve">Julio 2026 (Real)</t>
  </si>
  <si>
    <t xml:space="preserve">Ingreso Neto Devengado (servicios_piloto, 35 servicios reales)</t>
  </si>
  <si>
    <t xml:space="preserve">  · de lo cual Facturado (en RCV)</t>
  </si>
  <si>
    <t xml:space="preserve">  · de lo cual Pendiente de Facturar (kaptura_cuentas_por_facturar)</t>
  </si>
  <si>
    <t xml:space="preserve">IVA Débito Fiscal (informativo, sobre lo facturado)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</si>
  <si>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</si>
  <si>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</si>
  <si>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</si>
  <si>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</si>
  <si>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</si>
  <si>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</si>
  <si>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</si>
  <si>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% Utilidad / Ingreso Devengado</t>
  </si>
  <si>
    <t xml:space="preserve">CORREGIDO 31-07-2026: la primera versión de este informe usaba solo el RCV Venta ($12.340.900) como ingreso — subestimaba julio en $3.082.400 porque 3 clientes completos (Presmita, Citrus Agro, Trans Luciano) y parte de Sollem/Danilo Núñez tenían servicios reales ejecutados sin factura emitida. Ahora usa servicios_piloto (ingreso devengado real), con el detalle Facturado/Pendiente separado.</t>
  </si>
  <si>
    <t xml:space="preserve">Los $7.587.600 pendientes de facturar quedaron cargados en la tabla nueva kaptura_cuentas_por_facturar (21 servicios, creada 31-07-2026) — tabla que no existía en el sistema hasta ahora.</t>
  </si>
  <si>
    <t xml:space="preserve">IVA Débito recalculado solo sobre lo YA facturado ($7.835.700 × 19%), no sobre el devengado total — el IVA solo se genera al emitir la factura.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</si>
  <si>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</si>
  <si>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</si>
  <si>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sigue siendo el bloque menos confiable: 72 transferencias sin desglose exacto de sueldo/viático/anticipo.</t>
  </si>
  <si>
    <t xml:space="preserve">Costo de Factoring ($459.420) = folio 20+bundle $158.549, folio 22 $152.894 (dato previo Kaptura), folio 28 $147.977 (comprobante real LATAM Trade Capital).</t>
  </si>
  <si>
    <t xml:space="preserve">S-85 (Presmita, 24-07) quedó registrado con tarifa $0 en servicios_piloto — posible error de carga, no se incluyó valor en Pendiente de Facturar por esa fila.</t>
  </si>
  <si>
    <t xml:space="preserve">DETALLE — REMUNERACIONES POR BENEFICIARIO, JULIO (nombres truncados por el banco a 35 caracteres)</t>
  </si>
  <si>
    <t xml:space="preserve">Beneficiario</t>
  </si>
  <si>
    <t xml:space="preserve">N° Transferencias</t>
  </si>
  <si>
    <t xml:space="preserve">Felipe Madaria[ga]</t>
  </si>
  <si>
    <t xml:space="preserve">Sebastián Zúñi[ga]</t>
  </si>
  <si>
    <t xml:space="preserve">Francisco Manc[...]</t>
  </si>
  <si>
    <t xml:space="preserve">Multiaceros SA</t>
  </si>
  <si>
    <t xml:space="preserve">Felipe Vidal</t>
  </si>
  <si>
    <t xml:space="preserve">Riquelme Olea (Pablo)</t>
  </si>
  <si>
    <t xml:space="preserve">Manuel Madrid</t>
  </si>
  <si>
    <t xml:space="preserve">Felipe Tapia D[...]</t>
  </si>
  <si>
    <t xml:space="preserve">Marcelo Lira</t>
  </si>
  <si>
    <t xml:space="preserve">Nicolás Carval[lo]</t>
  </si>
  <si>
    <t xml:space="preserve">Valdés Cornejo</t>
  </si>
  <si>
    <t xml:space="preserve">José Acevedo</t>
  </si>
  <si>
    <t xml:space="preserve">Servicios Inte[grales]</t>
  </si>
  <si>
    <t xml:space="preserve">TOTAL (13 beneficiarios reales, excluye traspaso interno Global Solutions)</t>
  </si>
  <si>
    <t xml:space="preserve">CxC / CxF PENDIENTES AL CIERRE DE JULIO (kaptura_cuentas_por_cobrar + kaptura_cuentas_por_facturar)</t>
  </si>
  <si>
    <t xml:space="preserve">Tipo</t>
  </si>
  <si>
    <t xml:space="preserve">Estado / Fecha</t>
  </si>
  <si>
    <t xml:space="preserve">CxC — facturado, sin cobrar</t>
  </si>
  <si>
    <t xml:space="preserve">Servicios Logísticos Integrales SPA</t>
  </si>
  <si>
    <t xml:space="preserve">Factoring programado 03-08-2026</t>
  </si>
  <si>
    <t xml:space="preserve">Presmita (factura 27)</t>
  </si>
  <si>
    <t xml:space="preserve">Pendiente, sin fecha</t>
  </si>
  <si>
    <t xml:space="preserve">Danilo Núñez (factura 24, junio)</t>
  </si>
  <si>
    <t xml:space="preserve">CxF — ejecutado, sin facturar</t>
  </si>
  <si>
    <t xml:space="preserve">Presmita</t>
  </si>
  <si>
    <t xml:space="preserve">7 servicios julio</t>
  </si>
  <si>
    <t xml:space="preserve">Citrus Agro</t>
  </si>
  <si>
    <t xml:space="preserve">Danilo Núñez</t>
  </si>
  <si>
    <t xml:space="preserve">3 servicios julio</t>
  </si>
  <si>
    <t xml:space="preserve">Sollem SpA</t>
  </si>
  <si>
    <t xml:space="preserve">2 servicios julio</t>
  </si>
  <si>
    <t xml:space="preserve">Trans Luciano</t>
  </si>
  <si>
    <t xml:space="preserve">TOTAL PENDIENTE (CxC + CxF)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</si>
  <si>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</si>
  <si>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</si>
  <si>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</si>
  <si>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</si>
  <si>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</si>
  <si>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</si>
  <si>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</si>
  <si>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</si>
  <si>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</si>
  <si>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</si>
  <si>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</si>
  <si>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</si>
  <si>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</si>
  <si>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</si>
  <si>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</si>
  <si>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</si>
  <si>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</si>
  <si>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</si>
  <si>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</si>
  <si>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</si>
  <si>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</si>
  <si>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</si>
  <si>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</si>
  <si>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</si>
  <si>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</si>
  <si>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</si>
  <si>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</si>
  <si>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</si>
  <si>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</si>
  <si>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</si>
  <si>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</si>
  <si>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</si>
  <si>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</si>
  <si>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</si>
  <si>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</si>
  <si>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</si>
  <si>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</si>
  <si>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</si>
  <si>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</si>
  <si>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</si>
  <si>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</si>
  <si>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</si>
  <si>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</si>
  <si>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</si>
  <si>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</si>
  <si>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</si>
  <si>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</si>
  <si>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</si>
  <si>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</si>
  <si>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</si>
  <si>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</si>
  <si>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</si>
  <si>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</si>
  <si>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</si>
  <si>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</si>
  <si>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</si>
  <si>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</si>
  <si>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</si>
  <si>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</si>
  <si>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</si>
  <si>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</si>
  <si>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</si>
  <si>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</si>
  <si>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</si>
  <si>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</si>
  <si>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</si>
  <si>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</si>
  <si>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</si>
  <si>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SEGUIMIENTO DE OPERACIONES CON FACTORING — plantilla para enviar por correo</t>
  </si>
  <si>
    <t xml:space="preserve">Copiar la tabla de abajo (filas 5 en adelante) y enviarla a cada entidad de factoring para que complete las columnas H, I, J (Estado actual / Días de Mora / Monto en Mora). Las columnas A-G ya las llenamos nosotros con lo que tenemos registrado. Al recibir la respuesta, actualizar acá y avisar para correr el Centinela (3 fuentes: nuestro registro + respuesta del factoring + cartola real — ver notas abajo).</t>
  </si>
  <si>
    <t xml:space="preserve">Entidad Factoring</t>
  </si>
  <si>
    <t xml:space="preserve">N° Operación</t>
  </si>
  <si>
    <t xml:space="preserve">Cliente (deudor)</t>
  </si>
  <si>
    <t xml:space="preserve">N° Factura(s)</t>
  </si>
  <si>
    <t xml:space="preserve">Monto Financiado</t>
  </si>
  <si>
    <t xml:space="preserve">Fecha Compromiso Pago</t>
  </si>
  <si>
    <t xml:space="preserve">Nuestro Estado</t>
  </si>
  <si>
    <t xml:space="preserve">Estado (factoring)</t>
  </si>
  <si>
    <t xml:space="preserve">Días Mora (factoring)</t>
  </si>
  <si>
    <t xml:space="preserve">Monto Mora (factoring)</t>
  </si>
  <si>
    <t xml:space="preserve">Observaciones</t>
  </si>
  <si>
    <t xml:space="preserve">LATAM Trade Capital</t>
  </si>
  <si>
    <t xml:space="preserve">103103</t>
  </si>
  <si>
    <t xml:space="preserve">2026-07-31</t>
  </si>
  <si>
    <t xml:space="preserve">Pagado — confirmado cartola 31-07</t>
  </si>
  <si>
    <t xml:space="preserve">Financia Capital</t>
  </si>
  <si>
    <t xml:space="preserve">20 + 1 doc adicional</t>
  </si>
  <si>
    <t xml:space="preserve">2026-07-17</t>
  </si>
  <si>
    <t xml:space="preserve">Pagado — confirmado cartola 17-07</t>
  </si>
  <si>
    <t xml:space="preserve">2026-07-22</t>
  </si>
  <si>
    <t xml:space="preserve">Pagado — confirmado cartola 22-07</t>
  </si>
  <si>
    <t xml:space="preserve">45910523</t>
  </si>
  <si>
    <t xml:space="preserve">26 + 29</t>
  </si>
  <si>
    <t xml:space="preserve">2026-08-03</t>
  </si>
  <si>
    <t xml:space="preserve">Programado — aún no vence, sin confirmar en cartola</t>
  </si>
  <si>
    <t xml:space="preserve">CÓMO TRABAJA EL CENTINELA (3 fuentes cruzadas, no solo días transcurridos)</t>
  </si>
  <si>
    <t xml:space="preserve">1. Factoring reporta 'Pagado' pero NO hay abono en la cartola → ALERTA INMEDIATA (posible pago a cuenta equivocada).</t>
  </si>
  <si>
    <t xml:space="preserve">2. Factoring reporta 'En mora' → ALERTA INMEDIATA, sin esperar ningún umbral de días — su información manda sobre nuestro conteo interno.</t>
  </si>
  <si>
    <t xml:space="preserve">3. Monto en mora reportado por el factoring NO calza con nuestro Monto Financiado esperado → ALERTA de discrepancia, investigar antes de aceptar cualquiera de los 2 números.</t>
  </si>
  <si>
    <t xml:space="preserve">4. Factoring no responde el correo dentro de 5 días hábiles → ALERTA 'sin respuesta', reenviar y escalar.</t>
  </si>
  <si>
    <t xml:space="preserve">5. Fecha Compromiso de Pago ya pasó y el factoring no ha dicho nada (ni pagado ni mora) → respaldo del umbral de 75 días de PROC-FIN-14 — se usa solo cuando no hay respuesta directa de ellos, es el último recurso, no la primera línea.</t>
  </si>
  <si>
    <t xml:space="preserve">SEGUIMIENTO DE PAGO — CLIENTES (envío semanal informativo)</t>
  </si>
  <si>
    <t xml:space="preserve">Copiar la tabla de abajo y enviarla semanalmente a cada cliente — objetivo: que tengan clara la fecha de vencimiento ANTES de que llegue, para presionar el pago a tiempo y evitar mora con el factoring. Fuente: kaptura_cuentas_por_cobrar + comunicaciones reales de las entidades de factoring (ej. correo LATAM Trade Capital 04-08-2026).</t>
  </si>
  <si>
    <t xml:space="preserve">Fecha Vencimiento</t>
  </si>
  <si>
    <t xml:space="preserve">Días para Vencer</t>
  </si>
  <si>
    <t xml:space="preserve">Monto en Mora</t>
  </si>
  <si>
    <t xml:space="preserve">761,776,754,741,747,763,775,74,745,794,807,832,830,827</t>
  </si>
  <si>
    <t xml:space="preserve">—</t>
  </si>
  <si>
    <t xml:space="preserve">MORA YA LIQUIDADA</t>
  </si>
  <si>
    <t xml:space="preserve">Confirmado por LATAM Trade Capital 04-08-2026, incluye pago 08-07 de $315.876</t>
  </si>
  <si>
    <t xml:space="preserve">1-Global-841-836-832</t>
  </si>
  <si>
    <t xml:space="preserve">Por confirmar</t>
  </si>
  <si>
    <t xml:space="preserve">PENDIENTE DE LIQUIDAR</t>
  </si>
  <si>
    <t xml:space="preserve">Confirmado por LATAM Trade Capital 04-08-2026 — sin fecha de vencimiento aún informada</t>
  </si>
  <si>
    <t xml:space="preserve">Vence hoy/mañana</t>
  </si>
  <si>
    <t xml:space="preserve">Programado (factoring)</t>
  </si>
  <si>
    <t xml:space="preserve">Financiamiento en trámite, aún no confirmado en cartola</t>
  </si>
  <si>
    <t xml:space="preserve">Facturado, sin fecha</t>
  </si>
  <si>
    <t xml:space="preserve">Pendiente definir fecha de vencimiento con el cliente</t>
  </si>
  <si>
    <t xml:space="preserve">Danilo Enrique Núñez Osorio</t>
  </si>
  <si>
    <t xml:space="preserve">24 (junio)</t>
  </si>
  <si>
    <t xml:space="preserve">NOTA</t>
  </si>
  <si>
    <t xml:space="preserve">Filas rojas = mora confirmada. Filas amarillas = operación en trámite, sin confirmar todavía. Actualizar cada semana con la Fecha de Vencimiento real de cada factura antes de enviar — hoy varias figuran "Por confirmar" porque no tenemos ese dato todavía.</t>
  </si>
  <si>
    <t xml:space="preserve">CONTROL DE CAJA — PRÓXIMOS 7 DÍAS</t>
  </si>
  <si>
    <t xml:space="preserve">Global Solutions SPA — al 06-08-2026. 3 bloques separados: REAL (lo que ya está en el banco) / PRESUPUESTO-PROVISIÓN (÷20 días hábiles, regla fija) / SERVICIOS REALES (kaptura, no facturados aún).</t>
  </si>
  <si>
    <t xml:space="preserve">BLOQUE 1 — SALDO REAL HOY</t>
  </si>
  <si>
    <t xml:space="preserve">Banco Santander</t>
  </si>
  <si>
    <t xml:space="preserve">Aramco (estimado: topups−consumo real)</t>
  </si>
  <si>
    <t xml:space="preserve">Copec (reembolso directo, sin saldo)</t>
  </si>
  <si>
    <t xml:space="preserve">TOTAL SALDO REAL</t>
  </si>
  <si>
    <t xml:space="preserve">BLOQUE 2 — PRESUPUESTO / PROVISIÓN (7 días = Consolidado Agosto ÷ 20 días hábiles × 7)</t>
  </si>
  <si>
    <t xml:space="preserve">Ventas presupuestadas</t>
  </si>
  <si>
    <t xml:space="preserve">Viáticos (regla: $12.000×3 equipos×7d)</t>
  </si>
  <si>
    <t xml:space="preserve">Peajes (regla: $50.000/servicio×servicios/semana)</t>
  </si>
  <si>
    <t xml:space="preserve">Remuneraciones</t>
  </si>
  <si>
    <t xml:space="preserve">BLOQUE 3 — SERVICIOS REALES (kaptura_cuentas_por_facturar / por_cobrar, no presupuesto)</t>
  </si>
  <si>
    <t xml:space="preserve">Pendiente de facturar (10 de 11 servicios agosto)</t>
  </si>
  <si>
    <t xml:space="preserve">Pendiente de facturar</t>
  </si>
  <si>
    <t xml:space="preserve">Pendiente de facturar (agosto)</t>
  </si>
  <si>
    <t xml:space="preserve">Sin servicios en agosto — confirmado</t>
  </si>
  <si>
    <t xml:space="preserve">Presmita (jul)</t>
  </si>
  <si>
    <t xml:space="preserve">Danilo Núñez (jun)</t>
  </si>
  <si>
    <t xml:space="preserve">Sollem — mora LATAM</t>
  </si>
  <si>
    <t xml:space="preserve">CxC — mora a cobrar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</si>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</sst>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D9E1F2"/>
      </patternFill>
    </fill>
    <fill>
      <patternFill patternType="solid">
        <fgColor rgb="FFFFEB9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15" t="s">
        <v>647</v>
      </c>
      <c r="B22" s="17" t="n">
        <v>15423300</v>
      </c>
      <c r="C22" s="17"/>
    </row>
    <row r="23" customFormat="false" ht="15" hidden="false" customHeight="false" outlineLevel="0" collapsed="false">
      <c r="A23" s="3" t="s">
        <v>648</v>
      </c>
      <c r="B23" s="12" t="n">
        <v>7835700</v>
      </c>
      <c r="C23" s="12"/>
    </row>
    <row r="24" customFormat="false" ht="15" hidden="false" customHeight="false" outlineLevel="0" collapsed="false">
      <c r="A24" s="3" t="s">
        <v>649</v>
      </c>
      <c r="B24" s="12" t="n">
        <v>7587600</v>
      </c>
      <c r="C24" s="12"/>
    </row>
    <row r="25" customFormat="false" ht="15" hidden="false" customHeight="false" outlineLevel="0" collapsed="false">
      <c r="A25" s="3" t="s">
        <v>650</v>
      </c>
      <c r="B25" s="12" t="n">
        <v>1488783</v>
      </c>
      <c r="C25" s="12"/>
    </row>
    <row r="26" customFormat="false" ht="15" hidden="false" customHeight="false" outlineLevel="0" collapsed="false">
      <c r="A26" s="3" t="s">
        <v>651</v>
      </c>
      <c r="B26" s="12" t="n">
        <v>-6159145</v>
      </c>
      <c r="C26" s="12"/>
    </row>
    <row r="27" customFormat="false" ht="15" hidden="false" customHeight="false" outlineLevel="0" collapsed="false">
      <c r="A27" s="3" t="s">
        <v>652</v>
      </c>
      <c r="B27" s="12" t="n">
        <v>-405600</v>
      </c>
      <c r="C27" s="12"/>
    </row>
    <row r="28" customFormat="false" ht="15" hidden="false" customHeight="false" outlineLevel="0" collapsed="false">
      <c r="A28" s="3" t="s">
        <v>653</v>
      </c>
      <c r="B28" s="12" t="n">
        <v>-1385644</v>
      </c>
      <c r="C28" s="12"/>
    </row>
    <row r="29" customFormat="false" ht="15" hidden="false" customHeight="false" outlineLevel="0" collapsed="false">
      <c r="A29" s="3" t="s">
        <v>654</v>
      </c>
      <c r="B29" s="12" t="n">
        <v>-1200000</v>
      </c>
      <c r="C29" s="12"/>
    </row>
    <row r="30" customFormat="false" ht="15" hidden="false" customHeight="false" outlineLevel="0" collapsed="false">
      <c r="A30" s="3" t="s">
        <v>655</v>
      </c>
      <c r="B30" s="12" t="n">
        <v>-31955</v>
      </c>
      <c r="C30" s="12"/>
    </row>
    <row r="31" customFormat="false" ht="15" hidden="false" customHeight="false" outlineLevel="0" collapsed="false">
      <c r="A31" s="15" t="s">
        <v>115</v>
      </c>
      <c r="B31" s="17" t="n">
        <v>-9182344</v>
      </c>
      <c r="C31" s="17"/>
    </row>
    <row r="32" customFormat="false" ht="15" hidden="false" customHeight="false" outlineLevel="0" collapsed="false">
      <c r="A32" s="15" t="s">
        <v>643</v>
      </c>
      <c r="B32" s="17" t="n">
        <v>6240956</v>
      </c>
      <c r="C32" s="17"/>
    </row>
    <row r="33" customFormat="false" ht="15" hidden="false" customHeight="false" outlineLevel="0" collapsed="false">
      <c r="A33" s="3" t="s">
        <v>656</v>
      </c>
      <c r="B33" s="12" t="n">
        <v>-6656800</v>
      </c>
      <c r="C33" s="12"/>
    </row>
    <row r="34" customFormat="false" ht="15" hidden="false" customHeight="false" outlineLevel="0" collapsed="false">
      <c r="A34" s="3" t="s">
        <v>657</v>
      </c>
      <c r="B34" s="12" t="n">
        <v>-459420</v>
      </c>
      <c r="C34" s="12"/>
    </row>
    <row r="35" customFormat="false" ht="15" hidden="false" customHeight="false" outlineLevel="0" collapsed="false">
      <c r="A35" s="15" t="s">
        <v>149</v>
      </c>
      <c r="B35" s="17" t="n">
        <v>-875264</v>
      </c>
      <c r="C35" s="17"/>
    </row>
    <row r="36" customFormat="false" ht="15" hidden="false" customHeight="false" outlineLevel="0" collapsed="false">
      <c r="A36" s="18" t="s">
        <v>658</v>
      </c>
      <c r="B36" s="27" t="n">
        <v>-0.0567494634740944</v>
      </c>
      <c r="C36" s="27"/>
    </row>
    <row r="38" customFormat="false" ht="25.5" hidden="false" customHeight="true" outlineLevel="0" collapsed="false">
      <c r="A38" s="24" t="s">
        <v>659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660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661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662</v>
      </c>
      <c r="B41" s="24"/>
      <c r="C41" s="24"/>
      <c r="D41" s="24"/>
      <c r="E41" s="24"/>
      <c r="F41" s="24"/>
      <c r="G41" s="24"/>
    </row>
    <row r="42" customFormat="false" ht="25.5" hidden="false" customHeight="true" outlineLevel="0" collapsed="false">
      <c r="A42" s="24" t="s">
        <v>663</v>
      </c>
      <c r="B42" s="24"/>
      <c r="C42" s="24"/>
      <c r="D42" s="24"/>
      <c r="E42" s="24"/>
      <c r="F42" s="24"/>
      <c r="G42" s="24"/>
    </row>
    <row r="43" customFormat="false" ht="25.5" hidden="false" customHeight="true" outlineLevel="0" collapsed="false">
      <c r="A43" s="24" t="s">
        <v>664</v>
      </c>
      <c r="B43" s="24"/>
      <c r="C43" s="24"/>
      <c r="D43" s="24"/>
      <c r="E43" s="24"/>
      <c r="F43" s="24"/>
      <c r="G43" s="24"/>
    </row>
    <row r="44" customFormat="false" ht="25.5" hidden="false" customHeight="true" outlineLevel="0" collapsed="false">
      <c r="A44" s="24" t="s">
        <v>665</v>
      </c>
      <c r="B44" s="24"/>
      <c r="C44" s="24"/>
      <c r="D44" s="24"/>
      <c r="E44" s="24"/>
      <c r="F44" s="24"/>
      <c r="G44" s="24"/>
    </row>
    <row r="45" customFormat="false" ht="25.5" hidden="false" customHeight="true" outlineLevel="0" collapsed="false">
      <c r="A45" s="24" t="s">
        <v>666</v>
      </c>
      <c r="B45" s="24"/>
      <c r="C45" s="24"/>
      <c r="D45" s="24"/>
      <c r="E45" s="24"/>
      <c r="F45" s="24"/>
      <c r="G45" s="24"/>
    </row>
    <row r="47" customFormat="false" ht="15" hidden="false" customHeight="false" outlineLevel="0" collapsed="false">
      <c r="A47" s="2" t="s">
        <v>667</v>
      </c>
      <c r="B47" s="2"/>
      <c r="C47" s="2"/>
      <c r="D47" s="2"/>
    </row>
    <row r="48" customFormat="false" ht="26.85" hidden="false" customHeight="false" outlineLevel="0" collapsed="false">
      <c r="A48" s="9" t="s">
        <v>668</v>
      </c>
      <c r="B48" s="9" t="s">
        <v>669</v>
      </c>
      <c r="C48" s="9" t="s">
        <v>186</v>
      </c>
    </row>
    <row r="49" customFormat="false" ht="15" hidden="false" customHeight="false" outlineLevel="0" collapsed="false">
      <c r="A49" s="3" t="s">
        <v>670</v>
      </c>
      <c r="B49" s="3" t="n">
        <v>26</v>
      </c>
      <c r="C49" s="12" t="n">
        <v>1301800</v>
      </c>
    </row>
    <row r="50" customFormat="false" ht="15" hidden="false" customHeight="false" outlineLevel="0" collapsed="false">
      <c r="A50" s="3" t="s">
        <v>671</v>
      </c>
      <c r="B50" s="3" t="n">
        <v>7</v>
      </c>
      <c r="C50" s="12" t="n">
        <v>1122000</v>
      </c>
    </row>
    <row r="51" customFormat="false" ht="15" hidden="false" customHeight="false" outlineLevel="0" collapsed="false">
      <c r="A51" s="3" t="s">
        <v>672</v>
      </c>
      <c r="B51" s="3" t="n">
        <v>23</v>
      </c>
      <c r="C51" s="12" t="n">
        <v>1005000</v>
      </c>
    </row>
    <row r="52" customFormat="false" ht="15" hidden="false" customHeight="false" outlineLevel="0" collapsed="false">
      <c r="A52" s="3" t="s">
        <v>673</v>
      </c>
      <c r="B52" s="3" t="n">
        <v>1</v>
      </c>
      <c r="C52" s="12" t="n">
        <v>1000000</v>
      </c>
    </row>
    <row r="53" customFormat="false" ht="15" hidden="false" customHeight="false" outlineLevel="0" collapsed="false">
      <c r="A53" s="3" t="s">
        <v>674</v>
      </c>
      <c r="B53" s="3" t="n">
        <v>6</v>
      </c>
      <c r="C53" s="12" t="n">
        <v>900000</v>
      </c>
    </row>
    <row r="54" customFormat="false" ht="15" hidden="false" customHeight="false" outlineLevel="0" collapsed="false">
      <c r="A54" s="3" t="s">
        <v>675</v>
      </c>
      <c r="B54" s="3" t="n">
        <v>6</v>
      </c>
      <c r="C54" s="12" t="n">
        <v>855000</v>
      </c>
    </row>
    <row r="55" customFormat="false" ht="15" hidden="false" customHeight="false" outlineLevel="0" collapsed="false">
      <c r="A55" s="3" t="s">
        <v>676</v>
      </c>
      <c r="B55" s="3" t="n">
        <v>6</v>
      </c>
      <c r="C55" s="12" t="n">
        <v>432000</v>
      </c>
    </row>
    <row r="56" customFormat="false" ht="15" hidden="false" customHeight="false" outlineLevel="0" collapsed="false">
      <c r="A56" s="3" t="s">
        <v>677</v>
      </c>
      <c r="B56" s="3" t="n">
        <v>1</v>
      </c>
      <c r="C56" s="12" t="n">
        <v>280000</v>
      </c>
    </row>
    <row r="57" customFormat="false" ht="15" hidden="false" customHeight="false" outlineLevel="0" collapsed="false">
      <c r="A57" s="3" t="s">
        <v>678</v>
      </c>
      <c r="B57" s="3" t="n">
        <v>2</v>
      </c>
      <c r="C57" s="12" t="n">
        <v>250000</v>
      </c>
    </row>
    <row r="58" customFormat="false" ht="15" hidden="false" customHeight="false" outlineLevel="0" collapsed="false">
      <c r="A58" s="3" t="s">
        <v>679</v>
      </c>
      <c r="B58" s="3" t="n">
        <v>1</v>
      </c>
      <c r="C58" s="12" t="n">
        <v>190000</v>
      </c>
    </row>
    <row r="59" customFormat="false" ht="15" hidden="false" customHeight="false" outlineLevel="0" collapsed="false">
      <c r="A59" s="3" t="s">
        <v>680</v>
      </c>
      <c r="B59" s="3" t="n">
        <v>1</v>
      </c>
      <c r="C59" s="12" t="n">
        <v>97000</v>
      </c>
    </row>
    <row r="60" customFormat="false" ht="15" hidden="false" customHeight="false" outlineLevel="0" collapsed="false">
      <c r="A60" s="3" t="s">
        <v>681</v>
      </c>
      <c r="B60" s="3" t="n">
        <v>1</v>
      </c>
      <c r="C60" s="12" t="n">
        <v>54000</v>
      </c>
    </row>
    <row r="61" customFormat="false" ht="15" hidden="false" customHeight="false" outlineLevel="0" collapsed="false">
      <c r="A61" s="3" t="s">
        <v>682</v>
      </c>
      <c r="B61" s="3" t="n">
        <v>1</v>
      </c>
      <c r="C61" s="12" t="n">
        <v>30000</v>
      </c>
    </row>
    <row r="62" customFormat="false" ht="15" hidden="false" customHeight="false" outlineLevel="0" collapsed="false">
      <c r="A62" s="15" t="s">
        <v>683</v>
      </c>
      <c r="B62" s="15" t="n">
        <v>82</v>
      </c>
      <c r="C62" s="17" t="n">
        <v>7516800</v>
      </c>
    </row>
    <row r="64" customFormat="false" ht="15" hidden="false" customHeight="false" outlineLevel="0" collapsed="false">
      <c r="A64" s="2" t="s">
        <v>684</v>
      </c>
      <c r="B64" s="2"/>
      <c r="C64" s="2"/>
      <c r="D64" s="2"/>
    </row>
    <row r="65" customFormat="false" ht="15" hidden="false" customHeight="false" outlineLevel="0" collapsed="false">
      <c r="A65" s="9" t="s">
        <v>685</v>
      </c>
      <c r="B65" s="9" t="s">
        <v>181</v>
      </c>
      <c r="C65" s="9" t="s">
        <v>378</v>
      </c>
      <c r="D65" s="9" t="s">
        <v>686</v>
      </c>
    </row>
    <row r="66" customFormat="false" ht="15" hidden="false" customHeight="false" outlineLevel="0" collapsed="false">
      <c r="A66" s="3" t="s">
        <v>687</v>
      </c>
      <c r="B66" s="3" t="s">
        <v>688</v>
      </c>
      <c r="C66" s="12" t="n">
        <v>3053216</v>
      </c>
      <c r="D66" s="3" t="s">
        <v>689</v>
      </c>
    </row>
    <row r="67" customFormat="false" ht="15" hidden="false" customHeight="false" outlineLevel="0" collapsed="false">
      <c r="A67" s="3" t="s">
        <v>687</v>
      </c>
      <c r="B67" s="3" t="s">
        <v>690</v>
      </c>
      <c r="C67" s="12" t="n">
        <v>1428000</v>
      </c>
      <c r="D67" s="3" t="s">
        <v>691</v>
      </c>
    </row>
    <row r="68" customFormat="false" ht="15" hidden="false" customHeight="false" outlineLevel="0" collapsed="false">
      <c r="A68" s="3" t="s">
        <v>687</v>
      </c>
      <c r="B68" s="3" t="s">
        <v>692</v>
      </c>
      <c r="C68" s="12" t="n">
        <v>690200</v>
      </c>
      <c r="D68" s="3" t="s">
        <v>691</v>
      </c>
    </row>
    <row r="69" customFormat="false" ht="15" hidden="false" customHeight="false" outlineLevel="0" collapsed="false">
      <c r="A69" s="3" t="s">
        <v>693</v>
      </c>
      <c r="B69" s="3" t="s">
        <v>694</v>
      </c>
      <c r="C69" s="12" t="n">
        <v>2700000</v>
      </c>
      <c r="D69" s="3" t="s">
        <v>695</v>
      </c>
    </row>
    <row r="70" customFormat="false" ht="15" hidden="false" customHeight="false" outlineLevel="0" collapsed="false">
      <c r="A70" s="3" t="s">
        <v>693</v>
      </c>
      <c r="B70" s="3" t="s">
        <v>696</v>
      </c>
      <c r="C70" s="12" t="n">
        <v>2602400</v>
      </c>
      <c r="D70" s="3" t="s">
        <v>695</v>
      </c>
    </row>
    <row r="71" customFormat="false" ht="15" hidden="false" customHeight="false" outlineLevel="0" collapsed="false">
      <c r="A71" s="3" t="s">
        <v>693</v>
      </c>
      <c r="B71" s="3" t="s">
        <v>697</v>
      </c>
      <c r="C71" s="12" t="n">
        <v>1130000</v>
      </c>
      <c r="D71" s="3" t="s">
        <v>698</v>
      </c>
    </row>
    <row r="72" customFormat="false" ht="15" hidden="false" customHeight="false" outlineLevel="0" collapsed="false">
      <c r="A72" s="3" t="s">
        <v>693</v>
      </c>
      <c r="B72" s="3" t="s">
        <v>699</v>
      </c>
      <c r="C72" s="12" t="n">
        <v>1100800</v>
      </c>
      <c r="D72" s="3" t="s">
        <v>700</v>
      </c>
    </row>
    <row r="73" customFormat="false" ht="15" hidden="false" customHeight="false" outlineLevel="0" collapsed="false">
      <c r="A73" s="3" t="s">
        <v>693</v>
      </c>
      <c r="B73" s="3" t="s">
        <v>701</v>
      </c>
      <c r="C73" s="12" t="n">
        <v>630000</v>
      </c>
      <c r="D73" s="3" t="s">
        <v>698</v>
      </c>
    </row>
    <row r="74" customFormat="false" ht="15" hidden="false" customHeight="false" outlineLevel="0" collapsed="false">
      <c r="A74" s="15" t="s">
        <v>702</v>
      </c>
      <c r="B74" s="37"/>
      <c r="C74" s="17" t="n">
        <v>13334616</v>
      </c>
      <c r="D74" s="37"/>
    </row>
    <row r="76" customFormat="false" ht="15" hidden="false" customHeight="false" outlineLevel="0" collapsed="false">
      <c r="A76" s="2" t="s">
        <v>703</v>
      </c>
      <c r="B76" s="2"/>
      <c r="C76" s="2"/>
      <c r="D76" s="2"/>
      <c r="E76" s="2"/>
      <c r="F76" s="2"/>
      <c r="G76" s="2"/>
    </row>
    <row r="77" customFormat="false" ht="15" hidden="false" customHeight="false" outlineLevel="0" collapsed="false">
      <c r="A77" s="28" t="s">
        <v>704</v>
      </c>
      <c r="B77" s="28"/>
      <c r="C77" s="28"/>
      <c r="D77" s="28"/>
      <c r="E77" s="28"/>
      <c r="F77" s="28"/>
      <c r="G77" s="28"/>
    </row>
    <row r="78" customFormat="false" ht="15" hidden="false" customHeight="false" outlineLevel="0" collapsed="false">
      <c r="A78" s="2" t="s">
        <v>705</v>
      </c>
      <c r="B78" s="2"/>
      <c r="C78" s="2"/>
      <c r="D78" s="2"/>
      <c r="E78" s="2"/>
      <c r="F78" s="2"/>
      <c r="G78" s="2"/>
    </row>
    <row r="79" customFormat="false" ht="26.85" hidden="false" customHeight="false" outlineLevel="0" collapsed="false">
      <c r="A79" s="9" t="s">
        <v>66</v>
      </c>
      <c r="B79" s="9" t="s">
        <v>706</v>
      </c>
      <c r="C79" s="9" t="s">
        <v>707</v>
      </c>
      <c r="D79" s="9" t="s">
        <v>708</v>
      </c>
      <c r="E79" s="9" t="s">
        <v>709</v>
      </c>
      <c r="F79" s="9" t="s">
        <v>710</v>
      </c>
      <c r="G79" s="9" t="s">
        <v>711</v>
      </c>
    </row>
    <row r="80" customFormat="false" ht="15" hidden="false" customHeight="false" outlineLevel="0" collapsed="false">
      <c r="A80" s="3" t="s">
        <v>712</v>
      </c>
      <c r="B80" s="33" t="n">
        <f aca="false">Consolidado!B32</f>
        <v>29402660.3612933</v>
      </c>
      <c r="C80" s="12" t="n">
        <f aca="false">SUM(Real_vs_Presupuesto!C6:C11)</f>
        <v>0</v>
      </c>
      <c r="D80" s="35" t="str">
        <f aca="false">COUNT(Real_vs_Presupuesto!C6:C11)&amp;" de 6"</f>
        <v>0 de 6</v>
      </c>
      <c r="E80" s="12" t="n">
        <f aca="false">SUMIF(Real_vs_Presupuesto!C6:C11,"",Real_vs_Presupuesto!B6:B11)</f>
        <v>29402660.3612933</v>
      </c>
      <c r="F80" s="14" t="n">
        <f aca="false">C80+E80</f>
        <v>29402660.3612933</v>
      </c>
      <c r="G80" s="27" t="n">
        <f aca="false">F80/B80</f>
        <v>1</v>
      </c>
    </row>
    <row r="81" customFormat="false" ht="15" hidden="false" customHeight="false" outlineLevel="0" collapsed="false">
      <c r="A81" s="3" t="s">
        <v>713</v>
      </c>
      <c r="B81" s="33" t="n">
        <f aca="false">Consolidado!C32</f>
        <v>26434798.4092921</v>
      </c>
      <c r="C81" s="12" t="n">
        <f aca="false">SUM(Real_vs_Presupuesto!F6:F11)</f>
        <v>0</v>
      </c>
      <c r="D81" s="35" t="str">
        <f aca="false">COUNT(Real_vs_Presupuesto!F6:F11)&amp;" de 6"</f>
        <v>0 de 6</v>
      </c>
      <c r="E81" s="12" t="n">
        <f aca="false">SUMIF(Real_vs_Presupuesto!F6:F11,"",Real_vs_Presupuesto!E6:E11)</f>
        <v>26434798.4092921</v>
      </c>
      <c r="F81" s="14" t="n">
        <f aca="false">C81+E81</f>
        <v>26434798.4092921</v>
      </c>
      <c r="G81" s="27" t="n">
        <f aca="false">F81/B81</f>
        <v>1</v>
      </c>
    </row>
    <row r="82" customFormat="false" ht="15" hidden="false" customHeight="false" outlineLevel="0" collapsed="false">
      <c r="A82" s="18" t="s">
        <v>714</v>
      </c>
      <c r="B82" s="14" t="n">
        <f aca="false">B80-B81</f>
        <v>2967861.9520012</v>
      </c>
      <c r="C82" s="14" t="n">
        <f aca="false">C80-C81</f>
        <v>0</v>
      </c>
      <c r="D82" s="38"/>
      <c r="E82" s="14" t="n">
        <f aca="false">E80-E81</f>
        <v>2967861.9520012</v>
      </c>
      <c r="F82" s="14" t="n">
        <f aca="false">F80-F81</f>
        <v>2967861.9520012</v>
      </c>
      <c r="G82" s="38"/>
    </row>
    <row r="84" customFormat="false" ht="15" hidden="false" customHeight="false" outlineLevel="0" collapsed="false">
      <c r="A84" s="2" t="s">
        <v>715</v>
      </c>
      <c r="B84" s="2"/>
      <c r="C84" s="2"/>
      <c r="D84" s="2"/>
      <c r="E84" s="2"/>
      <c r="F84" s="2"/>
      <c r="G84" s="2"/>
    </row>
    <row r="85" customFormat="false" ht="26.85" hidden="false" customHeight="false" outlineLevel="0" collapsed="false">
      <c r="A85" s="9" t="s">
        <v>66</v>
      </c>
      <c r="B85" s="9" t="s">
        <v>706</v>
      </c>
      <c r="C85" s="9" t="s">
        <v>707</v>
      </c>
      <c r="D85" s="9" t="s">
        <v>708</v>
      </c>
      <c r="E85" s="9" t="s">
        <v>709</v>
      </c>
      <c r="F85" s="9" t="s">
        <v>710</v>
      </c>
      <c r="G85" s="9" t="s">
        <v>711</v>
      </c>
    </row>
    <row r="86" customFormat="false" ht="15" hidden="false" customHeight="false" outlineLevel="0" collapsed="false">
      <c r="A86" s="3" t="s">
        <v>712</v>
      </c>
      <c r="B86" s="33" t="n">
        <f aca="false">Consolidado!B41</f>
        <v>38030368.58194</v>
      </c>
      <c r="C86" s="12" t="n">
        <f aca="false">SUM(Real_vs_Presupuesto!C15:C19)</f>
        <v>0</v>
      </c>
      <c r="D86" s="35" t="str">
        <f aca="false">COUNT(Real_vs_Presupuesto!C15:C19)&amp;" de 5"</f>
        <v>0 de 5</v>
      </c>
      <c r="E86" s="12" t="n">
        <f aca="false">SUMIF(Real_vs_Presupuesto!C15:C19,"",Real_vs_Presupuesto!B15:B19)</f>
        <v>38030368.58194</v>
      </c>
      <c r="F86" s="14" t="n">
        <f aca="false">C86+E86</f>
        <v>38030368.58194</v>
      </c>
      <c r="G86" s="27" t="n">
        <f aca="false">F86/B86</f>
        <v>1</v>
      </c>
    </row>
    <row r="87" customFormat="false" ht="15" hidden="false" customHeight="false" outlineLevel="0" collapsed="false">
      <c r="A87" s="3" t="s">
        <v>713</v>
      </c>
      <c r="B87" s="33" t="n">
        <f aca="false">Consolidado!C41</f>
        <v>33067690.8539382</v>
      </c>
      <c r="C87" s="12" t="n">
        <f aca="false">SUM(Real_vs_Presupuesto!F15:F19)</f>
        <v>0</v>
      </c>
      <c r="D87" s="35" t="str">
        <f aca="false">COUNT(Real_vs_Presupuesto!F15:F19)&amp;" de 5"</f>
        <v>0 de 5</v>
      </c>
      <c r="E87" s="12" t="n">
        <f aca="false">SUMIF(Real_vs_Presupuesto!F15:F19,"",Real_vs_Presupuesto!E15:E19)</f>
        <v>33067690.8539382</v>
      </c>
      <c r="F87" s="14" t="n">
        <f aca="false">C87+E87</f>
        <v>33067690.8539382</v>
      </c>
      <c r="G87" s="27" t="n">
        <f aca="false">F87/B87</f>
        <v>1</v>
      </c>
    </row>
    <row r="88" customFormat="false" ht="15" hidden="false" customHeight="false" outlineLevel="0" collapsed="false">
      <c r="A88" s="18" t="s">
        <v>714</v>
      </c>
      <c r="B88" s="14" t="n">
        <f aca="false">B86-B87</f>
        <v>4962677.7280018</v>
      </c>
      <c r="C88" s="14" t="n">
        <f aca="false">C86-C87</f>
        <v>0</v>
      </c>
      <c r="D88" s="38"/>
      <c r="E88" s="14" t="n">
        <f aca="false">E86-E87</f>
        <v>4962677.7280018</v>
      </c>
      <c r="F88" s="14" t="n">
        <f aca="false">F86-F87</f>
        <v>4962677.7280018</v>
      </c>
      <c r="G88" s="38"/>
    </row>
  </sheetData>
  <mergeCells count="34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A38:G38"/>
    <mergeCell ref="A39:G39"/>
    <mergeCell ref="A40:G40"/>
    <mergeCell ref="A41:G41"/>
    <mergeCell ref="A42:G42"/>
    <mergeCell ref="A43:G43"/>
    <mergeCell ref="A44:G44"/>
    <mergeCell ref="A45:G45"/>
    <mergeCell ref="A47:D47"/>
    <mergeCell ref="A64:D64"/>
    <mergeCell ref="A76:G76"/>
    <mergeCell ref="A77:G77"/>
    <mergeCell ref="A78:G78"/>
    <mergeCell ref="A84:G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716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717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718</v>
      </c>
      <c r="C4" s="9" t="s">
        <v>378</v>
      </c>
      <c r="D4" s="9" t="s">
        <v>719</v>
      </c>
      <c r="E4" s="9" t="s">
        <v>720</v>
      </c>
      <c r="F4" s="9" t="s">
        <v>721</v>
      </c>
      <c r="G4" s="9" t="s">
        <v>722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9" t="s">
        <v>723</v>
      </c>
      <c r="F5" s="3" t="s">
        <v>724</v>
      </c>
      <c r="G5" s="39" t="s">
        <v>725</v>
      </c>
    </row>
    <row r="6" customFormat="false" ht="15" hidden="false" customHeight="false" outlineLevel="0" collapsed="false">
      <c r="A6" s="3" t="s">
        <v>435</v>
      </c>
      <c r="B6" s="3" t="s">
        <v>726</v>
      </c>
      <c r="C6" s="12" t="n">
        <v>-1300000</v>
      </c>
      <c r="D6" s="3" t="s">
        <v>387</v>
      </c>
      <c r="E6" s="3" t="s">
        <v>727</v>
      </c>
      <c r="F6" s="3" t="s">
        <v>728</v>
      </c>
      <c r="G6" s="3" t="s">
        <v>729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9" t="s">
        <v>730</v>
      </c>
      <c r="F7" s="3" t="s">
        <v>724</v>
      </c>
      <c r="G7" s="39" t="s">
        <v>731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9" t="s">
        <v>730</v>
      </c>
      <c r="F8" s="3" t="s">
        <v>724</v>
      </c>
      <c r="G8" s="39" t="s">
        <v>731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9" t="s">
        <v>730</v>
      </c>
      <c r="F9" s="3" t="s">
        <v>724</v>
      </c>
      <c r="G9" s="39" t="s">
        <v>731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9" t="s">
        <v>730</v>
      </c>
      <c r="F10" s="3" t="s">
        <v>724</v>
      </c>
      <c r="G10" s="39" t="s">
        <v>731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9" t="s">
        <v>730</v>
      </c>
      <c r="F11" s="3" t="s">
        <v>724</v>
      </c>
      <c r="G11" s="39" t="s">
        <v>731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9" t="s">
        <v>730</v>
      </c>
      <c r="F12" s="3" t="s">
        <v>724</v>
      </c>
      <c r="G12" s="39" t="s">
        <v>731</v>
      </c>
    </row>
    <row r="13" customFormat="false" ht="15" hidden="false" customHeight="false" outlineLevel="0" collapsed="false">
      <c r="A13" s="3" t="s">
        <v>459</v>
      </c>
      <c r="B13" s="3" t="s">
        <v>732</v>
      </c>
      <c r="C13" s="12" t="n">
        <v>-30000</v>
      </c>
      <c r="D13" s="3" t="s">
        <v>387</v>
      </c>
      <c r="E13" s="39" t="s">
        <v>730</v>
      </c>
      <c r="F13" s="3" t="s">
        <v>724</v>
      </c>
      <c r="G13" s="39" t="s">
        <v>731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9" t="s">
        <v>733</v>
      </c>
      <c r="F14" s="3" t="s">
        <v>724</v>
      </c>
      <c r="G14" s="39" t="s">
        <v>734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9" t="s">
        <v>730</v>
      </c>
      <c r="F15" s="3" t="s">
        <v>724</v>
      </c>
      <c r="G15" s="39" t="s">
        <v>731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9" t="s">
        <v>730</v>
      </c>
      <c r="F16" s="3" t="s">
        <v>724</v>
      </c>
      <c r="G16" s="39" t="s">
        <v>731</v>
      </c>
    </row>
    <row r="17" customFormat="false" ht="15" hidden="false" customHeight="false" outlineLevel="0" collapsed="false">
      <c r="A17" s="3" t="s">
        <v>473</v>
      </c>
      <c r="B17" s="3" t="s">
        <v>735</v>
      </c>
      <c r="C17" s="12" t="n">
        <v>-92344</v>
      </c>
      <c r="D17" s="3" t="s">
        <v>387</v>
      </c>
      <c r="E17" s="3" t="s">
        <v>736</v>
      </c>
      <c r="F17" s="3" t="s">
        <v>728</v>
      </c>
      <c r="G17" s="3" t="s">
        <v>737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9" t="s">
        <v>730</v>
      </c>
      <c r="F18" s="3" t="s">
        <v>724</v>
      </c>
      <c r="G18" s="39" t="s">
        <v>731</v>
      </c>
    </row>
    <row r="19" customFormat="false" ht="15" hidden="false" customHeight="false" outlineLevel="0" collapsed="false">
      <c r="A19" s="3" t="s">
        <v>473</v>
      </c>
      <c r="B19" s="3" t="s">
        <v>738</v>
      </c>
      <c r="C19" s="12" t="n">
        <v>-17980</v>
      </c>
      <c r="D19" s="3" t="s">
        <v>387</v>
      </c>
      <c r="E19" s="3" t="s">
        <v>736</v>
      </c>
      <c r="F19" s="3" t="s">
        <v>728</v>
      </c>
      <c r="G19" s="3" t="s">
        <v>737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739</v>
      </c>
      <c r="F20" s="3" t="s">
        <v>740</v>
      </c>
      <c r="G20" s="3" t="s">
        <v>741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9" t="s">
        <v>733</v>
      </c>
      <c r="F21" s="3" t="s">
        <v>724</v>
      </c>
      <c r="G21" s="39" t="s">
        <v>734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9" t="s">
        <v>742</v>
      </c>
      <c r="F22" s="3" t="s">
        <v>724</v>
      </c>
      <c r="G22" s="39" t="s">
        <v>725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736</v>
      </c>
      <c r="F23" s="3" t="s">
        <v>728</v>
      </c>
      <c r="G23" s="3" t="s">
        <v>737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9" t="s">
        <v>743</v>
      </c>
      <c r="F24" s="3" t="s">
        <v>728</v>
      </c>
      <c r="G24" s="39" t="s">
        <v>744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9" t="s">
        <v>730</v>
      </c>
      <c r="F25" s="3" t="s">
        <v>724</v>
      </c>
      <c r="G25" s="39" t="s">
        <v>731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9" t="s">
        <v>730</v>
      </c>
      <c r="F26" s="3" t="s">
        <v>724</v>
      </c>
      <c r="G26" s="39" t="s">
        <v>731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9" t="s">
        <v>730</v>
      </c>
      <c r="F27" s="3" t="s">
        <v>724</v>
      </c>
      <c r="G27" s="39" t="s">
        <v>731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9" t="s">
        <v>743</v>
      </c>
      <c r="F28" s="3" t="s">
        <v>728</v>
      </c>
      <c r="G28" s="39" t="s">
        <v>744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9" t="s">
        <v>730</v>
      </c>
      <c r="F29" s="3" t="s">
        <v>724</v>
      </c>
      <c r="G29" s="39" t="s">
        <v>731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9" t="s">
        <v>730</v>
      </c>
      <c r="F30" s="3" t="s">
        <v>724</v>
      </c>
      <c r="G30" s="39" t="s">
        <v>731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9" t="s">
        <v>730</v>
      </c>
      <c r="F31" s="3" t="s">
        <v>724</v>
      </c>
      <c r="G31" s="39" t="s">
        <v>731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9" t="s">
        <v>730</v>
      </c>
      <c r="F32" s="3" t="s">
        <v>724</v>
      </c>
      <c r="G32" s="39" t="s">
        <v>731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9" t="s">
        <v>733</v>
      </c>
      <c r="F33" s="3" t="s">
        <v>724</v>
      </c>
      <c r="G33" s="39" t="s">
        <v>734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9" t="s">
        <v>743</v>
      </c>
      <c r="F34" s="3" t="s">
        <v>728</v>
      </c>
      <c r="G34" s="39" t="s">
        <v>744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9" t="s">
        <v>733</v>
      </c>
      <c r="F35" s="3" t="s">
        <v>724</v>
      </c>
      <c r="G35" s="39" t="s">
        <v>734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9" t="s">
        <v>730</v>
      </c>
      <c r="F36" s="3" t="s">
        <v>724</v>
      </c>
      <c r="G36" s="39" t="s">
        <v>731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9" t="s">
        <v>743</v>
      </c>
      <c r="F37" s="3" t="s">
        <v>728</v>
      </c>
      <c r="G37" s="39" t="s">
        <v>744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9" t="s">
        <v>730</v>
      </c>
      <c r="F38" s="3" t="s">
        <v>724</v>
      </c>
      <c r="G38" s="39" t="s">
        <v>731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733</v>
      </c>
      <c r="F39" s="3" t="s">
        <v>724</v>
      </c>
      <c r="G39" s="3" t="s">
        <v>745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9" t="s">
        <v>730</v>
      </c>
      <c r="F40" s="3" t="s">
        <v>724</v>
      </c>
      <c r="G40" s="39" t="s">
        <v>731</v>
      </c>
    </row>
    <row r="41" customFormat="false" ht="15" hidden="false" customHeight="false" outlineLevel="0" collapsed="false">
      <c r="A41" s="3" t="s">
        <v>491</v>
      </c>
      <c r="B41" s="3" t="s">
        <v>746</v>
      </c>
      <c r="C41" s="12" t="n">
        <v>440300</v>
      </c>
      <c r="D41" s="3" t="s">
        <v>382</v>
      </c>
      <c r="E41" s="3" t="s">
        <v>739</v>
      </c>
      <c r="F41" s="3" t="s">
        <v>740</v>
      </c>
      <c r="G41" s="3" t="s">
        <v>747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9" t="s">
        <v>730</v>
      </c>
      <c r="F42" s="3" t="s">
        <v>724</v>
      </c>
      <c r="G42" s="39" t="s">
        <v>731</v>
      </c>
    </row>
    <row r="43" customFormat="false" ht="15" hidden="false" customHeight="false" outlineLevel="0" collapsed="false">
      <c r="A43" s="3" t="s">
        <v>491</v>
      </c>
      <c r="B43" s="3" t="s">
        <v>748</v>
      </c>
      <c r="C43" s="12" t="n">
        <v>-88073</v>
      </c>
      <c r="D43" s="3" t="s">
        <v>387</v>
      </c>
      <c r="E43" s="3" t="s">
        <v>736</v>
      </c>
      <c r="F43" s="3" t="s">
        <v>728</v>
      </c>
      <c r="G43" s="3" t="s">
        <v>737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736</v>
      </c>
      <c r="F44" s="3" t="s">
        <v>728</v>
      </c>
      <c r="G44" s="3" t="s">
        <v>737</v>
      </c>
    </row>
    <row r="45" customFormat="false" ht="15" hidden="false" customHeight="false" outlineLevel="0" collapsed="false">
      <c r="A45" s="3" t="s">
        <v>491</v>
      </c>
      <c r="B45" s="3" t="s">
        <v>749</v>
      </c>
      <c r="C45" s="12" t="n">
        <v>-36259</v>
      </c>
      <c r="D45" s="3" t="s">
        <v>387</v>
      </c>
      <c r="E45" s="3" t="s">
        <v>736</v>
      </c>
      <c r="F45" s="3" t="s">
        <v>728</v>
      </c>
      <c r="G45" s="3" t="s">
        <v>737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750</v>
      </c>
      <c r="F46" s="3" t="s">
        <v>724</v>
      </c>
      <c r="G46" s="3" t="s">
        <v>751</v>
      </c>
    </row>
    <row r="47" customFormat="false" ht="15" hidden="false" customHeight="false" outlineLevel="0" collapsed="false">
      <c r="A47" s="3" t="s">
        <v>498</v>
      </c>
      <c r="B47" s="3" t="s">
        <v>738</v>
      </c>
      <c r="C47" s="12" t="n">
        <v>-77990</v>
      </c>
      <c r="D47" s="3" t="s">
        <v>387</v>
      </c>
      <c r="E47" s="3" t="s">
        <v>736</v>
      </c>
      <c r="F47" s="3" t="s">
        <v>728</v>
      </c>
      <c r="G47" s="3" t="s">
        <v>737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9" t="s">
        <v>730</v>
      </c>
      <c r="F48" s="3" t="s">
        <v>724</v>
      </c>
      <c r="G48" s="39" t="s">
        <v>731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9" t="s">
        <v>743</v>
      </c>
      <c r="F49" s="3" t="s">
        <v>728</v>
      </c>
      <c r="G49" s="39" t="s">
        <v>744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9" t="s">
        <v>733</v>
      </c>
      <c r="F50" s="3" t="s">
        <v>724</v>
      </c>
      <c r="G50" s="39" t="s">
        <v>734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9" t="s">
        <v>730</v>
      </c>
      <c r="F51" s="3" t="s">
        <v>724</v>
      </c>
      <c r="G51" s="39" t="s">
        <v>731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9" t="s">
        <v>730</v>
      </c>
      <c r="F52" s="3" t="s">
        <v>724</v>
      </c>
      <c r="G52" s="39" t="s">
        <v>731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727</v>
      </c>
      <c r="F53" s="3" t="s">
        <v>728</v>
      </c>
      <c r="G53" s="3" t="s">
        <v>729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9" t="s">
        <v>730</v>
      </c>
      <c r="F54" s="3" t="s">
        <v>724</v>
      </c>
      <c r="G54" s="39" t="s">
        <v>731</v>
      </c>
    </row>
    <row r="55" customFormat="false" ht="15" hidden="false" customHeight="false" outlineLevel="0" collapsed="false">
      <c r="A55" s="3" t="s">
        <v>505</v>
      </c>
      <c r="B55" s="3" t="s">
        <v>726</v>
      </c>
      <c r="C55" s="12" t="n">
        <v>-1000000</v>
      </c>
      <c r="D55" s="3" t="s">
        <v>387</v>
      </c>
      <c r="E55" s="3" t="s">
        <v>727</v>
      </c>
      <c r="F55" s="3" t="s">
        <v>728</v>
      </c>
      <c r="G55" s="3" t="s">
        <v>729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9" t="s">
        <v>742</v>
      </c>
      <c r="F56" s="3" t="s">
        <v>724</v>
      </c>
      <c r="G56" s="39" t="s">
        <v>725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9" t="s">
        <v>723</v>
      </c>
      <c r="F57" s="3" t="s">
        <v>724</v>
      </c>
      <c r="G57" s="39" t="s">
        <v>725</v>
      </c>
    </row>
    <row r="58" customFormat="false" ht="15" hidden="false" customHeight="false" outlineLevel="0" collapsed="false">
      <c r="A58" s="3" t="s">
        <v>505</v>
      </c>
      <c r="B58" s="3" t="s">
        <v>752</v>
      </c>
      <c r="C58" s="12" t="n">
        <v>-83300</v>
      </c>
      <c r="D58" s="3" t="s">
        <v>387</v>
      </c>
      <c r="E58" s="3" t="s">
        <v>736</v>
      </c>
      <c r="F58" s="3" t="s">
        <v>728</v>
      </c>
      <c r="G58" s="3" t="s">
        <v>737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9" t="s">
        <v>730</v>
      </c>
      <c r="F59" s="3" t="s">
        <v>724</v>
      </c>
      <c r="G59" s="39" t="s">
        <v>731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9" t="s">
        <v>730</v>
      </c>
      <c r="F60" s="3" t="s">
        <v>724</v>
      </c>
      <c r="G60" s="39" t="s">
        <v>731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9" t="s">
        <v>730</v>
      </c>
      <c r="F61" s="3" t="s">
        <v>724</v>
      </c>
      <c r="G61" s="39" t="s">
        <v>731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9" t="s">
        <v>730</v>
      </c>
      <c r="F62" s="3" t="s">
        <v>724</v>
      </c>
      <c r="G62" s="39" t="s">
        <v>731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9" t="s">
        <v>730</v>
      </c>
      <c r="F63" s="3" t="s">
        <v>724</v>
      </c>
      <c r="G63" s="39" t="s">
        <v>731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9" t="s">
        <v>730</v>
      </c>
      <c r="F64" s="3" t="s">
        <v>724</v>
      </c>
      <c r="G64" s="39" t="s">
        <v>731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9" t="s">
        <v>730</v>
      </c>
      <c r="F65" s="3" t="s">
        <v>724</v>
      </c>
      <c r="G65" s="39" t="s">
        <v>731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9" t="s">
        <v>730</v>
      </c>
      <c r="F66" s="3" t="s">
        <v>724</v>
      </c>
      <c r="G66" s="39" t="s">
        <v>731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753</v>
      </c>
      <c r="F67" s="3" t="s">
        <v>724</v>
      </c>
      <c r="G67" s="3" t="s">
        <v>754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9" t="s">
        <v>730</v>
      </c>
      <c r="F68" s="3" t="s">
        <v>724</v>
      </c>
      <c r="G68" s="39" t="s">
        <v>731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9" t="s">
        <v>730</v>
      </c>
      <c r="F69" s="3" t="s">
        <v>724</v>
      </c>
      <c r="G69" s="39" t="s">
        <v>731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727</v>
      </c>
      <c r="F70" s="3" t="s">
        <v>728</v>
      </c>
      <c r="G70" s="3" t="s">
        <v>729</v>
      </c>
    </row>
    <row r="71" customFormat="false" ht="15" hidden="false" customHeight="false" outlineLevel="0" collapsed="false">
      <c r="A71" s="3" t="s">
        <v>522</v>
      </c>
      <c r="B71" s="3" t="s">
        <v>755</v>
      </c>
      <c r="C71" s="12" t="n">
        <v>-25000</v>
      </c>
      <c r="D71" s="3" t="s">
        <v>387</v>
      </c>
      <c r="E71" s="3" t="s">
        <v>736</v>
      </c>
      <c r="F71" s="3" t="s">
        <v>728</v>
      </c>
      <c r="G71" s="3" t="s">
        <v>737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9" t="s">
        <v>730</v>
      </c>
      <c r="F72" s="3" t="s">
        <v>724</v>
      </c>
      <c r="G72" s="39" t="s">
        <v>731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9" t="s">
        <v>730</v>
      </c>
      <c r="F73" s="3" t="s">
        <v>724</v>
      </c>
      <c r="G73" s="39" t="s">
        <v>731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9" t="s">
        <v>730</v>
      </c>
      <c r="F74" s="3" t="s">
        <v>724</v>
      </c>
      <c r="G74" s="39" t="s">
        <v>731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9" t="s">
        <v>743</v>
      </c>
      <c r="F75" s="3" t="s">
        <v>728</v>
      </c>
      <c r="G75" s="39" t="s">
        <v>744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9" t="s">
        <v>730</v>
      </c>
      <c r="F76" s="3" t="s">
        <v>724</v>
      </c>
      <c r="G76" s="39" t="s">
        <v>731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9" t="s">
        <v>730</v>
      </c>
      <c r="F77" s="3" t="s">
        <v>724</v>
      </c>
      <c r="G77" s="39" t="s">
        <v>731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9" t="s">
        <v>743</v>
      </c>
      <c r="F78" s="3" t="s">
        <v>728</v>
      </c>
      <c r="G78" s="39" t="s">
        <v>744</v>
      </c>
    </row>
    <row r="79" customFormat="false" ht="15" hidden="false" customHeight="false" outlineLevel="0" collapsed="false">
      <c r="A79" s="3" t="s">
        <v>522</v>
      </c>
      <c r="B79" s="3" t="s">
        <v>726</v>
      </c>
      <c r="C79" s="12" t="n">
        <v>-1000000</v>
      </c>
      <c r="D79" s="3" t="s">
        <v>387</v>
      </c>
      <c r="E79" s="3" t="s">
        <v>727</v>
      </c>
      <c r="F79" s="3" t="s">
        <v>728</v>
      </c>
      <c r="G79" s="3" t="s">
        <v>729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9" t="s">
        <v>733</v>
      </c>
      <c r="F80" s="3" t="s">
        <v>724</v>
      </c>
      <c r="G80" s="39" t="s">
        <v>734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9" t="s">
        <v>730</v>
      </c>
      <c r="F81" s="3" t="s">
        <v>724</v>
      </c>
      <c r="G81" s="39" t="s">
        <v>731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9" t="s">
        <v>730</v>
      </c>
      <c r="F82" s="3" t="s">
        <v>724</v>
      </c>
      <c r="G82" s="39" t="s">
        <v>731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9" t="s">
        <v>730</v>
      </c>
      <c r="F83" s="3" t="s">
        <v>724</v>
      </c>
      <c r="G83" s="39" t="s">
        <v>731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756</v>
      </c>
      <c r="F84" s="3" t="s">
        <v>724</v>
      </c>
      <c r="G84" s="3" t="s">
        <v>729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9" t="s">
        <v>743</v>
      </c>
      <c r="F85" s="3" t="s">
        <v>728</v>
      </c>
      <c r="G85" s="39" t="s">
        <v>744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9" t="s">
        <v>743</v>
      </c>
      <c r="F86" s="3" t="s">
        <v>728</v>
      </c>
      <c r="G86" s="39" t="s">
        <v>744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9" t="s">
        <v>733</v>
      </c>
      <c r="F87" s="3" t="s">
        <v>724</v>
      </c>
      <c r="G87" s="39" t="s">
        <v>734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753</v>
      </c>
      <c r="F88" s="3" t="s">
        <v>724</v>
      </c>
      <c r="G88" s="3" t="s">
        <v>754</v>
      </c>
    </row>
    <row r="89" customFormat="false" ht="15" hidden="false" customHeight="false" outlineLevel="0" collapsed="false">
      <c r="A89" s="3" t="s">
        <v>532</v>
      </c>
      <c r="B89" s="3" t="s">
        <v>726</v>
      </c>
      <c r="C89" s="12" t="n">
        <v>-160000</v>
      </c>
      <c r="D89" s="3" t="s">
        <v>387</v>
      </c>
      <c r="E89" s="3" t="s">
        <v>727</v>
      </c>
      <c r="F89" s="3" t="s">
        <v>728</v>
      </c>
      <c r="G89" s="3" t="s">
        <v>729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9" t="s">
        <v>723</v>
      </c>
      <c r="F90" s="3" t="s">
        <v>724</v>
      </c>
      <c r="G90" s="39" t="s">
        <v>725</v>
      </c>
    </row>
    <row r="91" customFormat="false" ht="15" hidden="false" customHeight="false" outlineLevel="0" collapsed="false">
      <c r="A91" s="3" t="s">
        <v>532</v>
      </c>
      <c r="B91" s="3" t="s">
        <v>726</v>
      </c>
      <c r="C91" s="12" t="n">
        <v>-150000</v>
      </c>
      <c r="D91" s="3" t="s">
        <v>387</v>
      </c>
      <c r="E91" s="3" t="s">
        <v>727</v>
      </c>
      <c r="F91" s="3" t="s">
        <v>728</v>
      </c>
      <c r="G91" s="3" t="s">
        <v>729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9" t="s">
        <v>730</v>
      </c>
      <c r="F92" s="3" t="s">
        <v>724</v>
      </c>
      <c r="G92" s="39" t="s">
        <v>731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736</v>
      </c>
      <c r="F93" s="3" t="s">
        <v>728</v>
      </c>
      <c r="G93" s="3" t="s">
        <v>737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9" t="s">
        <v>730</v>
      </c>
      <c r="F94" s="3" t="s">
        <v>724</v>
      </c>
      <c r="G94" s="39" t="s">
        <v>731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9" t="s">
        <v>730</v>
      </c>
      <c r="F95" s="3" t="s">
        <v>724</v>
      </c>
      <c r="G95" s="39" t="s">
        <v>731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9" t="s">
        <v>730</v>
      </c>
      <c r="F96" s="3" t="s">
        <v>724</v>
      </c>
      <c r="G96" s="39" t="s">
        <v>731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9" t="s">
        <v>730</v>
      </c>
      <c r="F97" s="3" t="s">
        <v>724</v>
      </c>
      <c r="G97" s="39" t="s">
        <v>731</v>
      </c>
    </row>
    <row r="98" customFormat="false" ht="15" hidden="false" customHeight="false" outlineLevel="0" collapsed="false">
      <c r="A98" s="3" t="s">
        <v>542</v>
      </c>
      <c r="B98" s="3" t="s">
        <v>757</v>
      </c>
      <c r="C98" s="12" t="n">
        <v>-405600</v>
      </c>
      <c r="D98" s="3" t="s">
        <v>387</v>
      </c>
      <c r="E98" s="3" t="s">
        <v>758</v>
      </c>
      <c r="F98" s="3" t="s">
        <v>728</v>
      </c>
      <c r="G98" s="3" t="s">
        <v>759</v>
      </c>
    </row>
    <row r="99" customFormat="false" ht="15" hidden="false" customHeight="false" outlineLevel="0" collapsed="false">
      <c r="A99" s="3" t="s">
        <v>542</v>
      </c>
      <c r="B99" s="3" t="s">
        <v>726</v>
      </c>
      <c r="C99" s="12" t="n">
        <v>-1000000</v>
      </c>
      <c r="D99" s="3" t="s">
        <v>387</v>
      </c>
      <c r="E99" s="3" t="s">
        <v>727</v>
      </c>
      <c r="F99" s="3" t="s">
        <v>728</v>
      </c>
      <c r="G99" s="3" t="s">
        <v>729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736</v>
      </c>
      <c r="F100" s="3" t="s">
        <v>728</v>
      </c>
      <c r="G100" s="3" t="s">
        <v>737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9" t="s">
        <v>730</v>
      </c>
      <c r="F101" s="3" t="s">
        <v>724</v>
      </c>
      <c r="G101" s="39" t="s">
        <v>731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9" t="s">
        <v>730</v>
      </c>
      <c r="F102" s="3" t="s">
        <v>724</v>
      </c>
      <c r="G102" s="39" t="s">
        <v>731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736</v>
      </c>
      <c r="F103" s="3" t="s">
        <v>728</v>
      </c>
      <c r="G103" s="3" t="s">
        <v>737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9" t="s">
        <v>730</v>
      </c>
      <c r="F104" s="3" t="s">
        <v>724</v>
      </c>
      <c r="G104" s="39" t="s">
        <v>731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9" t="s">
        <v>733</v>
      </c>
      <c r="F105" s="3" t="s">
        <v>724</v>
      </c>
      <c r="G105" s="39" t="s">
        <v>734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9" t="s">
        <v>730</v>
      </c>
      <c r="F106" s="3" t="s">
        <v>724</v>
      </c>
      <c r="G106" s="39" t="s">
        <v>731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9" t="s">
        <v>730</v>
      </c>
      <c r="F107" s="3" t="s">
        <v>724</v>
      </c>
      <c r="G107" s="39" t="s">
        <v>731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736</v>
      </c>
      <c r="F108" s="3" t="s">
        <v>728</v>
      </c>
      <c r="G108" s="3" t="s">
        <v>737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736</v>
      </c>
      <c r="F109" s="3" t="s">
        <v>728</v>
      </c>
      <c r="G109" s="3" t="s">
        <v>737</v>
      </c>
    </row>
    <row r="110" customFormat="false" ht="15" hidden="false" customHeight="false" outlineLevel="0" collapsed="false">
      <c r="A110" s="3" t="s">
        <v>559</v>
      </c>
      <c r="B110" s="3" t="s">
        <v>760</v>
      </c>
      <c r="C110" s="12" t="n">
        <v>-6950</v>
      </c>
      <c r="D110" s="3" t="s">
        <v>387</v>
      </c>
      <c r="E110" s="39" t="s">
        <v>733</v>
      </c>
      <c r="F110" s="3" t="s">
        <v>724</v>
      </c>
      <c r="G110" s="39" t="s">
        <v>734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9" t="s">
        <v>743</v>
      </c>
      <c r="F111" s="3" t="s">
        <v>728</v>
      </c>
      <c r="G111" s="39" t="s">
        <v>744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9" t="s">
        <v>730</v>
      </c>
      <c r="F112" s="3" t="s">
        <v>724</v>
      </c>
      <c r="G112" s="39" t="s">
        <v>731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736</v>
      </c>
      <c r="F113" s="3" t="s">
        <v>728</v>
      </c>
      <c r="G113" s="3" t="s">
        <v>737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9" t="s">
        <v>730</v>
      </c>
      <c r="F114" s="3" t="s">
        <v>724</v>
      </c>
      <c r="G114" s="39" t="s">
        <v>731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9" t="s">
        <v>730</v>
      </c>
      <c r="F115" s="3" t="s">
        <v>724</v>
      </c>
      <c r="G115" s="39" t="s">
        <v>731</v>
      </c>
    </row>
    <row r="116" customFormat="false" ht="15" hidden="false" customHeight="false" outlineLevel="0" collapsed="false">
      <c r="A116" s="3" t="s">
        <v>559</v>
      </c>
      <c r="B116" s="3" t="s">
        <v>761</v>
      </c>
      <c r="C116" s="12" t="n">
        <v>-38000</v>
      </c>
      <c r="D116" s="3" t="s">
        <v>387</v>
      </c>
      <c r="E116" s="3" t="s">
        <v>736</v>
      </c>
      <c r="F116" s="3" t="s">
        <v>728</v>
      </c>
      <c r="G116" s="3" t="s">
        <v>737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9" t="s">
        <v>730</v>
      </c>
      <c r="F117" s="3" t="s">
        <v>724</v>
      </c>
      <c r="G117" s="39" t="s">
        <v>731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9" t="s">
        <v>743</v>
      </c>
      <c r="F118" s="3" t="s">
        <v>728</v>
      </c>
      <c r="G118" s="39" t="s">
        <v>744</v>
      </c>
    </row>
    <row r="119" customFormat="false" ht="15" hidden="false" customHeight="false" outlineLevel="0" collapsed="false">
      <c r="A119" s="3" t="s">
        <v>559</v>
      </c>
      <c r="B119" s="3" t="s">
        <v>762</v>
      </c>
      <c r="C119" s="12" t="n">
        <v>-66878</v>
      </c>
      <c r="D119" s="3" t="s">
        <v>387</v>
      </c>
      <c r="E119" s="39" t="s">
        <v>733</v>
      </c>
      <c r="F119" s="3" t="s">
        <v>724</v>
      </c>
      <c r="G119" s="39" t="s">
        <v>734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9" t="s">
        <v>730</v>
      </c>
      <c r="F120" s="3" t="s">
        <v>724</v>
      </c>
      <c r="G120" s="39" t="s">
        <v>731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9" t="s">
        <v>743</v>
      </c>
      <c r="F121" s="3" t="s">
        <v>728</v>
      </c>
      <c r="G121" s="39" t="s">
        <v>744</v>
      </c>
    </row>
    <row r="122" customFormat="false" ht="15" hidden="false" customHeight="false" outlineLevel="0" collapsed="false">
      <c r="A122" s="3" t="s">
        <v>559</v>
      </c>
      <c r="B122" s="3" t="s">
        <v>763</v>
      </c>
      <c r="C122" s="12" t="n">
        <v>-296037</v>
      </c>
      <c r="D122" s="3" t="s">
        <v>387</v>
      </c>
      <c r="E122" s="3" t="s">
        <v>736</v>
      </c>
      <c r="F122" s="3" t="s">
        <v>728</v>
      </c>
      <c r="G122" s="3" t="s">
        <v>737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9" t="s">
        <v>733</v>
      </c>
      <c r="F123" s="3" t="s">
        <v>724</v>
      </c>
      <c r="G123" s="39" t="s">
        <v>734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9" t="s">
        <v>733</v>
      </c>
      <c r="F124" s="3" t="s">
        <v>724</v>
      </c>
      <c r="G124" s="39" t="s">
        <v>734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9" t="s">
        <v>742</v>
      </c>
      <c r="F125" s="3" t="s">
        <v>724</v>
      </c>
      <c r="G125" s="39" t="s">
        <v>725</v>
      </c>
    </row>
    <row r="126" customFormat="false" ht="15" hidden="false" customHeight="false" outlineLevel="0" collapsed="false">
      <c r="A126" s="3" t="s">
        <v>559</v>
      </c>
      <c r="B126" s="3" t="s">
        <v>764</v>
      </c>
      <c r="C126" s="12" t="n">
        <v>-58001</v>
      </c>
      <c r="D126" s="3" t="s">
        <v>387</v>
      </c>
      <c r="E126" s="39" t="s">
        <v>733</v>
      </c>
      <c r="F126" s="3" t="s">
        <v>724</v>
      </c>
      <c r="G126" s="39" t="s">
        <v>734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9" t="s">
        <v>730</v>
      </c>
      <c r="F127" s="3" t="s">
        <v>724</v>
      </c>
      <c r="G127" s="39" t="s">
        <v>731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9" t="s">
        <v>730</v>
      </c>
      <c r="F128" s="3" t="s">
        <v>724</v>
      </c>
      <c r="G128" s="39" t="s">
        <v>731</v>
      </c>
    </row>
    <row r="129" customFormat="false" ht="15" hidden="false" customHeight="false" outlineLevel="0" collapsed="false">
      <c r="A129" s="3" t="s">
        <v>572</v>
      </c>
      <c r="B129" s="3" t="s">
        <v>765</v>
      </c>
      <c r="C129" s="12" t="n">
        <v>-97000</v>
      </c>
      <c r="D129" s="3" t="s">
        <v>387</v>
      </c>
      <c r="E129" s="39" t="s">
        <v>730</v>
      </c>
      <c r="F129" s="3" t="s">
        <v>724</v>
      </c>
      <c r="G129" s="39" t="s">
        <v>731</v>
      </c>
    </row>
    <row r="130" customFormat="false" ht="15" hidden="false" customHeight="false" outlineLevel="0" collapsed="false">
      <c r="A130" s="3" t="s">
        <v>572</v>
      </c>
      <c r="B130" s="3" t="s">
        <v>726</v>
      </c>
      <c r="C130" s="12" t="n">
        <v>-800000</v>
      </c>
      <c r="D130" s="3" t="s">
        <v>387</v>
      </c>
      <c r="E130" s="3" t="s">
        <v>727</v>
      </c>
      <c r="F130" s="3" t="s">
        <v>728</v>
      </c>
      <c r="G130" s="3" t="s">
        <v>729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9" t="s">
        <v>730</v>
      </c>
      <c r="F131" s="3" t="s">
        <v>724</v>
      </c>
      <c r="G131" s="39" t="s">
        <v>731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9" t="s">
        <v>730</v>
      </c>
      <c r="F132" s="3" t="s">
        <v>724</v>
      </c>
      <c r="G132" s="39" t="s">
        <v>731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9" t="s">
        <v>730</v>
      </c>
      <c r="F133" s="3" t="s">
        <v>724</v>
      </c>
      <c r="G133" s="39" t="s">
        <v>731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9" t="s">
        <v>743</v>
      </c>
      <c r="F134" s="3" t="s">
        <v>728</v>
      </c>
      <c r="G134" s="39" t="s">
        <v>744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9" t="s">
        <v>743</v>
      </c>
      <c r="F135" s="3" t="s">
        <v>728</v>
      </c>
      <c r="G135" s="39" t="s">
        <v>744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9" t="s">
        <v>730</v>
      </c>
      <c r="F136" s="3" t="s">
        <v>724</v>
      </c>
      <c r="G136" s="39" t="s">
        <v>731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9" t="s">
        <v>730</v>
      </c>
      <c r="F137" s="3" t="s">
        <v>724</v>
      </c>
      <c r="G137" s="39" t="s">
        <v>731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9" t="s">
        <v>723</v>
      </c>
      <c r="F138" s="3" t="s">
        <v>724</v>
      </c>
      <c r="G138" s="39" t="s">
        <v>725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9" t="s">
        <v>730</v>
      </c>
      <c r="F139" s="3" t="s">
        <v>724</v>
      </c>
      <c r="G139" s="39" t="s">
        <v>731</v>
      </c>
    </row>
    <row r="140" customFormat="false" ht="15" hidden="false" customHeight="false" outlineLevel="0" collapsed="false">
      <c r="A140" s="3" t="s">
        <v>445</v>
      </c>
      <c r="B140" s="3" t="s">
        <v>726</v>
      </c>
      <c r="C140" s="12" t="n">
        <v>-700000</v>
      </c>
      <c r="D140" s="3" t="s">
        <v>387</v>
      </c>
      <c r="E140" s="3" t="s">
        <v>727</v>
      </c>
      <c r="F140" s="3" t="s">
        <v>728</v>
      </c>
      <c r="G140" s="3" t="s">
        <v>729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9" t="s">
        <v>742</v>
      </c>
      <c r="F141" s="3" t="s">
        <v>724</v>
      </c>
      <c r="G141" s="39" t="s">
        <v>725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736</v>
      </c>
      <c r="F142" s="3" t="s">
        <v>728</v>
      </c>
      <c r="G142" s="3" t="s">
        <v>737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9" t="s">
        <v>730</v>
      </c>
      <c r="F143" s="3" t="s">
        <v>724</v>
      </c>
      <c r="G143" s="39" t="s">
        <v>731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9" t="s">
        <v>730</v>
      </c>
      <c r="F144" s="3" t="s">
        <v>724</v>
      </c>
      <c r="G144" s="39" t="s">
        <v>731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9" t="s">
        <v>743</v>
      </c>
      <c r="F145" s="3" t="s">
        <v>728</v>
      </c>
      <c r="G145" s="39" t="s">
        <v>744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753</v>
      </c>
      <c r="F146" s="3" t="s">
        <v>724</v>
      </c>
      <c r="G146" s="3" t="s">
        <v>754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9" t="s">
        <v>730</v>
      </c>
      <c r="F147" s="3" t="s">
        <v>724</v>
      </c>
      <c r="G147" s="39" t="s">
        <v>731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736</v>
      </c>
      <c r="F148" s="3" t="s">
        <v>728</v>
      </c>
      <c r="G148" s="3" t="s">
        <v>737</v>
      </c>
    </row>
    <row r="149" customFormat="false" ht="15" hidden="false" customHeight="false" outlineLevel="0" collapsed="false">
      <c r="A149" s="3" t="s">
        <v>450</v>
      </c>
      <c r="B149" s="3" t="s">
        <v>766</v>
      </c>
      <c r="C149" s="12" t="n">
        <v>-46550</v>
      </c>
      <c r="D149" s="3" t="s">
        <v>387</v>
      </c>
      <c r="E149" s="3" t="s">
        <v>736</v>
      </c>
      <c r="F149" s="3" t="s">
        <v>728</v>
      </c>
      <c r="G149" s="3" t="s">
        <v>737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9" t="s">
        <v>730</v>
      </c>
      <c r="F150" s="3" t="s">
        <v>724</v>
      </c>
      <c r="G150" s="39" t="s">
        <v>731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9" t="s">
        <v>730</v>
      </c>
      <c r="F151" s="3" t="s">
        <v>724</v>
      </c>
      <c r="G151" s="39" t="s">
        <v>731</v>
      </c>
    </row>
    <row r="153" customFormat="false" ht="15" hidden="false" customHeight="false" outlineLevel="0" collapsed="false">
      <c r="A153" s="2" t="s">
        <v>767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768</v>
      </c>
      <c r="B154" s="9" t="s">
        <v>769</v>
      </c>
      <c r="C154" s="9" t="s">
        <v>770</v>
      </c>
    </row>
    <row r="155" customFormat="false" ht="15" hidden="false" customHeight="false" outlineLevel="0" collapsed="false">
      <c r="A155" s="3" t="s">
        <v>730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727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736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743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758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750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756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739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733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742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723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753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6"/>
    <col collapsed="false" customWidth="true" hidden="false" outlineLevel="0" max="7" min="6" style="0" width="14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16.15" hidden="false" customHeight="false" outlineLevel="0" collapsed="false">
      <c r="A1" s="1" t="s">
        <v>771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9.75" hidden="false" customHeight="true" outlineLevel="0" collapsed="false">
      <c r="A2" s="24" t="s">
        <v>772</v>
      </c>
      <c r="B2" s="24"/>
      <c r="C2" s="24"/>
      <c r="D2" s="24"/>
      <c r="E2" s="24"/>
      <c r="F2" s="24"/>
      <c r="G2" s="24"/>
      <c r="H2" s="24"/>
      <c r="I2" s="24"/>
      <c r="J2" s="24"/>
      <c r="K2" s="24"/>
    </row>
    <row r="4" customFormat="false" ht="39.55" hidden="false" customHeight="false" outlineLevel="0" collapsed="false">
      <c r="A4" s="9" t="s">
        <v>773</v>
      </c>
      <c r="B4" s="9" t="s">
        <v>774</v>
      </c>
      <c r="C4" s="9" t="s">
        <v>775</v>
      </c>
      <c r="D4" s="9" t="s">
        <v>776</v>
      </c>
      <c r="E4" s="9" t="s">
        <v>777</v>
      </c>
      <c r="F4" s="9" t="s">
        <v>778</v>
      </c>
      <c r="G4" s="9" t="s">
        <v>779</v>
      </c>
      <c r="H4" s="9" t="s">
        <v>780</v>
      </c>
      <c r="I4" s="9" t="s">
        <v>781</v>
      </c>
      <c r="J4" s="9" t="s">
        <v>782</v>
      </c>
      <c r="K4" s="9" t="s">
        <v>783</v>
      </c>
    </row>
    <row r="5" customFormat="false" ht="15" hidden="false" customHeight="false" outlineLevel="0" collapsed="false">
      <c r="A5" s="3" t="s">
        <v>784</v>
      </c>
      <c r="B5" s="3" t="s">
        <v>785</v>
      </c>
      <c r="C5" s="3" t="s">
        <v>699</v>
      </c>
      <c r="D5" s="3" t="s">
        <v>449</v>
      </c>
      <c r="E5" s="12" t="n">
        <v>4773447</v>
      </c>
      <c r="F5" s="3" t="s">
        <v>786</v>
      </c>
      <c r="G5" s="3" t="s">
        <v>787</v>
      </c>
      <c r="H5" s="40"/>
      <c r="I5" s="40"/>
      <c r="J5" s="40"/>
      <c r="K5" s="40"/>
    </row>
    <row r="6" customFormat="false" ht="15" hidden="false" customHeight="false" outlineLevel="0" collapsed="false">
      <c r="A6" s="3" t="s">
        <v>788</v>
      </c>
      <c r="B6" s="3"/>
      <c r="C6" s="3" t="s">
        <v>699</v>
      </c>
      <c r="D6" s="3" t="s">
        <v>789</v>
      </c>
      <c r="E6" s="12" t="n">
        <v>2972144</v>
      </c>
      <c r="F6" s="3" t="s">
        <v>790</v>
      </c>
      <c r="G6" s="3" t="s">
        <v>791</v>
      </c>
      <c r="H6" s="40"/>
      <c r="I6" s="40"/>
      <c r="J6" s="40"/>
      <c r="K6" s="40"/>
    </row>
    <row r="7" customFormat="false" ht="15" hidden="false" customHeight="false" outlineLevel="0" collapsed="false">
      <c r="A7" s="3" t="s">
        <v>788</v>
      </c>
      <c r="B7" s="3"/>
      <c r="C7" s="3" t="s">
        <v>699</v>
      </c>
      <c r="D7" s="3" t="s">
        <v>439</v>
      </c>
      <c r="E7" s="12" t="n">
        <v>2387616</v>
      </c>
      <c r="F7" s="3" t="s">
        <v>792</v>
      </c>
      <c r="G7" s="3" t="s">
        <v>793</v>
      </c>
      <c r="H7" s="40"/>
      <c r="I7" s="40"/>
      <c r="J7" s="40"/>
      <c r="K7" s="40"/>
    </row>
    <row r="8" customFormat="false" ht="15" hidden="false" customHeight="false" outlineLevel="0" collapsed="false">
      <c r="A8" s="3" t="s">
        <v>197</v>
      </c>
      <c r="B8" s="3" t="s">
        <v>794</v>
      </c>
      <c r="C8" s="3" t="s">
        <v>688</v>
      </c>
      <c r="D8" s="3" t="s">
        <v>795</v>
      </c>
      <c r="E8" s="12" t="n">
        <v>3099712</v>
      </c>
      <c r="F8" s="3" t="s">
        <v>796</v>
      </c>
      <c r="G8" s="3" t="s">
        <v>797</v>
      </c>
      <c r="H8" s="40"/>
      <c r="I8" s="40"/>
      <c r="J8" s="40"/>
      <c r="K8" s="40"/>
    </row>
    <row r="10" customFormat="false" ht="15" hidden="false" customHeight="false" outlineLevel="0" collapsed="false">
      <c r="A10" s="2" t="s">
        <v>798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24" hidden="false" customHeight="true" outlineLevel="0" collapsed="false">
      <c r="A11" s="24" t="s">
        <v>799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</row>
    <row r="12" customFormat="false" ht="24" hidden="false" customHeight="true" outlineLevel="0" collapsed="false">
      <c r="A12" s="24" t="s">
        <v>800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customFormat="false" ht="24" hidden="false" customHeight="true" outlineLevel="0" collapsed="false">
      <c r="A13" s="24" t="s">
        <v>801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</row>
    <row r="14" customFormat="false" ht="24" hidden="false" customHeight="true" outlineLevel="0" collapsed="false">
      <c r="A14" s="24" t="s">
        <v>802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customFormat="false" ht="24" hidden="false" customHeight="true" outlineLevel="0" collapsed="false">
      <c r="A15" s="24" t="s">
        <v>803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</row>
  </sheetData>
  <mergeCells count="8">
    <mergeCell ref="A1:K1"/>
    <mergeCell ref="A2:K2"/>
    <mergeCell ref="A10:K10"/>
    <mergeCell ref="A11:K11"/>
    <mergeCell ref="A12:K12"/>
    <mergeCell ref="A13:K13"/>
    <mergeCell ref="A14:K14"/>
    <mergeCell ref="A15:K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16.15" hidden="false" customHeight="false" outlineLevel="0" collapsed="false">
      <c r="A1" s="1" t="s">
        <v>804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4" t="s">
        <v>805</v>
      </c>
      <c r="B2" s="24"/>
      <c r="C2" s="24"/>
      <c r="D2" s="24"/>
      <c r="E2" s="24"/>
      <c r="F2" s="24"/>
      <c r="G2" s="24"/>
      <c r="H2" s="24"/>
    </row>
    <row r="4" customFormat="false" ht="26.85" hidden="false" customHeight="false" outlineLevel="0" collapsed="false">
      <c r="A4" s="9" t="s">
        <v>181</v>
      </c>
      <c r="B4" s="9" t="s">
        <v>776</v>
      </c>
      <c r="C4" s="9" t="s">
        <v>378</v>
      </c>
      <c r="D4" s="9" t="s">
        <v>806</v>
      </c>
      <c r="E4" s="9" t="s">
        <v>807</v>
      </c>
      <c r="F4" s="9" t="s">
        <v>187</v>
      </c>
      <c r="G4" s="9" t="s">
        <v>808</v>
      </c>
      <c r="H4" s="9" t="s">
        <v>783</v>
      </c>
    </row>
    <row r="5" customFormat="false" ht="46.25" hidden="false" customHeight="false" outlineLevel="0" collapsed="false">
      <c r="A5" s="3" t="s">
        <v>699</v>
      </c>
      <c r="B5" s="41" t="s">
        <v>809</v>
      </c>
      <c r="C5" s="12" t="n">
        <v>1991728</v>
      </c>
      <c r="D5" s="3" t="s">
        <v>810</v>
      </c>
      <c r="E5" s="3" t="s">
        <v>810</v>
      </c>
      <c r="F5" s="42" t="s">
        <v>811</v>
      </c>
      <c r="G5" s="12" t="n">
        <v>1991728</v>
      </c>
      <c r="H5" s="41" t="s">
        <v>812</v>
      </c>
    </row>
    <row r="6" customFormat="false" ht="35.05" hidden="false" customHeight="false" outlineLevel="0" collapsed="false">
      <c r="A6" s="3" t="s">
        <v>699</v>
      </c>
      <c r="B6" s="41" t="s">
        <v>813</v>
      </c>
      <c r="C6" s="12" t="n">
        <v>508969</v>
      </c>
      <c r="D6" s="3" t="s">
        <v>814</v>
      </c>
      <c r="E6" s="3" t="s">
        <v>810</v>
      </c>
      <c r="F6" s="3" t="s">
        <v>815</v>
      </c>
      <c r="G6" s="12" t="n">
        <v>508969</v>
      </c>
      <c r="H6" s="41" t="s">
        <v>816</v>
      </c>
    </row>
    <row r="7" customFormat="false" ht="23.85" hidden="false" customHeight="false" outlineLevel="0" collapsed="false">
      <c r="A7" s="3" t="s">
        <v>688</v>
      </c>
      <c r="B7" s="41" t="s">
        <v>795</v>
      </c>
      <c r="C7" s="12" t="n">
        <v>3053216</v>
      </c>
      <c r="D7" s="3" t="s">
        <v>796</v>
      </c>
      <c r="E7" s="3" t="s">
        <v>817</v>
      </c>
      <c r="F7" s="43" t="s">
        <v>818</v>
      </c>
      <c r="G7" s="12" t="n">
        <v>0</v>
      </c>
      <c r="H7" s="41" t="s">
        <v>819</v>
      </c>
    </row>
    <row r="8" customFormat="false" ht="23.85" hidden="false" customHeight="false" outlineLevel="0" collapsed="false">
      <c r="A8" s="3" t="s">
        <v>694</v>
      </c>
      <c r="B8" s="41" t="s">
        <v>447</v>
      </c>
      <c r="C8" s="12" t="n">
        <v>1428000</v>
      </c>
      <c r="D8" s="3" t="s">
        <v>814</v>
      </c>
      <c r="E8" s="3" t="s">
        <v>810</v>
      </c>
      <c r="F8" s="3" t="s">
        <v>820</v>
      </c>
      <c r="G8" s="12" t="n">
        <v>0</v>
      </c>
      <c r="H8" s="41" t="s">
        <v>821</v>
      </c>
    </row>
    <row r="9" customFormat="false" ht="23.85" hidden="false" customHeight="false" outlineLevel="0" collapsed="false">
      <c r="A9" s="3" t="s">
        <v>822</v>
      </c>
      <c r="B9" s="41" t="s">
        <v>823</v>
      </c>
      <c r="C9" s="12" t="n">
        <v>690200</v>
      </c>
      <c r="D9" s="3" t="s">
        <v>814</v>
      </c>
      <c r="E9" s="3" t="s">
        <v>810</v>
      </c>
      <c r="F9" s="3" t="s">
        <v>820</v>
      </c>
      <c r="G9" s="12" t="n">
        <v>0</v>
      </c>
      <c r="H9" s="41" t="s">
        <v>821</v>
      </c>
    </row>
    <row r="11" customFormat="false" ht="15" hidden="false" customHeight="false" outlineLevel="0" collapsed="false">
      <c r="A11" s="2" t="s">
        <v>824</v>
      </c>
      <c r="B11" s="2"/>
      <c r="C11" s="2"/>
      <c r="D11" s="2"/>
      <c r="E11" s="2"/>
      <c r="F11" s="2"/>
      <c r="G11" s="2"/>
      <c r="H11" s="2"/>
    </row>
    <row r="12" customFormat="false" ht="30" hidden="false" customHeight="true" outlineLevel="0" collapsed="false">
      <c r="A12" s="10" t="s">
        <v>825</v>
      </c>
      <c r="B12" s="10"/>
      <c r="C12" s="10"/>
      <c r="D12" s="10"/>
      <c r="E12" s="10"/>
      <c r="F12" s="10"/>
      <c r="G12" s="10"/>
      <c r="H12" s="10"/>
    </row>
  </sheetData>
  <mergeCells count="4">
    <mergeCell ref="A1:H1"/>
    <mergeCell ref="A2:H2"/>
    <mergeCell ref="A11:H11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6.15" hidden="false" customHeight="false" outlineLevel="0" collapsed="false">
      <c r="A1" s="1" t="s">
        <v>826</v>
      </c>
      <c r="B1" s="1"/>
      <c r="C1" s="1"/>
    </row>
    <row r="2" customFormat="false" ht="30" hidden="false" customHeight="true" outlineLevel="0" collapsed="false">
      <c r="A2" s="24" t="s">
        <v>827</v>
      </c>
      <c r="B2" s="24"/>
      <c r="C2" s="24"/>
    </row>
    <row r="4" customFormat="false" ht="15" hidden="false" customHeight="false" outlineLevel="0" collapsed="false">
      <c r="A4" s="2" t="s">
        <v>828</v>
      </c>
      <c r="B4" s="2"/>
      <c r="C4" s="2"/>
    </row>
    <row r="5" customFormat="false" ht="15" hidden="false" customHeight="false" outlineLevel="0" collapsed="false">
      <c r="A5" s="9" t="s">
        <v>66</v>
      </c>
      <c r="B5" s="9" t="s">
        <v>378</v>
      </c>
    </row>
    <row r="6" customFormat="false" ht="15" hidden="false" customHeight="false" outlineLevel="0" collapsed="false">
      <c r="A6" s="3" t="s">
        <v>829</v>
      </c>
      <c r="B6" s="12" t="n">
        <v>339213</v>
      </c>
    </row>
    <row r="7" customFormat="false" ht="15" hidden="false" customHeight="false" outlineLevel="0" collapsed="false">
      <c r="A7" s="3" t="s">
        <v>830</v>
      </c>
      <c r="B7" s="12" t="n">
        <v>4556521</v>
      </c>
    </row>
    <row r="8" customFormat="false" ht="15" hidden="false" customHeight="false" outlineLevel="0" collapsed="false">
      <c r="A8" s="3" t="s">
        <v>831</v>
      </c>
      <c r="B8" s="12" t="n">
        <v>0</v>
      </c>
    </row>
    <row r="9" customFormat="false" ht="15" hidden="false" customHeight="false" outlineLevel="0" collapsed="false">
      <c r="A9" s="15" t="s">
        <v>832</v>
      </c>
      <c r="B9" s="17" t="n">
        <v>4895734</v>
      </c>
    </row>
    <row r="11" customFormat="false" ht="15" hidden="false" customHeight="false" outlineLevel="0" collapsed="false">
      <c r="A11" s="2" t="s">
        <v>833</v>
      </c>
      <c r="B11" s="2"/>
      <c r="C11" s="2"/>
    </row>
    <row r="12" customFormat="false" ht="15" hidden="false" customHeight="false" outlineLevel="0" collapsed="false">
      <c r="A12" s="9" t="s">
        <v>66</v>
      </c>
      <c r="B12" s="9" t="s">
        <v>378</v>
      </c>
    </row>
    <row r="13" customFormat="false" ht="15" hidden="false" customHeight="false" outlineLevel="0" collapsed="false">
      <c r="A13" s="3" t="s">
        <v>834</v>
      </c>
      <c r="B13" s="12" t="n">
        <v>10290931</v>
      </c>
    </row>
    <row r="14" customFormat="false" ht="15" hidden="false" customHeight="false" outlineLevel="0" collapsed="false">
      <c r="A14" s="3" t="s">
        <v>78</v>
      </c>
      <c r="B14" s="12" t="n">
        <v>2010000</v>
      </c>
    </row>
    <row r="15" customFormat="false" ht="15" hidden="false" customHeight="false" outlineLevel="0" collapsed="false">
      <c r="A15" s="3" t="s">
        <v>835</v>
      </c>
      <c r="B15" s="12" t="n">
        <v>252000</v>
      </c>
    </row>
    <row r="16" customFormat="false" ht="15" hidden="false" customHeight="false" outlineLevel="0" collapsed="false">
      <c r="A16" s="3" t="s">
        <v>836</v>
      </c>
      <c r="B16" s="12" t="n">
        <v>303333</v>
      </c>
    </row>
    <row r="17" customFormat="false" ht="15" hidden="false" customHeight="false" outlineLevel="0" collapsed="false">
      <c r="A17" s="3" t="s">
        <v>837</v>
      </c>
      <c r="B17" s="12" t="n">
        <v>2174087</v>
      </c>
    </row>
    <row r="19" customFormat="false" ht="15" hidden="false" customHeight="false" outlineLevel="0" collapsed="false">
      <c r="A19" s="2" t="s">
        <v>838</v>
      </c>
      <c r="B19" s="2"/>
      <c r="C19" s="2"/>
    </row>
    <row r="20" customFormat="false" ht="15" hidden="false" customHeight="false" outlineLevel="0" collapsed="false">
      <c r="A20" s="9" t="s">
        <v>181</v>
      </c>
      <c r="B20" s="9" t="s">
        <v>378</v>
      </c>
      <c r="C20" s="9" t="s">
        <v>187</v>
      </c>
    </row>
    <row r="21" customFormat="false" ht="15" hidden="false" customHeight="false" outlineLevel="0" collapsed="false">
      <c r="A21" s="3" t="s">
        <v>699</v>
      </c>
      <c r="B21" s="12" t="n">
        <v>3596789</v>
      </c>
      <c r="C21" s="3" t="s">
        <v>839</v>
      </c>
    </row>
    <row r="22" customFormat="false" ht="15" hidden="false" customHeight="false" outlineLevel="0" collapsed="false">
      <c r="A22" s="3" t="s">
        <v>696</v>
      </c>
      <c r="B22" s="12" t="n">
        <v>576037</v>
      </c>
      <c r="C22" s="3" t="s">
        <v>840</v>
      </c>
    </row>
    <row r="23" customFormat="false" ht="15" hidden="false" customHeight="false" outlineLevel="0" collapsed="false">
      <c r="A23" s="3" t="s">
        <v>694</v>
      </c>
      <c r="B23" s="12" t="n">
        <v>450000</v>
      </c>
      <c r="C23" s="3" t="s">
        <v>841</v>
      </c>
    </row>
    <row r="24" customFormat="false" ht="15" hidden="false" customHeight="false" outlineLevel="0" collapsed="false">
      <c r="A24" s="3" t="s">
        <v>701</v>
      </c>
      <c r="B24" s="12" t="n">
        <v>420000</v>
      </c>
      <c r="C24" s="3" t="s">
        <v>840</v>
      </c>
    </row>
    <row r="25" customFormat="false" ht="15" hidden="false" customHeight="false" outlineLevel="0" collapsed="false">
      <c r="A25" s="3" t="s">
        <v>697</v>
      </c>
      <c r="B25" s="12" t="n">
        <v>0</v>
      </c>
      <c r="C25" s="3" t="s">
        <v>842</v>
      </c>
    </row>
    <row r="26" customFormat="false" ht="15" hidden="false" customHeight="false" outlineLevel="0" collapsed="false">
      <c r="A26" s="3" t="s">
        <v>843</v>
      </c>
      <c r="B26" s="12" t="n">
        <v>1699320</v>
      </c>
      <c r="C26" s="3" t="s">
        <v>687</v>
      </c>
    </row>
    <row r="27" customFormat="false" ht="15" hidden="false" customHeight="false" outlineLevel="0" collapsed="false">
      <c r="A27" s="3" t="s">
        <v>844</v>
      </c>
      <c r="B27" s="12" t="n">
        <v>821338</v>
      </c>
      <c r="C27" s="3" t="s">
        <v>687</v>
      </c>
    </row>
    <row r="28" customFormat="false" ht="15" hidden="false" customHeight="false" outlineLevel="0" collapsed="false">
      <c r="A28" s="3" t="s">
        <v>845</v>
      </c>
      <c r="B28" s="12" t="n">
        <v>508969</v>
      </c>
      <c r="C28" s="3" t="s">
        <v>846</v>
      </c>
    </row>
  </sheetData>
  <mergeCells count="5">
    <mergeCell ref="A1:C1"/>
    <mergeCell ref="A2:C2"/>
    <mergeCell ref="A4:C4"/>
    <mergeCell ref="A11:C11"/>
    <mergeCell ref="A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847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848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849</v>
      </c>
      <c r="C4" s="9" t="s">
        <v>850</v>
      </c>
      <c r="D4" s="9" t="s">
        <v>851</v>
      </c>
      <c r="E4" s="9" t="s">
        <v>852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853</v>
      </c>
      <c r="D5" s="38"/>
      <c r="E5" s="38"/>
      <c r="F5" s="3" t="s">
        <v>854</v>
      </c>
    </row>
    <row r="6" customFormat="false" ht="15" hidden="false" customHeight="false" outlineLevel="0" collapsed="false">
      <c r="A6" s="3" t="s">
        <v>855</v>
      </c>
      <c r="B6" s="12" t="n">
        <v>1275801</v>
      </c>
      <c r="C6" s="3" t="s">
        <v>856</v>
      </c>
      <c r="D6" s="34"/>
      <c r="E6" s="12" t="str">
        <f aca="false">IF(D6="","",B6-D6)</f>
        <v/>
      </c>
      <c r="F6" s="3" t="s">
        <v>857</v>
      </c>
    </row>
    <row r="7" customFormat="false" ht="15" hidden="false" customHeight="false" outlineLevel="0" collapsed="false">
      <c r="A7" s="40"/>
      <c r="B7" s="34"/>
      <c r="C7" s="40"/>
      <c r="D7" s="34"/>
      <c r="E7" s="12" t="str">
        <f aca="false">IF(OR(B7="",D7=""),"",B7-D7)</f>
        <v/>
      </c>
      <c r="F7" s="40"/>
    </row>
    <row r="8" customFormat="false" ht="15" hidden="false" customHeight="false" outlineLevel="0" collapsed="false">
      <c r="A8" s="40"/>
      <c r="B8" s="34"/>
      <c r="C8" s="40"/>
      <c r="D8" s="34"/>
      <c r="E8" s="12" t="str">
        <f aca="false">IF(OR(B8="",D8=""),"",B8-D8)</f>
        <v/>
      </c>
      <c r="F8" s="40"/>
    </row>
    <row r="9" customFormat="false" ht="15" hidden="false" customHeight="false" outlineLevel="0" collapsed="false">
      <c r="A9" s="40"/>
      <c r="B9" s="34"/>
      <c r="C9" s="40"/>
      <c r="D9" s="34"/>
      <c r="E9" s="12" t="str">
        <f aca="false">IF(OR(B9="",D9=""),"",B9-D9)</f>
        <v/>
      </c>
      <c r="F9" s="40"/>
    </row>
    <row r="10" customFormat="false" ht="15" hidden="false" customHeight="false" outlineLevel="0" collapsed="false">
      <c r="A10" s="40"/>
      <c r="B10" s="34"/>
      <c r="C10" s="40"/>
      <c r="D10" s="34"/>
      <c r="E10" s="12" t="str">
        <f aca="false">IF(OR(B10="",D10=""),"",B10-D10)</f>
        <v/>
      </c>
      <c r="F10" s="40"/>
    </row>
    <row r="11" customFormat="false" ht="15" hidden="false" customHeight="false" outlineLevel="0" collapsed="false">
      <c r="A11" s="40"/>
      <c r="B11" s="34"/>
      <c r="C11" s="40"/>
      <c r="D11" s="34"/>
      <c r="E11" s="12" t="str">
        <f aca="false">IF(OR(B11="",D11=""),"",B11-D11)</f>
        <v/>
      </c>
      <c r="F11" s="40"/>
    </row>
    <row r="12" customFormat="false" ht="15" hidden="false" customHeight="false" outlineLevel="0" collapsed="false">
      <c r="A12" s="40"/>
      <c r="B12" s="34"/>
      <c r="C12" s="40"/>
      <c r="D12" s="34"/>
      <c r="E12" s="12" t="str">
        <f aca="false">IF(OR(B12="",D12=""),"",B12-D12)</f>
        <v/>
      </c>
      <c r="F12" s="40"/>
    </row>
    <row r="13" customFormat="false" ht="15" hidden="false" customHeight="false" outlineLevel="0" collapsed="false">
      <c r="A13" s="40"/>
      <c r="B13" s="34"/>
      <c r="C13" s="40"/>
      <c r="D13" s="34"/>
      <c r="E13" s="12" t="str">
        <f aca="false">IF(OR(B13="",D13=""),"",B13-D13)</f>
        <v/>
      </c>
      <c r="F13" s="40"/>
    </row>
    <row r="14" customFormat="false" ht="15" hidden="false" customHeight="false" outlineLevel="0" collapsed="false">
      <c r="A14" s="40"/>
      <c r="B14" s="34"/>
      <c r="C14" s="40"/>
      <c r="D14" s="34"/>
      <c r="E14" s="12" t="str">
        <f aca="false">IF(OR(B14="",D14=""),"",B14-D14)</f>
        <v/>
      </c>
      <c r="F14" s="40"/>
    </row>
    <row r="15" customFormat="false" ht="15" hidden="false" customHeight="false" outlineLevel="0" collapsed="false">
      <c r="A15" s="40"/>
      <c r="B15" s="34"/>
      <c r="C15" s="40"/>
      <c r="D15" s="34"/>
      <c r="E15" s="12" t="str">
        <f aca="false">IF(OR(B15="",D15=""),"",B15-D15)</f>
        <v/>
      </c>
      <c r="F15" s="40"/>
    </row>
    <row r="16" customFormat="false" ht="15" hidden="false" customHeight="false" outlineLevel="0" collapsed="false">
      <c r="A16" s="40"/>
      <c r="B16" s="34"/>
      <c r="C16" s="40"/>
      <c r="D16" s="34"/>
      <c r="E16" s="12" t="str">
        <f aca="false">IF(OR(B16="",D16=""),"",B16-D16)</f>
        <v/>
      </c>
      <c r="F16" s="40"/>
    </row>
    <row r="17" customFormat="false" ht="15" hidden="false" customHeight="false" outlineLevel="0" collapsed="false">
      <c r="A17" s="40"/>
      <c r="B17" s="34"/>
      <c r="C17" s="40"/>
      <c r="D17" s="34"/>
      <c r="E17" s="12" t="str">
        <f aca="false">IF(OR(B17="",D17=""),"",B17-D17)</f>
        <v/>
      </c>
      <c r="F17" s="40"/>
    </row>
    <row r="18" customFormat="false" ht="15" hidden="false" customHeight="false" outlineLevel="0" collapsed="false">
      <c r="A18" s="40"/>
      <c r="B18" s="34"/>
      <c r="C18" s="40"/>
      <c r="D18" s="34"/>
      <c r="E18" s="12" t="str">
        <f aca="false">IF(OR(B18="",D18=""),"",B18-D18)</f>
        <v/>
      </c>
      <c r="F18" s="40"/>
    </row>
    <row r="19" customFormat="false" ht="15" hidden="false" customHeight="false" outlineLevel="0" collapsed="false">
      <c r="A19" s="40"/>
      <c r="B19" s="34"/>
      <c r="C19" s="40"/>
      <c r="D19" s="34"/>
      <c r="E19" s="12" t="str">
        <f aca="false">IF(OR(B19="",D19=""),"",B19-D19)</f>
        <v/>
      </c>
      <c r="F19" s="40"/>
    </row>
    <row r="20" customFormat="false" ht="15" hidden="false" customHeight="false" outlineLevel="0" collapsed="false">
      <c r="A20" s="40"/>
      <c r="B20" s="34"/>
      <c r="C20" s="40"/>
      <c r="D20" s="34"/>
      <c r="E20" s="12" t="str">
        <f aca="false">IF(OR(B20="",D20=""),"",B20-D20)</f>
        <v/>
      </c>
      <c r="F20" s="40"/>
    </row>
    <row r="21" customFormat="false" ht="15" hidden="false" customHeight="false" outlineLevel="0" collapsed="false">
      <c r="A21" s="40"/>
      <c r="B21" s="34"/>
      <c r="C21" s="40"/>
      <c r="D21" s="34"/>
      <c r="E21" s="12" t="str">
        <f aca="false">IF(OR(B21="",D21=""),"",B21-D21)</f>
        <v/>
      </c>
      <c r="F21" s="40"/>
    </row>
    <row r="22" customFormat="false" ht="15" hidden="false" customHeight="false" outlineLevel="0" collapsed="false">
      <c r="A22" s="40"/>
      <c r="B22" s="34"/>
      <c r="C22" s="40"/>
      <c r="D22" s="34"/>
      <c r="E22" s="12" t="str">
        <f aca="false">IF(OR(B22="",D22=""),"",B22-D22)</f>
        <v/>
      </c>
      <c r="F22" s="40"/>
    </row>
    <row r="23" customFormat="false" ht="15" hidden="false" customHeight="false" outlineLevel="0" collapsed="false">
      <c r="A23" s="40"/>
      <c r="B23" s="34"/>
      <c r="C23" s="40"/>
      <c r="D23" s="34"/>
      <c r="E23" s="12" t="str">
        <f aca="false">IF(OR(B23="",D23=""),"",B23-D23)</f>
        <v/>
      </c>
      <c r="F23" s="40"/>
    </row>
    <row r="24" customFormat="false" ht="15" hidden="false" customHeight="false" outlineLevel="0" collapsed="false">
      <c r="A24" s="40"/>
      <c r="B24" s="34"/>
      <c r="C24" s="40"/>
      <c r="D24" s="34"/>
      <c r="E24" s="12" t="str">
        <f aca="false">IF(OR(B24="",D24=""),"",B24-D24)</f>
        <v/>
      </c>
      <c r="F24" s="40"/>
    </row>
    <row r="25" customFormat="false" ht="15" hidden="false" customHeight="false" outlineLevel="0" collapsed="false">
      <c r="A25" s="40"/>
      <c r="B25" s="34"/>
      <c r="C25" s="40"/>
      <c r="D25" s="34"/>
      <c r="E25" s="12" t="str">
        <f aca="false">IF(OR(B25="",D25=""),"",B25-D25)</f>
        <v/>
      </c>
      <c r="F25" s="40"/>
    </row>
    <row r="26" customFormat="false" ht="15" hidden="false" customHeight="false" outlineLevel="0" collapsed="false">
      <c r="A26" s="40"/>
      <c r="B26" s="34"/>
      <c r="C26" s="40"/>
      <c r="D26" s="34"/>
      <c r="E26" s="12" t="str">
        <f aca="false">IF(OR(B26="",D26=""),"",B26-D26)</f>
        <v/>
      </c>
      <c r="F26" s="40"/>
    </row>
    <row r="27" customFormat="false" ht="15" hidden="false" customHeight="false" outlineLevel="0" collapsed="false">
      <c r="A27" s="40"/>
      <c r="B27" s="34"/>
      <c r="C27" s="40"/>
      <c r="D27" s="34"/>
      <c r="E27" s="12" t="str">
        <f aca="false">IF(OR(B27="",D27=""),"",B27-D27)</f>
        <v/>
      </c>
      <c r="F27" s="40"/>
    </row>
    <row r="28" customFormat="false" ht="15" hidden="false" customHeight="false" outlineLevel="0" collapsed="false">
      <c r="A28" s="40"/>
      <c r="B28" s="34"/>
      <c r="C28" s="40"/>
      <c r="D28" s="34"/>
      <c r="E28" s="12" t="str">
        <f aca="false">IF(OR(B28="",D28=""),"",B28-D28)</f>
        <v/>
      </c>
      <c r="F28" s="40"/>
    </row>
    <row r="29" customFormat="false" ht="15" hidden="false" customHeight="false" outlineLevel="0" collapsed="false">
      <c r="A29" s="40"/>
      <c r="B29" s="34"/>
      <c r="C29" s="40"/>
      <c r="D29" s="34"/>
      <c r="E29" s="12" t="str">
        <f aca="false">IF(OR(B29="",D29=""),"",B29-D29)</f>
        <v/>
      </c>
      <c r="F29" s="40"/>
    </row>
    <row r="30" customFormat="false" ht="15" hidden="false" customHeight="false" outlineLevel="0" collapsed="false">
      <c r="A30" s="40"/>
      <c r="B30" s="34"/>
      <c r="C30" s="40"/>
      <c r="D30" s="34"/>
      <c r="E30" s="12" t="str">
        <f aca="false">IF(OR(B30="",D30=""),"",B30-D30)</f>
        <v/>
      </c>
      <c r="F30" s="40"/>
    </row>
    <row r="31" customFormat="false" ht="15" hidden="false" customHeight="false" outlineLevel="0" collapsed="false">
      <c r="A31" s="40"/>
      <c r="B31" s="34"/>
      <c r="C31" s="40"/>
      <c r="D31" s="34"/>
      <c r="E31" s="12" t="str">
        <f aca="false">IF(OR(B31="",D31=""),"",B31-D31)</f>
        <v/>
      </c>
      <c r="F31" s="40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2026-08-06T04:11:10Z</dcterms:created>
  <dc:creator>openpyxl</dc:creator>
  <dc:description/>
  <dc:language>en-US</dc:language>
  <cp:lastModifiedBy/>
  <dcterms:modified xsi:type="dcterms:W3CDTF">2026-08-06T04:11:12Z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