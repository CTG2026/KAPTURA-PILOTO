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Bitácora_Saldo_Diari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<sst xmlns="http://schemas.openxmlformats.org/spreadsheetml/2006/main" count="2018" uniqueCount="643">
  <si>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</si>
  <si>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</si>
  <si>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</si>
  <si>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</si>
  <si>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</si>
  <si>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</si>
  <si>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</si>
  <si>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</si>
  <si>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</si>
  <si>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</si>
  <si>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</si>
  <si>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</si>
  <si>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</si>
  <si>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</si>
  <si>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</si>
  <si>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</si>
  <si>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</si>
  <si>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</si>
  <si>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</si>
  <si>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</si>
  <si>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</si>
  <si>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</si>
  <si>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</si>
  <si>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</si>
  <si>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</si>
  <si>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</si>
  <si>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</si>
  <si>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</si>
  <si>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</si>
  <si>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</si>
  <si>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</si>
  <si>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</si>
  <si>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</si>
  <si>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</si>
  <si>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</si>
  <si>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</si>
  <si>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</si>
  <si>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</si>
  <si>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</si>
  <si>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</si>
  <si>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</si>
  <si>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</si>
  <si>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</si>
  <si>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</si>
  <si>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</si>
  <si>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</si>
  <si>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</si>
  <si>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</si>
  <si>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</si>
  <si>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</si>
  <si>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</si>
  <si>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</si>
  <si>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</si>
  <si>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</si>
  <si>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</si>
  <si>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</si>
  <si>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</si>
  <si>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</si>
  <si>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</si>
  <si>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</si>
  <si>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</si>
  <si>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</si>
  <si>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</si>
  <si>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</si>
  <si>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</si>
  <si>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</si>
  <si>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</si>
  <si>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</si>
  <si>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</si>
  <si>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</si>
  <si>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</si>
  <si>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</si>
  <si>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</si>
  <si>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</si>
  <si>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</si>
  <si>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</si>
  <si>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</si>
  <si>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</si>
  <si>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</si>
  <si>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</si>
  <si>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</si>
  <si>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</si>
  <si>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</si>
  <si>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</si>
  <si>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</si>
  <si>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</si>
  <si>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</si>
  <si>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</si>
  <si>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</si>
  <si>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</si>
  <si>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</si>
  <si>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</si>
  <si>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</si>
  <si>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</si>
  <si>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</si>
  <si>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</si>
  <si>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</si>
  <si>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</si>
  <si>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</si>
  <si>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</si>
  <si>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</si>
  <si>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</si>
  <si>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</si>
  <si>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</si>
  <si>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</si>
  <si>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</si>
  <si>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</si>
  <si>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</si>
  <si>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</si>
  <si>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</si>
  <si>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</si>
  <si>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</si>
  <si>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</si>
  <si>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</si>
  <si>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</si>
  <si>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</si>
  <si>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</si>
  <si>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</si>
  <si>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</si>
  <si>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</si>
  <si>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</si>
  <si>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</si>
  <si>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</si>
  <si>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</si>
  <si>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</si>
  <si>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</si>
  <si>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</si>
  <si>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</si>
  <si>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</si>
  <si>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</si>
  <si>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</si>
  <si>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</si>
  <si>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</si>
  <si>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</si>
  <si>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</si>
  <si>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</si>
  <si>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</si>
  <si>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</si>
  <si>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</si>
  <si>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</si>
  <si>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</si>
  <si>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</si>
  <si>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</si>
  <si>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</si>
  <si>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</si>
  <si>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</si>
  <si>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</si>
  <si>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</si>
  <si>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</si>
  <si>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</si>
  <si>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</si>
  <si>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</si>
  <si>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</si>
  <si>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</si>
  <si>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</si>
  <si>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</si>
  <si>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</si>
  <si>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</si>
  <si>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</si>
  <si>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</si>
  <si>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</si>
  <si>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</si>
  <si>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</si>
  <si>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</si>
  <si>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</si>
  <si>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</si>
  <si>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</si>
  <si>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</si>
  <si>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</si>
  <si>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</si>
  <si>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</si>
  <si>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</si>
  <si>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</si>
  <si>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</si>
  <si>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</si>
  <si>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</si>
  <si>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</si>
  <si>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</si>
  <si>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</si>
  <si>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</si>
  <si>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</si>
  <si>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</si>
  <si>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</si>
  <si>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</si>
  <si>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</si>
  <si>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</si>
  <si>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</si>
  <si>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</si>
  <si>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</si>
  <si>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</si>
  <si>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</si>
  <si>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</si>
  <si>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</si>
  <si>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</si>
  <si>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</si>
  <si>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</si>
  <si>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</si>
  <si>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</si>
  <si>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</si>
  <si>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</si>
  <si>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</si>
  <si>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</si>
  <si>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</si>
  <si>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</si>
  <si>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</si>
  <si>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</si>
  <si>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</si>
  <si>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</si>
  <si>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</si>
  <si>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</si>
  <si>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</si>
  <si>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</si>
  <si>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</si>
  <si>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</si>
  <si>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</si>
  <si>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</si>
  <si>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</si>
  <si>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</si>
  <si>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</si>
  <si>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</si>
  <si>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</si>
  <si>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</si>
  <si>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</si>
  <si>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</si>
  <si>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</si>
  <si>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</si>
  <si>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</si>
  <si>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</si>
  <si>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</si>
  <si>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</si>
  <si>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</si>
  <si>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</si>
  <si>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</si>
  <si>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</si>
  <si>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</si>
  <si>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</si>
  <si>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</si>
  <si>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</si>
  <si>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</si>
  <si>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</si>
  <si>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</si>
  <si>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</si>
  <si>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</si>
  <si>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</si>
  <si>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</si>
  <si>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</si>
  <si>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</si>
  <si>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</si>
  <si>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</si>
  <si>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</si>
  <si>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</si>
  <si>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</si>
  <si>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</si>
  <si>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</si>
  <si>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</si>
  <si>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</si>
  <si>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</si>
  <si>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</si>
  <si>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</si>
  <si>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</si>
  <si>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</si>
  <si>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</si>
  <si>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</si>
  <si>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</si>
  <si>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</si>
  <si>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</si>
  <si>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</si>
  <si>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</si>
  <si>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</si>
  <si>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</si>
  <si>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</si>
  <si>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</si>
  <si>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</si>
  <si>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</si>
  <si>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</si>
  <si>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</si>
  <si>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</si>
  <si>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</si>
  <si>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</si>
  <si>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</si>
  <si>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</si>
  <si>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</si>
  <si>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</si>
  <si>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</si>
  <si>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</si>
  <si>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</si>
  <si>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</si>
  <si>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</si>
  <si>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</si>
  <si>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</si>
  <si>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</si>
  <si>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</si>
  <si>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</si>
  <si>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</si>
  <si>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</si>
  <si>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</si>
  <si>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</si>
  <si>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</si>
  <si>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</si>
  <si>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</si>
  <si>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</si>
  <si>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</si>
  <si>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</si>
  <si>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</si>
  <si>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</si>
  <si>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</si>
  <si>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</si>
  <si>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</si>
  <si>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</si>
  <si>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</si>
  <si>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</si>
  <si>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</si>
  <si>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</si>
  <si>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</si>
  <si>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</si>
  <si>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</si>
  <si>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</si>
  <si>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</si>
  <si>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</si>
  <si>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</si>
  <si>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</si>
  <si>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</si>
  <si>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</si>
  <si>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</si>
  <si>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</si>
  <si>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</si>
  <si>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</si>
  <si>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</si>
  <si>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</si>
  <si>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</si>
  <si>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</si>
  <si>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</si>
  <si>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</si>
  <si>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</si>
  <si>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</si>
  <si>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</si>
  <si>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</si>
  <si>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</si>
  <si>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</si>
  <si>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</si>
  <si>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</si>
  <si>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</si>
  <si>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</si>
  <si>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</si>
  <si>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</si>
  <si>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</si>
  <si>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</si>
  <si>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</si>
  <si>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</si>
  <si>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</si>
  <si>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</si>
  <si>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</si>
  <si>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</si>
  <si>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</si>
  <si>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</si>
  <si>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</si>
  <si>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</si>
  <si>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</si>
  <si>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</si>
  <si>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</si>
  <si>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</si>
  <si>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</si>
  <si>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</si>
  <si>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</si>
  <si>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</si>
  <si>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</si>
  <si>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</si>
  <si>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</si>
  <si>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</si>
  <si>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</si>
  <si>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</si>
  <si>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</si>
  <si>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</si>
  <si>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</si>
  <si>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</si>
  <si>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</si>
  <si>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</si>
  <si>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</si>
  <si>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</si>
  <si>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</si>
  <si>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</si>
  <si>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</si>
  <si>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</si>
  <si>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</si>
  <si>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</si>
  <si>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</si>
  <si>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</si>
  <si>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</si>
  <si>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</si>
  <si>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</si>
  <si>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</si>
  <si>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</si>
  <si>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</si>
  <si>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</si>
  <si>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</si>
  <si>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</si>
  <si>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</si>
  <si>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</si>
  <si>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</si>
  <si>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</si>
  <si>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</si>
  <si>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</si>
  <si>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</si>
  <si>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</si>
  <si>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</si>
  <si>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</si>
  <si>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</si>
  <si>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</si>
  <si>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</si>
  <si>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</si>
  <si>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</si>
  <si>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</si>
  <si>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</si>
  <si>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</si>
  <si>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</si>
  <si>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</si>
  <si>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</si>
  <si>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</si>
  <si>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</si>
  <si>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</si>
  <si>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</si>
  <si>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</si>
  <si>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</si>
  <si>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</si>
  <si>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</si>
  <si>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</si>
  <si>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</si>
  <si>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</si>
  <si>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</si>
  <si>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</si>
  <si>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</si>
  <si>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N°3 al 30-07-2026)</t>
  </si>
  <si>
    <t xml:space="preserve">Fuente: Cartola provisoria (30/06 al 30/07/2026, 140 movimientos) + RCV Compra/Venta SII período 202607. Mes prácticamente cerrado (falta 1 día hábil), repetir con la cartola de cierre definitivo.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</si>
  <si>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</si>
  <si>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</si>
  <si>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</si>
  <si>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</si>
  <si>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</si>
  <si>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</si>
  <si>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</si>
  <si>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</si>
  <si>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</si>
  <si>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</si>
  <si>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</si>
  <si>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</si>
  <si>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</si>
  <si>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</si>
  <si>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</si>
  <si>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</si>
  <si>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Identificado: 1 de 7 ($440,300 de $9,912,224)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</si>
  <si>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</si>
  <si>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</si>
  <si>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</si>
  <si>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</si>
  <si>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</si>
  <si>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</si>
  <si>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</si>
  <si>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</si>
  <si>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</si>
  <si>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</si>
  <si>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</si>
  <si>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</si>
  <si>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</si>
  <si>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</si>
  <si>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</si>
  <si>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</si>
  <si>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</si>
  <si>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</si>
  <si>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</si>
  <si>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</si>
  <si>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</si>
  <si>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</si>
  <si>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</si>
  <si>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</si>
  <si>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</si>
  <si>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</si>
  <si>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</si>
  <si>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</si>
  <si>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</si>
  <si>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</si>
  <si>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</si>
  <si>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</si>
  <si>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</si>
  <si>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</si>
  <si>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</si>
  <si>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</si>
  <si>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</si>
  <si>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</si>
  <si>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</si>
  <si>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</si>
  <si>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</si>
  <si>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</si>
  <si>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</si>
  <si>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</si>
  <si>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</si>
  <si>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</si>
  <si>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</si>
  <si>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</si>
  <si>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</si>
  <si>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</si>
  <si>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</si>
  <si>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</si>
  <si>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</si>
  <si>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</si>
  <si>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</si>
  <si>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</si>
  <si>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</si>
  <si>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</si>
  <si>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</si>
  <si>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</si>
  <si>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</si>
  <si>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</si>
  <si>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</si>
  <si>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</si>
  <si>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</si>
  <si>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</si>
  <si>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</si>
  <si>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</si>
  <si>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</si>
  <si>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</si>
  <si>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</si>
  <si>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</si>
  <si>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</si>
  <si>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</si>
  <si>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</si>
  <si>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</si>
  <si>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</si>
  <si>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</si>
  <si>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</si>
  <si>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</si>
  <si>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</si>
  <si>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</si>
  <si>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</si>
  <si>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</si>
  <si>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</si>
  <si>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</si>
  <si>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</si>
  <si>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</si>
  <si>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</si>
  <si>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</si>
  <si>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</si>
  <si>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</si>
  <si>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</si>
  <si>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</si>
  <si>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</si>
  <si>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</si>
  <si>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</si>
  <si>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</si>
  <si>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</si>
  <si>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</si>
  <si>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</si>
  <si>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</si>
  <si>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</si>
  <si>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</si>
  <si>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</si>
  <si>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</si>
  <si>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</si>
  <si>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</si>
  <si>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</si>
  <si>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</si>
  <si>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</si>
  <si>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</si>
  <si>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</si>
  <si>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</si>
  <si>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</si>
  <si>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</si>
  <si>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</si>
  <si>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</si>
  <si>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</si>
  <si>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</si>
  <si>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</si>
  <si>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COMERCIAL RIHE LTDA</t>
  </si>
  <si>
    <t xml:space="preserve">6767525</t>
  </si>
  <si>
    <t xml:space="preserve">9363</t>
  </si>
  <si>
    <t xml:space="preserve">Cargo cartola 27-07-2026 — GUILLERMO TOBIAS MOLIN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</si>
  <si>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</si>
  <si>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</si>
  <si>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</si>
  <si>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</si>
  <si>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</si>
  <si>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20435</t>
  </si>
  <si>
    <t xml:space="preserve">Identificado: 39 de 65 ($8,246,910)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</si>
  <si>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</si>
  <si>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</si>
  <si>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</si>
  <si>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</si>
  <si>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</si>
  <si>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</si>
  <si>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</si>
  <si>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COMERCIAL RIHE LTDA</t>
  </si>
  <si>
    <t xml:space="preserve">EL PALACIO DEL POROTO</t>
  </si>
  <si>
    <t xml:space="preserve">0761971018 Transf. Financia Capita</t>
  </si>
  <si>
    <t xml:space="preserve">PAGO EN LINEA ESMAX</t>
  </si>
  <si>
    <t xml:space="preserve">PAGO EN LINEA S.I.I.</t>
  </si>
  <si>
    <t xml:space="preserve">RedGloba*PCY LTDA</t>
  </si>
  <si>
    <t xml:space="preserve">Compra Nacional MD PROSERCOM SPA</t>
  </si>
  <si>
    <t xml:space="preserve">Compra Nacional MD VULKO</t>
  </si>
  <si>
    <t xml:space="preserve">0771337724 PAGO PROVEEDOR Agricol</t>
  </si>
  <si>
    <t xml:space="preserve">MERCADOPAGO *ELECTROS</t>
  </si>
  <si>
    <t xml:space="preserve">0140569097 Transf. ANDREA CLEMENTI</t>
  </si>
  <si>
    <t xml:space="preserve">GUILLERMO TOBIAS MOLIN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</si>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</sst>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218</v>
      </c>
      <c r="B12" s="3" t="s">
        <v>195</v>
      </c>
      <c r="C12" s="3" t="s">
        <v>435</v>
      </c>
      <c r="D12" s="12" t="n">
        <v>370000</v>
      </c>
      <c r="E12" s="12" t="n">
        <v>70300</v>
      </c>
      <c r="F12" s="12" t="n">
        <v>440300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18" t="s">
        <v>223</v>
      </c>
      <c r="F13" s="14" t="n">
        <v>9912224</v>
      </c>
      <c r="G13" s="29" t="s">
        <v>449</v>
      </c>
    </row>
    <row r="15" customFormat="false" ht="15" hidden="false" customHeight="false" outlineLevel="0" collapsed="false">
      <c r="A15" s="2" t="s">
        <v>225</v>
      </c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9" t="s">
        <v>226</v>
      </c>
      <c r="B16" s="9" t="s">
        <v>182</v>
      </c>
      <c r="C16" s="9" t="s">
        <v>183</v>
      </c>
      <c r="D16" s="9" t="s">
        <v>184</v>
      </c>
      <c r="E16" s="9" t="s">
        <v>185</v>
      </c>
      <c r="F16" s="9" t="s">
        <v>186</v>
      </c>
      <c r="G16" s="9" t="s">
        <v>187</v>
      </c>
      <c r="H16" s="9" t="s">
        <v>188</v>
      </c>
    </row>
    <row r="17" customFormat="false" ht="15" hidden="false" customHeight="false" outlineLevel="0" collapsed="false">
      <c r="A17" s="3" t="s">
        <v>450</v>
      </c>
      <c r="B17" s="3" t="s">
        <v>451</v>
      </c>
      <c r="C17" s="3" t="s">
        <v>435</v>
      </c>
      <c r="D17" s="12" t="n">
        <v>17017</v>
      </c>
      <c r="E17" s="12" t="n">
        <v>3233</v>
      </c>
      <c r="F17" s="12" t="n">
        <v>20250</v>
      </c>
      <c r="G17" s="3" t="s">
        <v>197</v>
      </c>
      <c r="H17" s="3" t="s">
        <v>235</v>
      </c>
    </row>
    <row r="18" customFormat="false" ht="15" hidden="false" customHeight="false" outlineLevel="0" collapsed="false">
      <c r="A18" s="3" t="s">
        <v>450</v>
      </c>
      <c r="B18" s="3" t="s">
        <v>452</v>
      </c>
      <c r="C18" s="3" t="s">
        <v>435</v>
      </c>
      <c r="D18" s="12" t="n">
        <v>10168</v>
      </c>
      <c r="E18" s="12" t="n">
        <v>1932</v>
      </c>
      <c r="F18" s="12" t="n">
        <v>12100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227</v>
      </c>
      <c r="B19" s="3" t="s">
        <v>453</v>
      </c>
      <c r="C19" s="3" t="s">
        <v>435</v>
      </c>
      <c r="D19" s="12" t="n">
        <v>892481</v>
      </c>
      <c r="E19" s="12" t="n">
        <v>169572</v>
      </c>
      <c r="F19" s="12" t="n">
        <v>1300000</v>
      </c>
      <c r="G19" s="3" t="s">
        <v>230</v>
      </c>
      <c r="H19" s="3" t="s">
        <v>454</v>
      </c>
    </row>
    <row r="20" customFormat="false" ht="15" hidden="false" customHeight="false" outlineLevel="0" collapsed="false">
      <c r="A20" s="3" t="s">
        <v>455</v>
      </c>
      <c r="B20" s="3" t="s">
        <v>456</v>
      </c>
      <c r="C20" s="3" t="s">
        <v>457</v>
      </c>
      <c r="D20" s="12" t="n">
        <v>25210</v>
      </c>
      <c r="E20" s="12" t="n">
        <v>4790</v>
      </c>
      <c r="F20" s="12" t="n">
        <v>30000</v>
      </c>
      <c r="G20" s="3" t="s">
        <v>230</v>
      </c>
      <c r="H20" s="3" t="s">
        <v>458</v>
      </c>
    </row>
    <row r="21" customFormat="false" ht="15" hidden="false" customHeight="false" outlineLevel="0" collapsed="false">
      <c r="A21" s="3" t="s">
        <v>232</v>
      </c>
      <c r="B21" s="3" t="s">
        <v>459</v>
      </c>
      <c r="C21" s="3" t="s">
        <v>457</v>
      </c>
      <c r="D21" s="12" t="n">
        <v>19061</v>
      </c>
      <c r="E21" s="12" t="n">
        <v>3622</v>
      </c>
      <c r="F21" s="12" t="n">
        <v>22683</v>
      </c>
      <c r="G21" s="3" t="s">
        <v>197</v>
      </c>
      <c r="H21" s="3" t="s">
        <v>235</v>
      </c>
    </row>
    <row r="22" customFormat="false" ht="15" hidden="false" customHeight="false" outlineLevel="0" collapsed="false">
      <c r="A22" s="3" t="s">
        <v>309</v>
      </c>
      <c r="B22" s="3" t="s">
        <v>460</v>
      </c>
      <c r="C22" s="3" t="s">
        <v>457</v>
      </c>
      <c r="D22" s="12" t="n">
        <v>251770</v>
      </c>
      <c r="E22" s="12" t="n">
        <v>47836</v>
      </c>
      <c r="F22" s="12" t="n">
        <v>299606</v>
      </c>
      <c r="G22" s="3" t="s">
        <v>230</v>
      </c>
      <c r="H22" s="3" t="s">
        <v>461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457</v>
      </c>
      <c r="D23" s="12" t="n">
        <v>18674</v>
      </c>
      <c r="E23" s="12" t="n">
        <v>3548</v>
      </c>
      <c r="F23" s="12" t="n">
        <v>22222</v>
      </c>
      <c r="G23" s="3" t="s">
        <v>197</v>
      </c>
      <c r="H23" s="3" t="s">
        <v>235</v>
      </c>
    </row>
    <row r="24" customFormat="false" ht="15" hidden="false" customHeight="false" outlineLevel="0" collapsed="false">
      <c r="A24" s="3" t="s">
        <v>265</v>
      </c>
      <c r="B24" s="3" t="s">
        <v>463</v>
      </c>
      <c r="C24" s="3" t="s">
        <v>457</v>
      </c>
      <c r="D24" s="12" t="n">
        <v>77600</v>
      </c>
      <c r="E24" s="12" t="n">
        <v>14744</v>
      </c>
      <c r="F24" s="12" t="n">
        <v>92344</v>
      </c>
      <c r="G24" s="3" t="s">
        <v>230</v>
      </c>
      <c r="H24" s="3" t="s">
        <v>464</v>
      </c>
    </row>
    <row r="25" customFormat="false" ht="15" hidden="false" customHeight="false" outlineLevel="0" collapsed="false">
      <c r="A25" s="3" t="s">
        <v>267</v>
      </c>
      <c r="B25" s="3" t="s">
        <v>465</v>
      </c>
      <c r="C25" s="3" t="s">
        <v>457</v>
      </c>
      <c r="D25" s="12" t="n">
        <v>15109</v>
      </c>
      <c r="E25" s="12" t="n">
        <v>2871</v>
      </c>
      <c r="F25" s="12" t="n">
        <v>17980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467</v>
      </c>
      <c r="B26" s="3" t="s">
        <v>468</v>
      </c>
      <c r="C26" s="3" t="s">
        <v>457</v>
      </c>
      <c r="D26" s="12" t="n">
        <v>66387</v>
      </c>
      <c r="E26" s="12" t="n">
        <v>12614</v>
      </c>
      <c r="F26" s="12" t="n">
        <v>79001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256</v>
      </c>
      <c r="B27" s="3" t="s">
        <v>469</v>
      </c>
      <c r="C27" s="3" t="s">
        <v>457</v>
      </c>
      <c r="D27" s="12" t="n">
        <v>8403</v>
      </c>
      <c r="E27" s="12" t="n">
        <v>1597</v>
      </c>
      <c r="F27" s="12" t="n">
        <v>10000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470</v>
      </c>
      <c r="C28" s="3" t="s">
        <v>471</v>
      </c>
      <c r="D28" s="12" t="n">
        <v>29418</v>
      </c>
      <c r="E28" s="12" t="n">
        <v>5590</v>
      </c>
      <c r="F28" s="12" t="n">
        <v>41580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471</v>
      </c>
      <c r="D29" s="12" t="n">
        <v>33298</v>
      </c>
      <c r="E29" s="12" t="n">
        <v>6327</v>
      </c>
      <c r="F29" s="12" t="n">
        <v>50000</v>
      </c>
      <c r="G29" s="3" t="s">
        <v>230</v>
      </c>
      <c r="H29" s="3" t="s">
        <v>473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475</v>
      </c>
      <c r="D30" s="12" t="n">
        <v>8403</v>
      </c>
      <c r="E30" s="12" t="n">
        <v>1597</v>
      </c>
      <c r="F30" s="12" t="n">
        <v>10000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476</v>
      </c>
      <c r="C31" s="3" t="s">
        <v>477</v>
      </c>
      <c r="D31" s="12" t="n">
        <v>17771</v>
      </c>
      <c r="E31" s="12" t="n">
        <v>3376</v>
      </c>
      <c r="F31" s="12" t="n">
        <v>21147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293</v>
      </c>
      <c r="B32" s="3" t="s">
        <v>478</v>
      </c>
      <c r="C32" s="3" t="s">
        <v>479</v>
      </c>
      <c r="D32" s="12" t="n">
        <v>30470</v>
      </c>
      <c r="E32" s="12" t="n">
        <v>5789</v>
      </c>
      <c r="F32" s="12" t="n">
        <v>36259</v>
      </c>
      <c r="G32" s="3" t="s">
        <v>230</v>
      </c>
      <c r="H32" s="3" t="s">
        <v>480</v>
      </c>
    </row>
    <row r="33" customFormat="false" ht="15" hidden="false" customHeight="false" outlineLevel="0" collapsed="false">
      <c r="A33" s="3" t="s">
        <v>309</v>
      </c>
      <c r="B33" s="3" t="s">
        <v>481</v>
      </c>
      <c r="C33" s="3" t="s">
        <v>479</v>
      </c>
      <c r="D33" s="12" t="n">
        <v>40516</v>
      </c>
      <c r="E33" s="12" t="n">
        <v>7698</v>
      </c>
      <c r="F33" s="12" t="n">
        <v>48214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309</v>
      </c>
      <c r="B34" s="3" t="s">
        <v>482</v>
      </c>
      <c r="C34" s="3" t="s">
        <v>479</v>
      </c>
      <c r="D34" s="12" t="n">
        <v>12480</v>
      </c>
      <c r="E34" s="12" t="n">
        <v>2371</v>
      </c>
      <c r="F34" s="12" t="n">
        <v>14851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256</v>
      </c>
      <c r="B35" s="3" t="s">
        <v>483</v>
      </c>
      <c r="C35" s="3" t="s">
        <v>479</v>
      </c>
      <c r="D35" s="12" t="n">
        <v>33097</v>
      </c>
      <c r="E35" s="12" t="n">
        <v>6289</v>
      </c>
      <c r="F35" s="12" t="n">
        <v>50000</v>
      </c>
      <c r="G35" s="3" t="s">
        <v>230</v>
      </c>
      <c r="H35" s="3" t="s">
        <v>484</v>
      </c>
    </row>
    <row r="36" customFormat="false" ht="15" hidden="false" customHeight="false" outlineLevel="0" collapsed="false">
      <c r="A36" s="3" t="s">
        <v>485</v>
      </c>
      <c r="B36" s="3" t="s">
        <v>486</v>
      </c>
      <c r="C36" s="3" t="s">
        <v>479</v>
      </c>
      <c r="D36" s="12" t="n">
        <v>74011</v>
      </c>
      <c r="E36" s="12" t="n">
        <v>14062</v>
      </c>
      <c r="F36" s="12" t="n">
        <v>88073</v>
      </c>
      <c r="G36" s="3" t="s">
        <v>230</v>
      </c>
      <c r="H36" s="3" t="s">
        <v>487</v>
      </c>
    </row>
    <row r="37" customFormat="false" ht="15" hidden="false" customHeight="false" outlineLevel="0" collapsed="false">
      <c r="A37" s="3" t="s">
        <v>267</v>
      </c>
      <c r="B37" s="3" t="s">
        <v>488</v>
      </c>
      <c r="C37" s="3" t="s">
        <v>489</v>
      </c>
      <c r="D37" s="12" t="n">
        <v>65538</v>
      </c>
      <c r="E37" s="12" t="n">
        <v>12452</v>
      </c>
      <c r="F37" s="12" t="n">
        <v>77990</v>
      </c>
      <c r="G37" s="3" t="s">
        <v>230</v>
      </c>
      <c r="H37" s="3" t="s">
        <v>490</v>
      </c>
    </row>
    <row r="38" customFormat="false" ht="15" hidden="false" customHeight="false" outlineLevel="0" collapsed="false">
      <c r="A38" s="3" t="s">
        <v>232</v>
      </c>
      <c r="B38" s="3" t="s">
        <v>491</v>
      </c>
      <c r="C38" s="3" t="s">
        <v>489</v>
      </c>
      <c r="D38" s="12" t="n">
        <v>11904</v>
      </c>
      <c r="E38" s="12" t="n">
        <v>2262</v>
      </c>
      <c r="F38" s="12" t="n">
        <v>14166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256</v>
      </c>
      <c r="B39" s="3" t="s">
        <v>492</v>
      </c>
      <c r="C39" s="3" t="s">
        <v>493</v>
      </c>
      <c r="D39" s="12" t="n">
        <v>37951</v>
      </c>
      <c r="E39" s="12" t="n">
        <v>7211</v>
      </c>
      <c r="F39" s="12" t="n">
        <v>50000</v>
      </c>
      <c r="G39" s="3" t="s">
        <v>230</v>
      </c>
      <c r="H39" s="3" t="s">
        <v>494</v>
      </c>
    </row>
    <row r="40" customFormat="false" ht="15" hidden="false" customHeight="false" outlineLevel="0" collapsed="false">
      <c r="A40" s="3" t="s">
        <v>232</v>
      </c>
      <c r="B40" s="3" t="s">
        <v>495</v>
      </c>
      <c r="C40" s="3" t="s">
        <v>496</v>
      </c>
      <c r="D40" s="12" t="n">
        <v>189112</v>
      </c>
      <c r="E40" s="12" t="n">
        <v>35931</v>
      </c>
      <c r="F40" s="12" t="n">
        <v>225043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336</v>
      </c>
      <c r="B41" s="3" t="s">
        <v>497</v>
      </c>
      <c r="C41" s="3" t="s">
        <v>493</v>
      </c>
      <c r="D41" s="12" t="n">
        <v>22771</v>
      </c>
      <c r="E41" s="12" t="n">
        <v>4326</v>
      </c>
      <c r="F41" s="12" t="n">
        <v>30000</v>
      </c>
      <c r="G41" s="3" t="s">
        <v>230</v>
      </c>
      <c r="H41" s="3" t="s">
        <v>498</v>
      </c>
    </row>
    <row r="42" customFormat="false" ht="15" hidden="false" customHeight="false" outlineLevel="0" collapsed="false">
      <c r="A42" s="3" t="s">
        <v>227</v>
      </c>
      <c r="B42" s="3" t="s">
        <v>499</v>
      </c>
      <c r="C42" s="3" t="s">
        <v>500</v>
      </c>
      <c r="D42" s="12" t="n">
        <v>759419</v>
      </c>
      <c r="E42" s="12" t="n">
        <v>144289</v>
      </c>
      <c r="F42" s="12" t="n">
        <v>1000000</v>
      </c>
      <c r="G42" s="3" t="s">
        <v>230</v>
      </c>
      <c r="H42" s="3" t="s">
        <v>501</v>
      </c>
    </row>
    <row r="43" customFormat="false" ht="15" hidden="false" customHeight="false" outlineLevel="0" collapsed="false">
      <c r="A43" s="3" t="s">
        <v>243</v>
      </c>
      <c r="B43" s="3" t="s">
        <v>502</v>
      </c>
      <c r="C43" s="3" t="s">
        <v>503</v>
      </c>
      <c r="D43" s="12" t="n">
        <v>536255</v>
      </c>
      <c r="E43" s="12" t="n">
        <v>101889</v>
      </c>
      <c r="F43" s="12" t="n">
        <v>638144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256</v>
      </c>
      <c r="B44" s="3" t="s">
        <v>504</v>
      </c>
      <c r="C44" s="3" t="s">
        <v>503</v>
      </c>
      <c r="D44" s="12" t="n">
        <v>8403</v>
      </c>
      <c r="E44" s="12" t="n">
        <v>1597</v>
      </c>
      <c r="F44" s="12" t="n">
        <v>10000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505</v>
      </c>
      <c r="B45" s="3" t="s">
        <v>506</v>
      </c>
      <c r="C45" s="3" t="s">
        <v>507</v>
      </c>
      <c r="D45" s="12" t="n">
        <v>70000</v>
      </c>
      <c r="E45" s="12" t="n">
        <v>13300</v>
      </c>
      <c r="F45" s="12" t="n">
        <v>83300</v>
      </c>
      <c r="G45" s="3" t="s">
        <v>230</v>
      </c>
      <c r="H45" s="3" t="s">
        <v>508</v>
      </c>
    </row>
    <row r="46" customFormat="false" ht="15" hidden="false" customHeight="false" outlineLevel="0" collapsed="false">
      <c r="A46" s="3" t="s">
        <v>256</v>
      </c>
      <c r="B46" s="3" t="s">
        <v>509</v>
      </c>
      <c r="C46" s="3" t="s">
        <v>507</v>
      </c>
      <c r="D46" s="12" t="n">
        <v>75752</v>
      </c>
      <c r="E46" s="12" t="n">
        <v>14393</v>
      </c>
      <c r="F46" s="12" t="n">
        <v>100000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232</v>
      </c>
      <c r="B47" s="3" t="s">
        <v>511</v>
      </c>
      <c r="C47" s="3" t="s">
        <v>438</v>
      </c>
      <c r="D47" s="12" t="n">
        <v>63436</v>
      </c>
      <c r="E47" s="12" t="n">
        <v>12053</v>
      </c>
      <c r="F47" s="12" t="n">
        <v>75489</v>
      </c>
      <c r="G47" s="3" t="s">
        <v>197</v>
      </c>
      <c r="H47" s="3" t="s">
        <v>235</v>
      </c>
    </row>
    <row r="48" customFormat="false" ht="15" hidden="false" customHeight="false" outlineLevel="0" collapsed="false">
      <c r="A48" s="3" t="s">
        <v>232</v>
      </c>
      <c r="B48" s="3" t="s">
        <v>512</v>
      </c>
      <c r="C48" s="3" t="s">
        <v>513</v>
      </c>
      <c r="D48" s="12" t="n">
        <v>44266</v>
      </c>
      <c r="E48" s="12" t="n">
        <v>8411</v>
      </c>
      <c r="F48" s="12" t="n">
        <v>52677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336</v>
      </c>
      <c r="B49" s="3" t="s">
        <v>514</v>
      </c>
      <c r="C49" s="3" t="s">
        <v>513</v>
      </c>
      <c r="D49" s="12" t="n">
        <v>16347</v>
      </c>
      <c r="E49" s="12" t="n">
        <v>2798</v>
      </c>
      <c r="F49" s="12" t="n">
        <v>19145</v>
      </c>
      <c r="G49" s="3" t="s">
        <v>230</v>
      </c>
      <c r="H49" s="3" t="s">
        <v>515</v>
      </c>
    </row>
    <row r="50" customFormat="false" ht="15" hidden="false" customHeight="false" outlineLevel="0" collapsed="false">
      <c r="A50" s="3" t="s">
        <v>236</v>
      </c>
      <c r="B50" s="3" t="s">
        <v>516</v>
      </c>
      <c r="C50" s="3" t="s">
        <v>517</v>
      </c>
      <c r="D50" s="12" t="n">
        <v>37807</v>
      </c>
      <c r="E50" s="12" t="n">
        <v>7183</v>
      </c>
      <c r="F50" s="12" t="n">
        <v>44990</v>
      </c>
      <c r="G50" s="3" t="s">
        <v>197</v>
      </c>
      <c r="H50" s="3" t="s">
        <v>235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517</v>
      </c>
      <c r="D51" s="12" t="n">
        <v>18977</v>
      </c>
      <c r="E51" s="12" t="n">
        <v>3606</v>
      </c>
      <c r="F51" s="12" t="n">
        <v>22583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227</v>
      </c>
      <c r="B52" s="3" t="s">
        <v>519</v>
      </c>
      <c r="C52" s="3" t="s">
        <v>520</v>
      </c>
      <c r="D52" s="12" t="n">
        <v>811375</v>
      </c>
      <c r="E52" s="12" t="n">
        <v>154161</v>
      </c>
      <c r="F52" s="12" t="n">
        <v>1000000</v>
      </c>
      <c r="G52" s="3" t="s">
        <v>230</v>
      </c>
      <c r="H52" s="3" t="s">
        <v>521</v>
      </c>
    </row>
    <row r="53" customFormat="false" ht="15" hidden="false" customHeight="false" outlineLevel="0" collapsed="false">
      <c r="A53" s="3" t="s">
        <v>522</v>
      </c>
      <c r="B53" s="3" t="s">
        <v>523</v>
      </c>
      <c r="C53" s="3" t="s">
        <v>520</v>
      </c>
      <c r="D53" s="12" t="n">
        <v>983773</v>
      </c>
      <c r="E53" s="12" t="n">
        <v>186918</v>
      </c>
      <c r="F53" s="12" t="n">
        <v>1170691</v>
      </c>
      <c r="G53" s="3" t="s">
        <v>197</v>
      </c>
      <c r="H53" s="3" t="s">
        <v>235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520</v>
      </c>
      <c r="D54" s="12" t="n">
        <v>21008</v>
      </c>
      <c r="E54" s="12" t="n">
        <v>3992</v>
      </c>
      <c r="F54" s="12" t="n">
        <v>25000</v>
      </c>
      <c r="G54" s="3" t="s">
        <v>230</v>
      </c>
      <c r="H54" s="3" t="s">
        <v>526</v>
      </c>
    </row>
    <row r="55" customFormat="false" ht="15" hidden="false" customHeight="false" outlineLevel="0" collapsed="false">
      <c r="A55" s="3" t="s">
        <v>256</v>
      </c>
      <c r="B55" s="3" t="s">
        <v>527</v>
      </c>
      <c r="C55" s="3" t="s">
        <v>520</v>
      </c>
      <c r="D55" s="12" t="n">
        <v>12605</v>
      </c>
      <c r="E55" s="12" t="n">
        <v>2395</v>
      </c>
      <c r="F55" s="12" t="n">
        <v>15000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227</v>
      </c>
      <c r="B56" s="3" t="s">
        <v>529</v>
      </c>
      <c r="C56" s="3" t="s">
        <v>530</v>
      </c>
      <c r="D56" s="12" t="n">
        <v>121706</v>
      </c>
      <c r="E56" s="12" t="n">
        <v>23124</v>
      </c>
      <c r="F56" s="12" t="n">
        <v>150000</v>
      </c>
      <c r="G56" s="3" t="s">
        <v>230</v>
      </c>
      <c r="H56" s="3" t="s">
        <v>531</v>
      </c>
    </row>
    <row r="57" customFormat="false" ht="15" hidden="false" customHeight="false" outlineLevel="0" collapsed="false">
      <c r="A57" s="3" t="s">
        <v>227</v>
      </c>
      <c r="B57" s="3" t="s">
        <v>532</v>
      </c>
      <c r="C57" s="3" t="s">
        <v>530</v>
      </c>
      <c r="D57" s="12" t="n">
        <v>129820</v>
      </c>
      <c r="E57" s="12" t="n">
        <v>24666</v>
      </c>
      <c r="F57" s="12" t="n">
        <v>160000</v>
      </c>
      <c r="G57" s="3" t="s">
        <v>230</v>
      </c>
      <c r="H57" s="3" t="s">
        <v>531</v>
      </c>
    </row>
    <row r="58" customFormat="false" ht="15" hidden="false" customHeight="false" outlineLevel="0" collapsed="false">
      <c r="A58" s="3" t="s">
        <v>227</v>
      </c>
      <c r="B58" s="3" t="s">
        <v>533</v>
      </c>
      <c r="C58" s="3" t="s">
        <v>530</v>
      </c>
      <c r="D58" s="12" t="n">
        <v>811375</v>
      </c>
      <c r="E58" s="12" t="n">
        <v>154161</v>
      </c>
      <c r="F58" s="12" t="n">
        <v>1000000</v>
      </c>
      <c r="G58" s="3" t="s">
        <v>230</v>
      </c>
      <c r="H58" s="3" t="s">
        <v>534</v>
      </c>
    </row>
    <row r="59" customFormat="false" ht="15" hidden="false" customHeight="false" outlineLevel="0" collapsed="false">
      <c r="A59" s="3" t="s">
        <v>256</v>
      </c>
      <c r="B59" s="3" t="s">
        <v>535</v>
      </c>
      <c r="C59" s="3" t="s">
        <v>536</v>
      </c>
      <c r="D59" s="12" t="n">
        <v>44769</v>
      </c>
      <c r="E59" s="12" t="n">
        <v>8507</v>
      </c>
      <c r="F59" s="12" t="n">
        <v>50000</v>
      </c>
      <c r="G59" s="3" t="s">
        <v>230</v>
      </c>
      <c r="H59" s="3" t="s">
        <v>537</v>
      </c>
    </row>
    <row r="60" customFormat="false" ht="15" hidden="false" customHeight="false" outlineLevel="0" collapsed="false">
      <c r="A60" s="3" t="s">
        <v>309</v>
      </c>
      <c r="B60" s="3" t="s">
        <v>538</v>
      </c>
      <c r="C60" s="3" t="s">
        <v>539</v>
      </c>
      <c r="D60" s="12" t="n">
        <v>16806</v>
      </c>
      <c r="E60" s="12" t="n">
        <v>3193</v>
      </c>
      <c r="F60" s="12" t="n">
        <v>19999</v>
      </c>
      <c r="G60" s="3" t="s">
        <v>230</v>
      </c>
      <c r="H60" s="3" t="s">
        <v>540</v>
      </c>
    </row>
    <row r="61" customFormat="false" ht="15" hidden="false" customHeight="false" outlineLevel="0" collapsed="false">
      <c r="A61" s="3" t="s">
        <v>309</v>
      </c>
      <c r="B61" s="3" t="s">
        <v>541</v>
      </c>
      <c r="C61" s="3" t="s">
        <v>539</v>
      </c>
      <c r="D61" s="12" t="n">
        <v>16623</v>
      </c>
      <c r="E61" s="12" t="n">
        <v>3158</v>
      </c>
      <c r="F61" s="12" t="n">
        <v>19781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542</v>
      </c>
      <c r="C62" s="3" t="s">
        <v>539</v>
      </c>
      <c r="D62" s="12" t="n">
        <v>53759</v>
      </c>
      <c r="E62" s="12" t="n">
        <v>10215</v>
      </c>
      <c r="F62" s="12" t="n">
        <v>60000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243</v>
      </c>
      <c r="B63" s="3" t="s">
        <v>544</v>
      </c>
      <c r="C63" s="3" t="s">
        <v>539</v>
      </c>
      <c r="D63" s="12" t="n">
        <v>248771</v>
      </c>
      <c r="E63" s="12" t="n">
        <v>47266</v>
      </c>
      <c r="F63" s="12" t="n">
        <v>296037</v>
      </c>
      <c r="G63" s="3" t="s">
        <v>230</v>
      </c>
      <c r="H63" s="3" t="s">
        <v>545</v>
      </c>
    </row>
    <row r="64" customFormat="false" ht="15" hidden="false" customHeight="false" outlineLevel="0" collapsed="false">
      <c r="A64" s="3" t="s">
        <v>256</v>
      </c>
      <c r="B64" s="3" t="s">
        <v>546</v>
      </c>
      <c r="C64" s="3" t="s">
        <v>539</v>
      </c>
      <c r="D64" s="12" t="n">
        <v>71678</v>
      </c>
      <c r="E64" s="12" t="n">
        <v>13620</v>
      </c>
      <c r="F64" s="12" t="n">
        <v>80000</v>
      </c>
      <c r="G64" s="3" t="s">
        <v>230</v>
      </c>
      <c r="H64" s="3" t="s">
        <v>543</v>
      </c>
    </row>
    <row r="65" customFormat="false" ht="15" hidden="false" customHeight="false" outlineLevel="0" collapsed="false">
      <c r="A65" s="3" t="s">
        <v>547</v>
      </c>
      <c r="B65" s="3" t="s">
        <v>548</v>
      </c>
      <c r="C65" s="3" t="s">
        <v>443</v>
      </c>
      <c r="D65" s="12" t="n">
        <v>2479</v>
      </c>
      <c r="E65" s="12" t="n">
        <v>471</v>
      </c>
      <c r="F65" s="12" t="n">
        <v>2950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549</v>
      </c>
      <c r="B66" s="3" t="s">
        <v>550</v>
      </c>
      <c r="C66" s="3" t="s">
        <v>551</v>
      </c>
      <c r="D66" s="12" t="n">
        <v>19673</v>
      </c>
      <c r="E66" s="12" t="n">
        <v>3738</v>
      </c>
      <c r="F66" s="12" t="n">
        <v>23411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552</v>
      </c>
      <c r="B67" s="3" t="s">
        <v>553</v>
      </c>
      <c r="C67" s="3" t="s">
        <v>551</v>
      </c>
      <c r="D67" s="12" t="n">
        <v>56200</v>
      </c>
      <c r="E67" s="12" t="n">
        <v>10678</v>
      </c>
      <c r="F67" s="12" t="n">
        <v>66878</v>
      </c>
      <c r="G67" s="3" t="s">
        <v>230</v>
      </c>
      <c r="H67" s="3" t="s">
        <v>554</v>
      </c>
    </row>
    <row r="68" customFormat="false" ht="15" hidden="false" customHeight="false" outlineLevel="0" collapsed="false">
      <c r="A68" s="3" t="s">
        <v>555</v>
      </c>
      <c r="B68" s="3" t="s">
        <v>556</v>
      </c>
      <c r="C68" s="3" t="s">
        <v>551</v>
      </c>
      <c r="D68" s="12" t="n">
        <v>5840</v>
      </c>
      <c r="E68" s="12" t="n">
        <v>1110</v>
      </c>
      <c r="F68" s="12" t="n">
        <v>6950</v>
      </c>
      <c r="G68" s="3" t="s">
        <v>230</v>
      </c>
      <c r="H68" s="3" t="s">
        <v>557</v>
      </c>
    </row>
    <row r="69" customFormat="false" ht="15" hidden="false" customHeight="false" outlineLevel="0" collapsed="false">
      <c r="A69" s="3" t="s">
        <v>558</v>
      </c>
      <c r="B69" s="3" t="s">
        <v>559</v>
      </c>
      <c r="C69" s="3" t="s">
        <v>551</v>
      </c>
      <c r="D69" s="12" t="n">
        <v>31933</v>
      </c>
      <c r="E69" s="12" t="n">
        <v>6067</v>
      </c>
      <c r="F69" s="12" t="n">
        <v>38000</v>
      </c>
      <c r="G69" s="3" t="s">
        <v>230</v>
      </c>
      <c r="H69" s="3" t="s">
        <v>560</v>
      </c>
    </row>
    <row r="70" customFormat="false" ht="15" hidden="false" customHeight="false" outlineLevel="0" collapsed="false">
      <c r="A70" s="3" t="s">
        <v>227</v>
      </c>
      <c r="B70" s="3" t="s">
        <v>561</v>
      </c>
      <c r="C70" s="3" t="s">
        <v>562</v>
      </c>
      <c r="D70" s="12" t="n">
        <v>716101</v>
      </c>
      <c r="E70" s="12" t="n">
        <v>136059</v>
      </c>
      <c r="F70" s="12" t="n">
        <v>800000</v>
      </c>
      <c r="G70" s="3" t="s">
        <v>230</v>
      </c>
      <c r="H70" s="3" t="s">
        <v>563</v>
      </c>
    </row>
    <row r="71" customFormat="false" ht="15" hidden="false" customHeight="false" outlineLevel="0" collapsed="false">
      <c r="A71" s="3" t="s">
        <v>564</v>
      </c>
      <c r="B71" s="3" t="s">
        <v>565</v>
      </c>
      <c r="C71" s="3" t="s">
        <v>562</v>
      </c>
      <c r="D71" s="12" t="n">
        <v>81513</v>
      </c>
      <c r="E71" s="12" t="n">
        <v>15487</v>
      </c>
      <c r="F71" s="12" t="n">
        <v>97000</v>
      </c>
      <c r="G71" s="3" t="s">
        <v>230</v>
      </c>
      <c r="H71" s="3" t="s">
        <v>566</v>
      </c>
    </row>
    <row r="72" customFormat="false" ht="15" hidden="false" customHeight="false" outlineLevel="0" collapsed="false">
      <c r="A72" s="3" t="s">
        <v>256</v>
      </c>
      <c r="B72" s="3" t="s">
        <v>567</v>
      </c>
      <c r="C72" s="3" t="s">
        <v>551</v>
      </c>
      <c r="D72" s="12" t="n">
        <v>89616</v>
      </c>
      <c r="E72" s="12" t="n">
        <v>17028</v>
      </c>
      <c r="F72" s="12" t="n">
        <v>100020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227</v>
      </c>
      <c r="B73" s="3" t="s">
        <v>568</v>
      </c>
      <c r="C73" s="3" t="s">
        <v>445</v>
      </c>
      <c r="D73" s="12" t="n">
        <v>626588</v>
      </c>
      <c r="E73" s="12" t="n">
        <v>119052</v>
      </c>
      <c r="F73" s="12" t="n">
        <v>700000</v>
      </c>
      <c r="G73" s="3" t="s">
        <v>230</v>
      </c>
      <c r="H73" s="3" t="s">
        <v>569</v>
      </c>
    </row>
    <row r="74" customFormat="false" ht="15" hidden="false" customHeight="false" outlineLevel="0" collapsed="false">
      <c r="A74" s="3" t="s">
        <v>309</v>
      </c>
      <c r="B74" s="3" t="s">
        <v>570</v>
      </c>
      <c r="C74" s="3" t="s">
        <v>445</v>
      </c>
      <c r="D74" s="12" t="n">
        <v>64427</v>
      </c>
      <c r="E74" s="12" t="n">
        <v>12241</v>
      </c>
      <c r="F74" s="12" t="n">
        <v>76668</v>
      </c>
      <c r="G74" s="3" t="s">
        <v>230</v>
      </c>
      <c r="H74" s="3" t="s">
        <v>571</v>
      </c>
    </row>
    <row r="75" customFormat="false" ht="15" hidden="false" customHeight="false" outlineLevel="0" collapsed="false">
      <c r="A75" s="3" t="s">
        <v>267</v>
      </c>
      <c r="B75" s="3" t="s">
        <v>572</v>
      </c>
      <c r="C75" s="3" t="s">
        <v>445</v>
      </c>
      <c r="D75" s="12" t="n">
        <v>11588</v>
      </c>
      <c r="E75" s="12" t="n">
        <v>2202</v>
      </c>
      <c r="F75" s="12" t="n">
        <v>13790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354</v>
      </c>
      <c r="B76" s="3" t="s">
        <v>573</v>
      </c>
      <c r="C76" s="3" t="s">
        <v>445</v>
      </c>
      <c r="D76" s="12" t="n">
        <v>3529</v>
      </c>
      <c r="E76" s="12" t="n">
        <v>671</v>
      </c>
      <c r="F76" s="12" t="n">
        <v>4200</v>
      </c>
      <c r="G76" s="3" t="s">
        <v>230</v>
      </c>
      <c r="H76" s="3" t="s">
        <v>574</v>
      </c>
    </row>
    <row r="77" customFormat="false" ht="15" hidden="false" customHeight="false" outlineLevel="0" collapsed="false">
      <c r="A77" s="3" t="s">
        <v>354</v>
      </c>
      <c r="B77" s="3" t="s">
        <v>575</v>
      </c>
      <c r="C77" s="3" t="s">
        <v>445</v>
      </c>
      <c r="D77" s="12" t="n">
        <v>5630</v>
      </c>
      <c r="E77" s="12" t="n">
        <v>1070</v>
      </c>
      <c r="F77" s="12" t="n">
        <v>6700</v>
      </c>
      <c r="G77" s="3" t="s">
        <v>230</v>
      </c>
      <c r="H77" s="3" t="s">
        <v>574</v>
      </c>
    </row>
    <row r="78" customFormat="false" ht="15" hidden="false" customHeight="false" outlineLevel="0" collapsed="false">
      <c r="A78" s="3" t="s">
        <v>256</v>
      </c>
      <c r="B78" s="3" t="s">
        <v>576</v>
      </c>
      <c r="C78" s="3" t="s">
        <v>445</v>
      </c>
      <c r="D78" s="12" t="n">
        <v>44769</v>
      </c>
      <c r="E78" s="12" t="n">
        <v>8507</v>
      </c>
      <c r="F78" s="12" t="n">
        <v>50000</v>
      </c>
      <c r="G78" s="3" t="s">
        <v>230</v>
      </c>
      <c r="H78" s="3" t="s">
        <v>577</v>
      </c>
    </row>
    <row r="79" customFormat="false" ht="15" hidden="false" customHeight="false" outlineLevel="0" collapsed="false">
      <c r="A79" s="3" t="s">
        <v>256</v>
      </c>
      <c r="B79" s="3" t="s">
        <v>578</v>
      </c>
      <c r="C79" s="3" t="s">
        <v>445</v>
      </c>
      <c r="D79" s="12" t="n">
        <v>179282</v>
      </c>
      <c r="E79" s="12" t="n">
        <v>34064</v>
      </c>
      <c r="F79" s="12" t="n">
        <v>200000</v>
      </c>
      <c r="G79" s="3" t="s">
        <v>230</v>
      </c>
      <c r="H79" s="3" t="s">
        <v>579</v>
      </c>
    </row>
    <row r="80" customFormat="false" ht="15" hidden="false" customHeight="false" outlineLevel="0" collapsed="false">
      <c r="A80" s="3" t="s">
        <v>309</v>
      </c>
      <c r="B80" s="3" t="s">
        <v>580</v>
      </c>
      <c r="C80" s="3" t="s">
        <v>457</v>
      </c>
      <c r="D80" s="12" t="n">
        <v>18674</v>
      </c>
      <c r="E80" s="12" t="n">
        <v>3548</v>
      </c>
      <c r="F80" s="12" t="n">
        <v>22222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232</v>
      </c>
      <c r="B81" s="3" t="s">
        <v>263</v>
      </c>
      <c r="C81" s="3" t="s">
        <v>503</v>
      </c>
      <c r="D81" s="12" t="n">
        <v>20124</v>
      </c>
      <c r="E81" s="12" t="n">
        <v>3824</v>
      </c>
      <c r="F81" s="12" t="n">
        <v>23948</v>
      </c>
      <c r="G81" s="3" t="s">
        <v>197</v>
      </c>
      <c r="H81" s="3" t="s">
        <v>235</v>
      </c>
    </row>
    <row r="82" customFormat="false" ht="15" hidden="false" customHeight="false" outlineLevel="0" collapsed="false">
      <c r="A82" s="18" t="s">
        <v>373</v>
      </c>
      <c r="F82" s="14" t="n">
        <v>10989082</v>
      </c>
      <c r="G82" s="29" t="s">
        <v>581</v>
      </c>
    </row>
    <row r="84" customFormat="false" ht="15" hidden="false" customHeight="false" outlineLevel="0" collapsed="false">
      <c r="A84" s="2" t="s">
        <v>375</v>
      </c>
      <c r="B84" s="2"/>
      <c r="C84" s="2"/>
      <c r="D84" s="2"/>
      <c r="E84" s="2"/>
      <c r="F84" s="2"/>
      <c r="G84" s="2"/>
      <c r="H84" s="2"/>
      <c r="I84" s="2"/>
    </row>
    <row r="85" customFormat="false" ht="15" hidden="false" customHeight="false" outlineLevel="0" collapsed="false">
      <c r="A85" s="9" t="s">
        <v>376</v>
      </c>
      <c r="B85" s="9" t="s">
        <v>377</v>
      </c>
      <c r="C85" s="9" t="s">
        <v>378</v>
      </c>
      <c r="D85" s="9" t="s">
        <v>379</v>
      </c>
      <c r="E85" s="9" t="s">
        <v>380</v>
      </c>
    </row>
    <row r="86" customFormat="false" ht="15" hidden="false" customHeight="false" outlineLevel="0" collapsed="false">
      <c r="A86" s="3" t="s">
        <v>435</v>
      </c>
      <c r="B86" s="3" t="s">
        <v>386</v>
      </c>
      <c r="C86" s="12" t="n">
        <v>-27000</v>
      </c>
      <c r="D86" s="3" t="s">
        <v>387</v>
      </c>
      <c r="E86" s="3" t="s">
        <v>388</v>
      </c>
    </row>
    <row r="87" customFormat="false" ht="15" hidden="false" customHeight="false" outlineLevel="0" collapsed="false">
      <c r="A87" s="3" t="s">
        <v>435</v>
      </c>
      <c r="B87" s="3" t="s">
        <v>390</v>
      </c>
      <c r="C87" s="12" t="n">
        <v>-70000</v>
      </c>
      <c r="D87" s="3" t="s">
        <v>387</v>
      </c>
      <c r="E87" s="3" t="s">
        <v>388</v>
      </c>
    </row>
    <row r="88" customFormat="false" ht="15" hidden="false" customHeight="false" outlineLevel="0" collapsed="false">
      <c r="A88" s="3" t="s">
        <v>435</v>
      </c>
      <c r="B88" s="3" t="s">
        <v>386</v>
      </c>
      <c r="C88" s="12" t="n">
        <v>-6000</v>
      </c>
      <c r="D88" s="3" t="s">
        <v>387</v>
      </c>
      <c r="E88" s="3" t="s">
        <v>388</v>
      </c>
    </row>
    <row r="89" customFormat="false" ht="15" hidden="false" customHeight="false" outlineLevel="0" collapsed="false">
      <c r="A89" s="3" t="s">
        <v>435</v>
      </c>
      <c r="B89" s="3" t="s">
        <v>381</v>
      </c>
      <c r="C89" s="12" t="n">
        <v>2326472</v>
      </c>
      <c r="D89" s="3" t="s">
        <v>382</v>
      </c>
      <c r="E89" s="3" t="s">
        <v>383</v>
      </c>
    </row>
    <row r="90" customFormat="false" ht="15" hidden="false" customHeight="false" outlineLevel="0" collapsed="false">
      <c r="A90" s="3" t="s">
        <v>457</v>
      </c>
      <c r="B90" s="3" t="s">
        <v>582</v>
      </c>
      <c r="C90" s="12" t="n">
        <v>-190000</v>
      </c>
      <c r="D90" s="3" t="s">
        <v>387</v>
      </c>
      <c r="E90" s="3" t="s">
        <v>388</v>
      </c>
    </row>
    <row r="91" customFormat="false" ht="15" hidden="false" customHeight="false" outlineLevel="0" collapsed="false">
      <c r="A91" s="3" t="s">
        <v>457</v>
      </c>
      <c r="B91" s="3" t="s">
        <v>583</v>
      </c>
      <c r="C91" s="12" t="n">
        <v>-54000</v>
      </c>
      <c r="D91" s="3" t="s">
        <v>387</v>
      </c>
      <c r="E91" s="3" t="s">
        <v>388</v>
      </c>
    </row>
    <row r="92" customFormat="false" ht="15" hidden="false" customHeight="false" outlineLevel="0" collapsed="false">
      <c r="A92" s="3" t="s">
        <v>457</v>
      </c>
      <c r="B92" s="3" t="s">
        <v>406</v>
      </c>
      <c r="C92" s="12" t="n">
        <v>-225000</v>
      </c>
      <c r="D92" s="3" t="s">
        <v>387</v>
      </c>
      <c r="E92" s="3" t="s">
        <v>388</v>
      </c>
    </row>
    <row r="93" customFormat="false" ht="15" hidden="false" customHeight="false" outlineLevel="0" collapsed="false">
      <c r="A93" s="3" t="s">
        <v>457</v>
      </c>
      <c r="B93" s="3" t="s">
        <v>584</v>
      </c>
      <c r="C93" s="12" t="n">
        <v>-2700</v>
      </c>
      <c r="D93" s="3" t="s">
        <v>387</v>
      </c>
      <c r="E93" s="3" t="s">
        <v>409</v>
      </c>
    </row>
    <row r="94" customFormat="false" ht="15" hidden="false" customHeight="false" outlineLevel="0" collapsed="false">
      <c r="A94" s="3" t="s">
        <v>471</v>
      </c>
      <c r="B94" s="3" t="s">
        <v>410</v>
      </c>
      <c r="C94" s="12" t="n">
        <v>1200000</v>
      </c>
      <c r="D94" s="3" t="s">
        <v>382</v>
      </c>
      <c r="E94" s="3" t="s">
        <v>388</v>
      </c>
    </row>
    <row r="95" customFormat="false" ht="15" hidden="false" customHeight="false" outlineLevel="0" collapsed="false">
      <c r="A95" s="3" t="s">
        <v>471</v>
      </c>
      <c r="B95" s="3" t="s">
        <v>585</v>
      </c>
      <c r="C95" s="12" t="n">
        <v>-280000</v>
      </c>
      <c r="D95" s="3" t="s">
        <v>387</v>
      </c>
      <c r="E95" s="3" t="s">
        <v>388</v>
      </c>
    </row>
    <row r="96" customFormat="false" ht="15" hidden="false" customHeight="false" outlineLevel="0" collapsed="false">
      <c r="A96" s="3" t="s">
        <v>471</v>
      </c>
      <c r="B96" s="3" t="s">
        <v>393</v>
      </c>
      <c r="C96" s="12" t="n">
        <v>-15000</v>
      </c>
      <c r="D96" s="3" t="s">
        <v>387</v>
      </c>
      <c r="E96" s="3" t="s">
        <v>388</v>
      </c>
    </row>
    <row r="97" customFormat="false" ht="15" hidden="false" customHeight="false" outlineLevel="0" collapsed="false">
      <c r="A97" s="3" t="s">
        <v>471</v>
      </c>
      <c r="B97" s="3" t="s">
        <v>420</v>
      </c>
      <c r="C97" s="12" t="n">
        <v>83100</v>
      </c>
      <c r="D97" s="3" t="s">
        <v>382</v>
      </c>
      <c r="E97" s="3" t="s">
        <v>409</v>
      </c>
    </row>
    <row r="98" customFormat="false" ht="15" hidden="false" customHeight="false" outlineLevel="0" collapsed="false">
      <c r="A98" s="3" t="s">
        <v>471</v>
      </c>
      <c r="B98" s="3" t="s">
        <v>386</v>
      </c>
      <c r="C98" s="12" t="n">
        <v>-17000</v>
      </c>
      <c r="D98" s="3" t="s">
        <v>387</v>
      </c>
      <c r="E98" s="3" t="s">
        <v>388</v>
      </c>
    </row>
    <row r="99" customFormat="false" ht="15" hidden="false" customHeight="false" outlineLevel="0" collapsed="false">
      <c r="A99" s="3" t="s">
        <v>471</v>
      </c>
      <c r="B99" s="3" t="s">
        <v>408</v>
      </c>
      <c r="C99" s="12" t="n">
        <v>270000</v>
      </c>
      <c r="D99" s="3" t="s">
        <v>382</v>
      </c>
      <c r="E99" s="3" t="s">
        <v>409</v>
      </c>
    </row>
    <row r="100" customFormat="false" ht="15" hidden="false" customHeight="false" outlineLevel="0" collapsed="false">
      <c r="A100" s="3" t="s">
        <v>475</v>
      </c>
      <c r="B100" s="3" t="s">
        <v>393</v>
      </c>
      <c r="C100" s="12" t="n">
        <v>-12000</v>
      </c>
      <c r="D100" s="3" t="s">
        <v>387</v>
      </c>
      <c r="E100" s="3" t="s">
        <v>388</v>
      </c>
    </row>
    <row r="101" customFormat="false" ht="15" hidden="false" customHeight="false" outlineLevel="0" collapsed="false">
      <c r="A101" s="3" t="s">
        <v>475</v>
      </c>
      <c r="B101" s="3" t="s">
        <v>393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475</v>
      </c>
      <c r="B102" s="3" t="s">
        <v>586</v>
      </c>
      <c r="C102" s="12" t="n">
        <v>320000</v>
      </c>
      <c r="D102" s="3" t="s">
        <v>382</v>
      </c>
      <c r="E102" s="3" t="s">
        <v>409</v>
      </c>
    </row>
    <row r="103" customFormat="false" ht="15" hidden="false" customHeight="false" outlineLevel="0" collapsed="false">
      <c r="A103" s="3" t="s">
        <v>475</v>
      </c>
      <c r="B103" s="3" t="s">
        <v>407</v>
      </c>
      <c r="C103" s="12" t="n">
        <v>-100000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475</v>
      </c>
      <c r="B104" s="3" t="s">
        <v>386</v>
      </c>
      <c r="C104" s="12" t="n">
        <v>-250000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475</v>
      </c>
      <c r="B105" s="3" t="s">
        <v>393</v>
      </c>
      <c r="C105" s="12" t="n">
        <v>-120000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475</v>
      </c>
      <c r="B106" s="3" t="s">
        <v>389</v>
      </c>
      <c r="C106" s="12" t="n">
        <v>-180000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475</v>
      </c>
      <c r="B107" s="3" t="s">
        <v>393</v>
      </c>
      <c r="C107" s="12" t="n">
        <v>-150000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475</v>
      </c>
      <c r="B108" s="3" t="s">
        <v>406</v>
      </c>
      <c r="C108" s="12" t="n">
        <v>-225000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475</v>
      </c>
      <c r="B109" s="3" t="s">
        <v>390</v>
      </c>
      <c r="C109" s="12" t="n">
        <v>-270000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477</v>
      </c>
      <c r="B110" s="3" t="s">
        <v>587</v>
      </c>
      <c r="C110" s="12" t="n">
        <v>-4700</v>
      </c>
      <c r="D110" s="3" t="s">
        <v>387</v>
      </c>
      <c r="E110" s="3" t="s">
        <v>409</v>
      </c>
    </row>
    <row r="111" customFormat="false" ht="15" hidden="false" customHeight="false" outlineLevel="0" collapsed="false">
      <c r="A111" s="3" t="s">
        <v>477</v>
      </c>
      <c r="B111" s="3" t="s">
        <v>393</v>
      </c>
      <c r="C111" s="12" t="n">
        <v>-12000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477</v>
      </c>
      <c r="B112" s="3" t="s">
        <v>394</v>
      </c>
      <c r="C112" s="12" t="n">
        <v>-17000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479</v>
      </c>
      <c r="B113" s="3" t="s">
        <v>393</v>
      </c>
      <c r="C113" s="12" t="n">
        <v>-8000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479</v>
      </c>
      <c r="B114" s="3" t="s">
        <v>588</v>
      </c>
      <c r="C114" s="12" t="n">
        <v>-14880</v>
      </c>
      <c r="D114" s="3" t="s">
        <v>387</v>
      </c>
      <c r="E114" s="3" t="s">
        <v>409</v>
      </c>
    </row>
    <row r="115" customFormat="false" ht="15" hidden="false" customHeight="false" outlineLevel="0" collapsed="false">
      <c r="A115" s="3" t="s">
        <v>479</v>
      </c>
      <c r="B115" s="3" t="s">
        <v>393</v>
      </c>
      <c r="C115" s="12" t="n">
        <v>-32000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489</v>
      </c>
      <c r="B116" s="3" t="s">
        <v>589</v>
      </c>
      <c r="C116" s="12" t="n">
        <v>-63065</v>
      </c>
      <c r="D116" s="3" t="s">
        <v>387</v>
      </c>
      <c r="E116" s="3" t="s">
        <v>409</v>
      </c>
    </row>
    <row r="117" customFormat="false" ht="15" hidden="false" customHeight="false" outlineLevel="0" collapsed="false">
      <c r="A117" s="3" t="s">
        <v>489</v>
      </c>
      <c r="B117" s="3" t="s">
        <v>590</v>
      </c>
      <c r="C117" s="12" t="n">
        <v>-31955</v>
      </c>
      <c r="D117" s="3" t="s">
        <v>387</v>
      </c>
      <c r="E117" s="3" t="s">
        <v>409</v>
      </c>
    </row>
    <row r="118" customFormat="false" ht="15" hidden="false" customHeight="false" outlineLevel="0" collapsed="false">
      <c r="A118" s="3" t="s">
        <v>496</v>
      </c>
      <c r="B118" s="3" t="s">
        <v>393</v>
      </c>
      <c r="C118" s="12" t="n">
        <v>-17000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503</v>
      </c>
      <c r="B119" s="3" t="s">
        <v>584</v>
      </c>
      <c r="C119" s="12" t="n">
        <v>-21470</v>
      </c>
      <c r="D119" s="3" t="s">
        <v>387</v>
      </c>
      <c r="E119" s="3" t="s">
        <v>409</v>
      </c>
    </row>
    <row r="120" customFormat="false" ht="15" hidden="false" customHeight="false" outlineLevel="0" collapsed="false">
      <c r="A120" s="3" t="s">
        <v>503</v>
      </c>
      <c r="B120" s="3" t="s">
        <v>410</v>
      </c>
      <c r="C120" s="12" t="n">
        <v>200000</v>
      </c>
      <c r="D120" s="3" t="s">
        <v>382</v>
      </c>
      <c r="E120" s="3" t="s">
        <v>388</v>
      </c>
    </row>
    <row r="121" customFormat="false" ht="15" hidden="false" customHeight="false" outlineLevel="0" collapsed="false">
      <c r="A121" s="3" t="s">
        <v>503</v>
      </c>
      <c r="B121" s="3" t="s">
        <v>381</v>
      </c>
      <c r="C121" s="12" t="n">
        <v>1650249</v>
      </c>
      <c r="D121" s="3" t="s">
        <v>382</v>
      </c>
      <c r="E121" s="3" t="s">
        <v>383</v>
      </c>
    </row>
    <row r="122" customFormat="false" ht="15" hidden="false" customHeight="false" outlineLevel="0" collapsed="false">
      <c r="A122" s="3" t="s">
        <v>503</v>
      </c>
      <c r="B122" s="3" t="s">
        <v>393</v>
      </c>
      <c r="C122" s="12" t="n">
        <v>-12000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507</v>
      </c>
      <c r="B123" s="3" t="s">
        <v>389</v>
      </c>
      <c r="C123" s="12" t="n">
        <v>-15000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507</v>
      </c>
      <c r="B124" s="3" t="s">
        <v>406</v>
      </c>
      <c r="C124" s="12" t="n">
        <v>-225000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507</v>
      </c>
      <c r="B125" s="3" t="s">
        <v>393</v>
      </c>
      <c r="C125" s="12" t="n">
        <v>-16000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438</v>
      </c>
      <c r="B126" s="3" t="s">
        <v>393</v>
      </c>
      <c r="C126" s="12" t="n">
        <v>-6800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438</v>
      </c>
      <c r="B127" s="3" t="s">
        <v>389</v>
      </c>
      <c r="C127" s="12" t="n">
        <v>-30000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438</v>
      </c>
      <c r="B128" s="3" t="s">
        <v>393</v>
      </c>
      <c r="C128" s="12" t="n">
        <v>-6000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438</v>
      </c>
      <c r="B129" s="3" t="s">
        <v>389</v>
      </c>
      <c r="C129" s="12" t="n">
        <v>-15000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438</v>
      </c>
      <c r="B130" s="3" t="s">
        <v>393</v>
      </c>
      <c r="C130" s="12" t="n">
        <v>-50000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513</v>
      </c>
      <c r="B131" s="3" t="s">
        <v>389</v>
      </c>
      <c r="C131" s="12" t="n">
        <v>-50000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513</v>
      </c>
      <c r="B132" s="3" t="s">
        <v>591</v>
      </c>
      <c r="C132" s="12" t="n">
        <v>2813595</v>
      </c>
      <c r="D132" s="3" t="s">
        <v>382</v>
      </c>
      <c r="E132" s="3" t="s">
        <v>392</v>
      </c>
    </row>
    <row r="133" customFormat="false" ht="15" hidden="false" customHeight="false" outlineLevel="0" collapsed="false">
      <c r="A133" s="3" t="s">
        <v>520</v>
      </c>
      <c r="B133" s="3" t="s">
        <v>406</v>
      </c>
      <c r="C133" s="12" t="n">
        <v>-55000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520</v>
      </c>
      <c r="B134" s="3" t="s">
        <v>592</v>
      </c>
      <c r="C134" s="12" t="n">
        <v>-1000000</v>
      </c>
      <c r="D134" s="3" t="s">
        <v>387</v>
      </c>
      <c r="E134" s="3" t="s">
        <v>78</v>
      </c>
    </row>
    <row r="135" customFormat="false" ht="15" hidden="false" customHeight="false" outlineLevel="0" collapsed="false">
      <c r="A135" s="3" t="s">
        <v>520</v>
      </c>
      <c r="B135" s="3" t="s">
        <v>407</v>
      </c>
      <c r="C135" s="12" t="n">
        <v>-150000</v>
      </c>
      <c r="D135" s="3" t="s">
        <v>387</v>
      </c>
      <c r="E135" s="3" t="s">
        <v>388</v>
      </c>
    </row>
    <row r="136" customFormat="false" ht="15" hidden="false" customHeight="false" outlineLevel="0" collapsed="false">
      <c r="A136" s="3" t="s">
        <v>520</v>
      </c>
      <c r="B136" s="3" t="s">
        <v>390</v>
      </c>
      <c r="C136" s="12" t="n">
        <v>-300000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520</v>
      </c>
      <c r="B137" s="3" t="s">
        <v>393</v>
      </c>
      <c r="C137" s="12" t="n">
        <v>-250000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520</v>
      </c>
      <c r="B138" s="3" t="s">
        <v>394</v>
      </c>
      <c r="C138" s="12" t="n">
        <v>-300000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520</v>
      </c>
      <c r="B139" s="3" t="s">
        <v>389</v>
      </c>
      <c r="C139" s="12" t="n">
        <v>-70000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520</v>
      </c>
      <c r="B140" s="3" t="s">
        <v>418</v>
      </c>
      <c r="C140" s="12" t="n">
        <v>760000</v>
      </c>
      <c r="D140" s="3" t="s">
        <v>382</v>
      </c>
      <c r="E140" s="3" t="s">
        <v>409</v>
      </c>
    </row>
    <row r="141" customFormat="false" ht="15" hidden="false" customHeight="false" outlineLevel="0" collapsed="false">
      <c r="A141" s="3" t="s">
        <v>520</v>
      </c>
      <c r="B141" s="3" t="s">
        <v>386</v>
      </c>
      <c r="C141" s="12" t="n">
        <v>-400000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440</v>
      </c>
      <c r="B142" s="3" t="s">
        <v>389</v>
      </c>
      <c r="C142" s="12" t="n">
        <v>-17000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440</v>
      </c>
      <c r="B143" s="3" t="s">
        <v>394</v>
      </c>
      <c r="C143" s="12" t="n">
        <v>-32000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440</v>
      </c>
      <c r="B144" s="3" t="s">
        <v>593</v>
      </c>
      <c r="C144" s="12" t="n">
        <v>-9471</v>
      </c>
      <c r="D144" s="3" t="s">
        <v>387</v>
      </c>
      <c r="E144" s="3" t="s">
        <v>409</v>
      </c>
    </row>
    <row r="145" customFormat="false" ht="15" hidden="false" customHeight="false" outlineLevel="0" collapsed="false">
      <c r="A145" s="3" t="s">
        <v>530</v>
      </c>
      <c r="B145" s="3" t="s">
        <v>594</v>
      </c>
      <c r="C145" s="12" t="n">
        <v>-31319</v>
      </c>
      <c r="D145" s="3" t="s">
        <v>387</v>
      </c>
      <c r="E145" s="3" t="s">
        <v>409</v>
      </c>
    </row>
    <row r="146" customFormat="false" ht="15" hidden="false" customHeight="false" outlineLevel="0" collapsed="false">
      <c r="A146" s="3" t="s">
        <v>530</v>
      </c>
      <c r="B146" s="3" t="s">
        <v>381</v>
      </c>
      <c r="C146" s="12" t="n">
        <v>198000</v>
      </c>
      <c r="D146" s="3" t="s">
        <v>382</v>
      </c>
      <c r="E146" s="3" t="s">
        <v>383</v>
      </c>
    </row>
    <row r="147" customFormat="false" ht="15" hidden="false" customHeight="false" outlineLevel="0" collapsed="false">
      <c r="A147" s="3" t="s">
        <v>530</v>
      </c>
      <c r="B147" s="3" t="s">
        <v>393</v>
      </c>
      <c r="C147" s="12" t="n">
        <v>-12000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530</v>
      </c>
      <c r="B148" s="3" t="s">
        <v>389</v>
      </c>
      <c r="C148" s="12" t="n">
        <v>-12000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530</v>
      </c>
      <c r="B149" s="3" t="s">
        <v>591</v>
      </c>
      <c r="C149" s="12" t="n">
        <v>2234722</v>
      </c>
      <c r="D149" s="3" t="s">
        <v>382</v>
      </c>
      <c r="E149" s="3" t="s">
        <v>392</v>
      </c>
    </row>
    <row r="150" customFormat="false" ht="15" hidden="false" customHeight="false" outlineLevel="0" collapsed="false">
      <c r="A150" s="3" t="s">
        <v>536</v>
      </c>
      <c r="B150" s="3" t="s">
        <v>406</v>
      </c>
      <c r="C150" s="12" t="n">
        <v>-350000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536</v>
      </c>
      <c r="B151" s="3" t="s">
        <v>393</v>
      </c>
      <c r="C151" s="12" t="n">
        <v>-16000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536</v>
      </c>
      <c r="B152" s="3" t="s">
        <v>595</v>
      </c>
      <c r="C152" s="12" t="n">
        <v>-5770</v>
      </c>
      <c r="D152" s="3" t="s">
        <v>387</v>
      </c>
      <c r="E152" s="3" t="s">
        <v>396</v>
      </c>
    </row>
    <row r="153" customFormat="false" ht="15" hidden="false" customHeight="false" outlineLevel="0" collapsed="false">
      <c r="A153" s="3" t="s">
        <v>536</v>
      </c>
      <c r="B153" s="3" t="s">
        <v>389</v>
      </c>
      <c r="C153" s="12" t="n">
        <v>-20000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536</v>
      </c>
      <c r="B154" s="3" t="s">
        <v>596</v>
      </c>
      <c r="C154" s="12" t="n">
        <v>-405600</v>
      </c>
      <c r="D154" s="3" t="s">
        <v>387</v>
      </c>
      <c r="E154" s="3" t="s">
        <v>396</v>
      </c>
    </row>
    <row r="155" customFormat="false" ht="15" hidden="false" customHeight="false" outlineLevel="0" collapsed="false">
      <c r="A155" s="3" t="s">
        <v>536</v>
      </c>
      <c r="B155" s="3" t="s">
        <v>394</v>
      </c>
      <c r="C155" s="12" t="n">
        <v>-15000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539</v>
      </c>
      <c r="B156" s="3" t="s">
        <v>389</v>
      </c>
      <c r="C156" s="12" t="n">
        <v>-20000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539</v>
      </c>
      <c r="B157" s="3" t="s">
        <v>393</v>
      </c>
      <c r="C157" s="12" t="n">
        <v>-20000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539</v>
      </c>
      <c r="B158" s="3" t="s">
        <v>597</v>
      </c>
      <c r="C158" s="12" t="n">
        <v>357000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539</v>
      </c>
      <c r="B159" s="3" t="s">
        <v>394</v>
      </c>
      <c r="C159" s="12" t="n">
        <v>-29000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539</v>
      </c>
      <c r="B160" s="3" t="s">
        <v>390</v>
      </c>
      <c r="C160" s="12" t="n">
        <v>-20000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551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551</v>
      </c>
      <c r="B162" s="3" t="s">
        <v>598</v>
      </c>
      <c r="C162" s="12" t="n">
        <v>-58001</v>
      </c>
      <c r="D162" s="3" t="s">
        <v>387</v>
      </c>
      <c r="E162" s="3" t="s">
        <v>409</v>
      </c>
    </row>
    <row r="163" customFormat="false" ht="15" hidden="false" customHeight="false" outlineLevel="0" collapsed="false">
      <c r="A163" s="3" t="s">
        <v>551</v>
      </c>
      <c r="B163" s="3" t="s">
        <v>393</v>
      </c>
      <c r="C163" s="12" t="n">
        <v>-15000</v>
      </c>
      <c r="D163" s="3" t="s">
        <v>387</v>
      </c>
      <c r="E163" s="3" t="s">
        <v>388</v>
      </c>
    </row>
    <row r="164" customFormat="false" ht="15" hidden="false" customHeight="false" outlineLevel="0" collapsed="false">
      <c r="A164" s="3" t="s">
        <v>551</v>
      </c>
      <c r="B164" s="3" t="s">
        <v>599</v>
      </c>
      <c r="C164" s="12" t="n">
        <v>490200</v>
      </c>
      <c r="D164" s="3" t="s">
        <v>382</v>
      </c>
      <c r="E164" s="3" t="s">
        <v>409</v>
      </c>
    </row>
    <row r="165" customFormat="false" ht="15" hidden="false" customHeight="false" outlineLevel="0" collapsed="false">
      <c r="A165" s="3" t="s">
        <v>551</v>
      </c>
      <c r="B165" s="3" t="s">
        <v>600</v>
      </c>
      <c r="C165" s="12" t="n">
        <v>-16500</v>
      </c>
      <c r="D165" s="3" t="s">
        <v>387</v>
      </c>
      <c r="E165" s="3" t="s">
        <v>409</v>
      </c>
    </row>
    <row r="166" customFormat="false" ht="15" hidden="false" customHeight="false" outlineLevel="0" collapsed="false">
      <c r="A166" s="3" t="s">
        <v>551</v>
      </c>
      <c r="B166" s="3" t="s">
        <v>599</v>
      </c>
      <c r="C166" s="12" t="n">
        <v>200000</v>
      </c>
      <c r="D166" s="3" t="s">
        <v>382</v>
      </c>
      <c r="E166" s="3" t="s">
        <v>409</v>
      </c>
    </row>
    <row r="167" customFormat="false" ht="15" hidden="false" customHeight="false" outlineLevel="0" collapsed="false">
      <c r="A167" s="3" t="s">
        <v>551</v>
      </c>
      <c r="B167" s="3" t="s">
        <v>390</v>
      </c>
      <c r="C167" s="12" t="n">
        <v>-25000</v>
      </c>
      <c r="D167" s="3" t="s">
        <v>387</v>
      </c>
      <c r="E167" s="3" t="s">
        <v>388</v>
      </c>
    </row>
    <row r="168" customFormat="false" ht="15" hidden="false" customHeight="false" outlineLevel="0" collapsed="false">
      <c r="A168" s="3" t="s">
        <v>551</v>
      </c>
      <c r="B168" s="3" t="s">
        <v>393</v>
      </c>
      <c r="C168" s="12" t="n">
        <v>-70000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551</v>
      </c>
      <c r="B169" s="3" t="s">
        <v>389</v>
      </c>
      <c r="C169" s="12" t="n">
        <v>-120000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551</v>
      </c>
      <c r="B170" s="3" t="s">
        <v>389</v>
      </c>
      <c r="C170" s="12" t="n">
        <v>-3000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551</v>
      </c>
      <c r="B171" s="3" t="s">
        <v>406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551</v>
      </c>
      <c r="B172" s="3" t="s">
        <v>410</v>
      </c>
      <c r="C172" s="12" t="n">
        <v>1000000</v>
      </c>
      <c r="D172" s="3" t="s">
        <v>382</v>
      </c>
      <c r="E172" s="3" t="s">
        <v>388</v>
      </c>
    </row>
    <row r="173" customFormat="false" ht="15" hidden="false" customHeight="false" outlineLevel="0" collapsed="false">
      <c r="A173" s="3" t="s">
        <v>562</v>
      </c>
      <c r="B173" s="3" t="s">
        <v>390</v>
      </c>
      <c r="C173" s="12" t="n">
        <v>-170000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562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562</v>
      </c>
      <c r="B175" s="3" t="s">
        <v>419</v>
      </c>
      <c r="C175" s="12" t="n">
        <v>-100000</v>
      </c>
      <c r="D175" s="3" t="s">
        <v>387</v>
      </c>
      <c r="E175" s="3" t="s">
        <v>388</v>
      </c>
    </row>
    <row r="176" customFormat="false" ht="15" hidden="false" customHeight="false" outlineLevel="0" collapsed="false">
      <c r="A176" s="3" t="s">
        <v>562</v>
      </c>
      <c r="B176" s="3" t="s">
        <v>389</v>
      </c>
      <c r="C176" s="12" t="n">
        <v>-20000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445</v>
      </c>
      <c r="B177" s="3" t="s">
        <v>389</v>
      </c>
      <c r="C177" s="12" t="n">
        <v>-100000</v>
      </c>
      <c r="D177" s="3" t="s">
        <v>387</v>
      </c>
      <c r="E177" s="3" t="s">
        <v>388</v>
      </c>
    </row>
    <row r="178" customFormat="false" ht="15" hidden="false" customHeight="false" outlineLevel="0" collapsed="false">
      <c r="A178" s="3" t="s">
        <v>445</v>
      </c>
      <c r="B178" s="3" t="s">
        <v>389</v>
      </c>
      <c r="C178" s="12" t="n">
        <v>-53000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445</v>
      </c>
      <c r="B179" s="3" t="s">
        <v>393</v>
      </c>
      <c r="C179" s="12" t="n">
        <v>-12000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445</v>
      </c>
      <c r="B180" s="3" t="s">
        <v>389</v>
      </c>
      <c r="C180" s="12" t="n">
        <v>-12000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445</v>
      </c>
      <c r="B181" s="3" t="s">
        <v>394</v>
      </c>
      <c r="C181" s="12" t="n">
        <v>-39000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445</v>
      </c>
      <c r="B182" s="3" t="s">
        <v>381</v>
      </c>
      <c r="C182" s="12" t="n">
        <v>500000</v>
      </c>
      <c r="D182" s="3" t="s">
        <v>382</v>
      </c>
      <c r="E182" s="3" t="s">
        <v>383</v>
      </c>
    </row>
    <row r="183" customFormat="false" ht="15" hidden="false" customHeight="false" outlineLevel="0" collapsed="false">
      <c r="A183" s="3" t="s">
        <v>445</v>
      </c>
      <c r="B183" s="3" t="s">
        <v>410</v>
      </c>
      <c r="C183" s="12" t="n">
        <v>500000</v>
      </c>
      <c r="D183" s="3" t="s">
        <v>382</v>
      </c>
      <c r="E183" s="3" t="s">
        <v>388</v>
      </c>
    </row>
    <row r="184" customFormat="false" ht="15" hidden="false" customHeight="false" outlineLevel="0" collapsed="false">
      <c r="A184" s="3" t="s">
        <v>448</v>
      </c>
      <c r="B184" s="3" t="s">
        <v>389</v>
      </c>
      <c r="C184" s="12" t="n">
        <v>-20000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448</v>
      </c>
      <c r="B185" s="3" t="s">
        <v>393</v>
      </c>
      <c r="C185" s="12" t="n">
        <v>-20000</v>
      </c>
      <c r="D185" s="3" t="s">
        <v>387</v>
      </c>
      <c r="E185" s="3" t="s">
        <v>388</v>
      </c>
    </row>
    <row r="187" customFormat="false" ht="15" hidden="false" customHeight="false" outlineLevel="0" collapsed="false">
      <c r="A187" s="2" t="s">
        <v>421</v>
      </c>
      <c r="B187" s="2"/>
      <c r="C187" s="2"/>
      <c r="D187" s="2"/>
      <c r="E187" s="2"/>
      <c r="F187" s="2"/>
      <c r="G187" s="2"/>
      <c r="H187" s="2"/>
      <c r="I187" s="2"/>
    </row>
    <row r="188" customFormat="false" ht="15" hidden="false" customHeight="false" outlineLevel="0" collapsed="false">
      <c r="A188" s="9" t="s">
        <v>66</v>
      </c>
      <c r="B188" s="9" t="s">
        <v>378</v>
      </c>
      <c r="C188" s="30" t="s">
        <v>422</v>
      </c>
      <c r="D188" s="30" t="s">
        <v>423</v>
      </c>
    </row>
    <row r="189" customFormat="false" ht="15" hidden="false" customHeight="false" outlineLevel="0" collapsed="false">
      <c r="A189" s="3" t="s">
        <v>424</v>
      </c>
      <c r="B189" s="12" t="n">
        <v>267206</v>
      </c>
    </row>
    <row r="190" customFormat="false" ht="15" hidden="false" customHeight="false" outlineLevel="0" collapsed="false">
      <c r="A190" s="3" t="s">
        <v>425</v>
      </c>
      <c r="B190" s="12" t="n">
        <v>15543638</v>
      </c>
      <c r="C190" s="31" t="n">
        <f aca="false">F13</f>
        <v>9912224</v>
      </c>
      <c r="D190" s="31" t="n">
        <f aca="false">B190-C190</f>
        <v>5631414</v>
      </c>
    </row>
    <row r="191" customFormat="false" ht="15" hidden="false" customHeight="false" outlineLevel="0" collapsed="false">
      <c r="A191" s="3" t="s">
        <v>426</v>
      </c>
      <c r="B191" s="12" t="n">
        <v>-15627141</v>
      </c>
    </row>
    <row r="192" customFormat="false" ht="15" hidden="false" customHeight="false" outlineLevel="0" collapsed="false">
      <c r="A192" s="18" t="s">
        <v>427</v>
      </c>
      <c r="B192" s="14" t="n">
        <f aca="false">SUM(B189:B191)</f>
        <v>183703</v>
      </c>
    </row>
    <row r="193" customFormat="false" ht="15" hidden="false" customHeight="false" outlineLevel="0" collapsed="false">
      <c r="A193" s="18" t="s">
        <v>428</v>
      </c>
      <c r="B193" s="14" t="n">
        <v>183703</v>
      </c>
    </row>
    <row r="194" customFormat="false" ht="15" hidden="false" customHeight="false" outlineLevel="0" collapsed="false">
      <c r="A194" s="18" t="s">
        <v>429</v>
      </c>
      <c r="B194" s="14" t="n">
        <f aca="false">B192-B193</f>
        <v>0</v>
      </c>
    </row>
    <row r="196" customFormat="false" ht="15" hidden="false" customHeight="true" outlineLevel="0" collapsed="false">
      <c r="A196" s="10" t="s">
        <v>430</v>
      </c>
      <c r="B196" s="10"/>
      <c r="C196" s="10"/>
      <c r="D196" s="10"/>
      <c r="E196" s="10"/>
      <c r="F196" s="10"/>
      <c r="G196" s="10"/>
      <c r="H196" s="10"/>
    </row>
  </sheetData>
  <mergeCells count="7">
    <mergeCell ref="A1:I1"/>
    <mergeCell ref="A2:I2"/>
    <mergeCell ref="A4:I4"/>
    <mergeCell ref="A15:I15"/>
    <mergeCell ref="A84:I84"/>
    <mergeCell ref="A187:I187"/>
    <mergeCell ref="A196:H1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601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602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603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604</v>
      </c>
      <c r="C5" s="9" t="s">
        <v>605</v>
      </c>
      <c r="D5" s="9" t="s">
        <v>606</v>
      </c>
      <c r="E5" s="9" t="s">
        <v>607</v>
      </c>
      <c r="F5" s="9" t="s">
        <v>608</v>
      </c>
      <c r="G5" s="9" t="s">
        <v>609</v>
      </c>
      <c r="H5" s="9" t="s">
        <v>610</v>
      </c>
      <c r="I5" s="9" t="s">
        <v>611</v>
      </c>
      <c r="J5" s="9" t="s">
        <v>612</v>
      </c>
      <c r="K5" s="9" t="s">
        <v>613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614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604</v>
      </c>
      <c r="C14" s="9" t="s">
        <v>605</v>
      </c>
      <c r="D14" s="9" t="s">
        <v>606</v>
      </c>
      <c r="E14" s="9" t="s">
        <v>607</v>
      </c>
      <c r="F14" s="9" t="s">
        <v>608</v>
      </c>
      <c r="G14" s="9" t="s">
        <v>609</v>
      </c>
      <c r="H14" s="9" t="s">
        <v>610</v>
      </c>
      <c r="I14" s="9" t="s">
        <v>611</v>
      </c>
      <c r="J14" s="9" t="s">
        <v>612</v>
      </c>
      <c r="K14" s="9" t="s">
        <v>613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615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616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617</v>
      </c>
      <c r="C4" s="9" t="s">
        <v>618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619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620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621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622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623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624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66</v>
      </c>
      <c r="B23" s="9" t="s">
        <v>625</v>
      </c>
      <c r="C23" s="9" t="s">
        <v>626</v>
      </c>
      <c r="D23" s="9" t="s">
        <v>627</v>
      </c>
      <c r="E23" s="9" t="s">
        <v>628</v>
      </c>
      <c r="F23" s="9" t="s">
        <v>629</v>
      </c>
      <c r="G23" s="9" t="s">
        <v>630</v>
      </c>
    </row>
    <row r="24" customFormat="false" ht="15" hidden="false" customHeight="false" outlineLevel="0" collapsed="false">
      <c r="A24" s="3" t="s">
        <v>631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632</v>
      </c>
      <c r="B25" s="33" t="n">
        <f aca="false">Consolidado!C32</f>
        <v>26434798.4092921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26434798.4092921</v>
      </c>
      <c r="F25" s="14" t="n">
        <f aca="false">C25+E25</f>
        <v>26434798.4092921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633</v>
      </c>
      <c r="B26" s="14" t="n">
        <f aca="false">B24-B25</f>
        <v>2967861.9520012</v>
      </c>
      <c r="C26" s="14" t="n">
        <f aca="false">C24-C25</f>
        <v>0</v>
      </c>
      <c r="D26" s="37"/>
      <c r="E26" s="14" t="n">
        <f aca="false">E24-E25</f>
        <v>2967861.9520012</v>
      </c>
      <c r="F26" s="14" t="n">
        <f aca="false">F24-F25</f>
        <v>2967861.9520012</v>
      </c>
      <c r="G26" s="37"/>
    </row>
    <row r="28" customFormat="false" ht="15" hidden="false" customHeight="false" outlineLevel="0" collapsed="false">
      <c r="A28" s="2" t="s">
        <v>634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66</v>
      </c>
      <c r="B29" s="9" t="s">
        <v>625</v>
      </c>
      <c r="C29" s="9" t="s">
        <v>626</v>
      </c>
      <c r="D29" s="9" t="s">
        <v>627</v>
      </c>
      <c r="E29" s="9" t="s">
        <v>628</v>
      </c>
      <c r="F29" s="9" t="s">
        <v>629</v>
      </c>
      <c r="G29" s="9" t="s">
        <v>630</v>
      </c>
    </row>
    <row r="30" customFormat="false" ht="15" hidden="false" customHeight="false" outlineLevel="0" collapsed="false">
      <c r="A30" s="3" t="s">
        <v>631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632</v>
      </c>
      <c r="B31" s="33" t="n">
        <f aca="false">Consolidado!C41</f>
        <v>33067690.8539382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33067690.8539382</v>
      </c>
      <c r="F31" s="14" t="n">
        <f aca="false">C31+E31</f>
        <v>33067690.8539382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633</v>
      </c>
      <c r="B32" s="14" t="n">
        <f aca="false">B30-B31</f>
        <v>4962677.7280018</v>
      </c>
      <c r="C32" s="14" t="n">
        <f aca="false">C30-C31</f>
        <v>0</v>
      </c>
      <c r="D32" s="37"/>
      <c r="E32" s="14" t="n">
        <f aca="false">E30-E31</f>
        <v>4962677.7280018</v>
      </c>
      <c r="F32" s="14" t="n">
        <f aca="false">F30-F31</f>
        <v>4962677.7280018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635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636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637</v>
      </c>
      <c r="C4" s="9" t="s">
        <v>638</v>
      </c>
      <c r="D4" s="9" t="s">
        <v>639</v>
      </c>
      <c r="E4" s="9" t="s">
        <v>640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641</v>
      </c>
      <c r="D5" s="37"/>
      <c r="E5" s="37"/>
      <c r="F5" s="3" t="s">
        <v>642</v>
      </c>
    </row>
    <row r="6" customFormat="false" ht="15" hidden="false" customHeight="false" outlineLevel="0" collapsed="false">
      <c r="A6" s="38"/>
      <c r="B6" s="34"/>
      <c r="C6" s="38"/>
      <c r="D6" s="34"/>
      <c r="E6" s="12" t="str">
        <f aca="false">IF(OR(B6="",D6=""),"",B6-D6)</f>
        <v/>
      </c>
      <c r="F6" s="38"/>
    </row>
    <row r="7" customFormat="false" ht="15" hidden="false" customHeight="false" outlineLevel="0" collapsed="false">
      <c r="A7" s="38"/>
      <c r="B7" s="34"/>
      <c r="C7" s="38"/>
      <c r="D7" s="34"/>
      <c r="E7" s="12" t="str">
        <f aca="false">IF(OR(B7="",D7=""),"",B7-D7)</f>
        <v/>
      </c>
      <c r="F7" s="38"/>
    </row>
    <row r="8" customFormat="false" ht="15" hidden="false" customHeight="false" outlineLevel="0" collapsed="false">
      <c r="A8" s="38"/>
      <c r="B8" s="34"/>
      <c r="C8" s="38"/>
      <c r="D8" s="34"/>
      <c r="E8" s="12" t="str">
        <f aca="false">IF(OR(B8="",D8=""),"",B8-D8)</f>
        <v/>
      </c>
      <c r="F8" s="38"/>
    </row>
    <row r="9" customFormat="false" ht="15" hidden="false" customHeight="false" outlineLevel="0" collapsed="false">
      <c r="A9" s="38"/>
      <c r="B9" s="34"/>
      <c r="C9" s="38"/>
      <c r="D9" s="34"/>
      <c r="E9" s="12" t="str">
        <f aca="false">IF(OR(B9="",D9=""),"",B9-D9)</f>
        <v/>
      </c>
      <c r="F9" s="38"/>
    </row>
    <row r="10" customFormat="false" ht="15" hidden="false" customHeight="false" outlineLevel="0" collapsed="false">
      <c r="A10" s="38"/>
      <c r="B10" s="34"/>
      <c r="C10" s="38"/>
      <c r="D10" s="34"/>
      <c r="E10" s="12" t="str">
        <f aca="false">IF(OR(B10="",D10=""),"",B10-D10)</f>
        <v/>
      </c>
      <c r="F10" s="38"/>
    </row>
    <row r="11" customFormat="false" ht="15" hidden="false" customHeight="false" outlineLevel="0" collapsed="false">
      <c r="A11" s="38"/>
      <c r="B11" s="34"/>
      <c r="C11" s="38"/>
      <c r="D11" s="34"/>
      <c r="E11" s="12" t="str">
        <f aca="false">IF(OR(B11="",D11=""),"",B11-D11)</f>
        <v/>
      </c>
      <c r="F11" s="38"/>
    </row>
    <row r="12" customFormat="false" ht="15" hidden="false" customHeight="false" outlineLevel="0" collapsed="false">
      <c r="A12" s="38"/>
      <c r="B12" s="34"/>
      <c r="C12" s="38"/>
      <c r="D12" s="34"/>
      <c r="E12" s="12" t="str">
        <f aca="false">IF(OR(B12="",D12=""),"",B12-D12)</f>
        <v/>
      </c>
      <c r="F12" s="38"/>
    </row>
    <row r="13" customFormat="false" ht="15" hidden="false" customHeight="false" outlineLevel="0" collapsed="false">
      <c r="A13" s="38"/>
      <c r="B13" s="34"/>
      <c r="C13" s="38"/>
      <c r="D13" s="34"/>
      <c r="E13" s="12" t="str">
        <f aca="false">IF(OR(B13="",D13=""),"",B13-D13)</f>
        <v/>
      </c>
      <c r="F13" s="38"/>
    </row>
    <row r="14" customFormat="false" ht="15" hidden="false" customHeight="false" outlineLevel="0" collapsed="false">
      <c r="A14" s="38"/>
      <c r="B14" s="34"/>
      <c r="C14" s="38"/>
      <c r="D14" s="34"/>
      <c r="E14" s="12" t="str">
        <f aca="false">IF(OR(B14="",D14=""),"",B14-D14)</f>
        <v/>
      </c>
      <c r="F14" s="38"/>
    </row>
    <row r="15" customFormat="false" ht="15" hidden="false" customHeight="false" outlineLevel="0" collapsed="false">
      <c r="A15" s="38"/>
      <c r="B15" s="34"/>
      <c r="C15" s="38"/>
      <c r="D15" s="34"/>
      <c r="E15" s="12" t="str">
        <f aca="false">IF(OR(B15="",D15=""),"",B15-D15)</f>
        <v/>
      </c>
      <c r="F15" s="38"/>
    </row>
    <row r="16" customFormat="false" ht="15" hidden="false" customHeight="false" outlineLevel="0" collapsed="false">
      <c r="A16" s="38"/>
      <c r="B16" s="34"/>
      <c r="C16" s="38"/>
      <c r="D16" s="34"/>
      <c r="E16" s="12" t="str">
        <f aca="false">IF(OR(B16="",D16=""),"",B16-D16)</f>
        <v/>
      </c>
      <c r="F16" s="38"/>
    </row>
    <row r="17" customFormat="false" ht="15" hidden="false" customHeight="false" outlineLevel="0" collapsed="false">
      <c r="A17" s="38"/>
      <c r="B17" s="34"/>
      <c r="C17" s="38"/>
      <c r="D17" s="34"/>
      <c r="E17" s="12" t="str">
        <f aca="false">IF(OR(B17="",D17=""),"",B17-D17)</f>
        <v/>
      </c>
      <c r="F17" s="38"/>
    </row>
    <row r="18" customFormat="false" ht="15" hidden="false" customHeight="false" outlineLevel="0" collapsed="false">
      <c r="A18" s="38"/>
      <c r="B18" s="34"/>
      <c r="C18" s="38"/>
      <c r="D18" s="34"/>
      <c r="E18" s="12" t="str">
        <f aca="false">IF(OR(B18="",D18=""),"",B18-D18)</f>
        <v/>
      </c>
      <c r="F18" s="38"/>
    </row>
    <row r="19" customFormat="false" ht="15" hidden="false" customHeight="false" outlineLevel="0" collapsed="false">
      <c r="A19" s="38"/>
      <c r="B19" s="34"/>
      <c r="C19" s="38"/>
      <c r="D19" s="34"/>
      <c r="E19" s="12" t="str">
        <f aca="false">IF(OR(B19="",D19=""),"",B19-D19)</f>
        <v/>
      </c>
      <c r="F19" s="38"/>
    </row>
    <row r="20" customFormat="false" ht="15" hidden="false" customHeight="false" outlineLevel="0" collapsed="false">
      <c r="A20" s="38"/>
      <c r="B20" s="34"/>
      <c r="C20" s="38"/>
      <c r="D20" s="34"/>
      <c r="E20" s="12" t="str">
        <f aca="false">IF(OR(B20="",D20=""),"",B20-D20)</f>
        <v/>
      </c>
      <c r="F20" s="38"/>
    </row>
    <row r="21" customFormat="false" ht="15" hidden="false" customHeight="false" outlineLevel="0" collapsed="false">
      <c r="A21" s="38"/>
      <c r="B21" s="34"/>
      <c r="C21" s="38"/>
      <c r="D21" s="34"/>
      <c r="E21" s="12" t="str">
        <f aca="false">IF(OR(B21="",D21=""),"",B21-D21)</f>
        <v/>
      </c>
      <c r="F21" s="38"/>
    </row>
    <row r="22" customFormat="false" ht="15" hidden="false" customHeight="false" outlineLevel="0" collapsed="false">
      <c r="A22" s="38"/>
      <c r="B22" s="34"/>
      <c r="C22" s="38"/>
      <c r="D22" s="34"/>
      <c r="E22" s="12" t="str">
        <f aca="false">IF(OR(B22="",D22=""),"",B22-D22)</f>
        <v/>
      </c>
      <c r="F22" s="38"/>
    </row>
    <row r="23" customFormat="false" ht="15" hidden="false" customHeight="false" outlineLevel="0" collapsed="false">
      <c r="A23" s="38"/>
      <c r="B23" s="34"/>
      <c r="C23" s="38"/>
      <c r="D23" s="34"/>
      <c r="E23" s="12" t="str">
        <f aca="false">IF(OR(B23="",D23=""),"",B23-D23)</f>
        <v/>
      </c>
      <c r="F23" s="38"/>
    </row>
    <row r="24" customFormat="false" ht="15" hidden="false" customHeight="false" outlineLevel="0" collapsed="false">
      <c r="A24" s="38"/>
      <c r="B24" s="34"/>
      <c r="C24" s="38"/>
      <c r="D24" s="34"/>
      <c r="E24" s="12" t="str">
        <f aca="false">IF(OR(B24="",D24=""),"",B24-D24)</f>
        <v/>
      </c>
      <c r="F24" s="38"/>
    </row>
    <row r="25" customFormat="false" ht="15" hidden="false" customHeight="false" outlineLevel="0" collapsed="false">
      <c r="A25" s="38"/>
      <c r="B25" s="34"/>
      <c r="C25" s="38"/>
      <c r="D25" s="34"/>
      <c r="E25" s="12" t="str">
        <f aca="false">IF(OR(B25="",D25=""),"",B25-D25)</f>
        <v/>
      </c>
      <c r="F25" s="38"/>
    </row>
    <row r="26" customFormat="false" ht="15" hidden="false" customHeight="false" outlineLevel="0" collapsed="false">
      <c r="A26" s="38"/>
      <c r="B26" s="34"/>
      <c r="C26" s="38"/>
      <c r="D26" s="34"/>
      <c r="E26" s="12" t="str">
        <f aca="false">IF(OR(B26="",D26=""),"",B26-D26)</f>
        <v/>
      </c>
      <c r="F26" s="38"/>
    </row>
    <row r="27" customFormat="false" ht="15" hidden="false" customHeight="false" outlineLevel="0" collapsed="false">
      <c r="A27" s="38"/>
      <c r="B27" s="34"/>
      <c r="C27" s="38"/>
      <c r="D27" s="34"/>
      <c r="E27" s="12" t="str">
        <f aca="false">IF(OR(B27="",D27=""),"",B27-D27)</f>
        <v/>
      </c>
      <c r="F27" s="38"/>
    </row>
    <row r="28" customFormat="false" ht="15" hidden="false" customHeight="false" outlineLevel="0" collapsed="false">
      <c r="A28" s="38"/>
      <c r="B28" s="34"/>
      <c r="C28" s="38"/>
      <c r="D28" s="34"/>
      <c r="E28" s="12" t="str">
        <f aca="false">IF(OR(B28="",D28=""),"",B28-D28)</f>
        <v/>
      </c>
      <c r="F28" s="38"/>
    </row>
    <row r="29" customFormat="false" ht="15" hidden="false" customHeight="false" outlineLevel="0" collapsed="false">
      <c r="A29" s="38"/>
      <c r="B29" s="34"/>
      <c r="C29" s="38"/>
      <c r="D29" s="34"/>
      <c r="E29" s="12" t="str">
        <f aca="false">IF(OR(B29="",D29=""),"",B29-D29)</f>
        <v/>
      </c>
      <c r="F29" s="38"/>
    </row>
    <row r="30" customFormat="false" ht="15" hidden="false" customHeight="false" outlineLevel="0" collapsed="false">
      <c r="A30" s="38"/>
      <c r="B30" s="34"/>
      <c r="C30" s="38"/>
      <c r="D30" s="34"/>
      <c r="E30" s="12" t="str">
        <f aca="false">IF(OR(B30="",D30=""),"",B30-D30)</f>
        <v/>
      </c>
      <c r="F30" s="3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2026-07-30T15:20:12Z</dcterms:created>
  <dc:creator>openpyxl</dc:creator>
  <dc:description/>
  <dc:language>en-US</dc:language>
  <cp:lastModifiedBy/>
  <dcterms:modified xsi:type="dcterms:W3CDTF">2026-07-30T15:20:13Z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