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Categorizacion_Cartola_Julio" sheetId="9" state="visible" r:id="rId11"/>
    <sheet name="Bitácora_Saldo_Diari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<sst xmlns="http://schemas.openxmlformats.org/spreadsheetml/2006/main" count="3029" uniqueCount="746">
  <si>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</si>
  <si>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</si>
  <si>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</si>
  <si>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</si>
  <si>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</si>
  <si>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</si>
  <si>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</si>
  <si>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</si>
  <si>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</si>
  <si>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</si>
  <si>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</si>
  <si>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</si>
  <si>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</si>
  <si>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</si>
  <si>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</si>
  <si>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</si>
  <si>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</si>
  <si>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</si>
  <si>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</si>
  <si>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</si>
  <si>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</si>
  <si>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</si>
  <si>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</si>
  <si>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</si>
  <si>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</si>
  <si>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</si>
  <si>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</si>
  <si>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</si>
  <si>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</si>
  <si>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</si>
  <si>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</si>
  <si>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</si>
  <si>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</si>
  <si>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</si>
  <si>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</si>
  <si>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</si>
  <si>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</si>
  <si>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</si>
  <si>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</si>
  <si>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</si>
  <si>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</si>
  <si>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</si>
  <si>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</si>
  <si>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</si>
  <si>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</si>
  <si>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</si>
  <si>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</si>
  <si>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</si>
  <si>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</si>
  <si>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</si>
  <si>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</si>
  <si>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</si>
  <si>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</si>
  <si>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</si>
  <si>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</si>
  <si>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</si>
  <si>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</si>
  <si>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</si>
  <si>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</si>
  <si>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</si>
  <si>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</si>
  <si>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</si>
  <si>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</si>
  <si>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</si>
  <si>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</si>
  <si>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</si>
  <si>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</si>
  <si>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</si>
  <si>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</si>
  <si>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</si>
  <si>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</si>
  <si>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</si>
  <si>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</si>
  <si>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</si>
  <si>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</si>
  <si>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</si>
  <si>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</si>
  <si>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</si>
  <si>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</si>
  <si>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</si>
  <si>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</si>
  <si>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</si>
  <si>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</si>
  <si>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</si>
  <si>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</si>
  <si>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</si>
  <si>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</si>
  <si>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</si>
  <si>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</si>
  <si>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</si>
  <si>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</si>
  <si>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</si>
  <si>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</si>
  <si>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</si>
  <si>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</si>
  <si>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</si>
  <si>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</si>
  <si>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</si>
  <si>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</si>
  <si>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</si>
  <si>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</si>
  <si>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</si>
  <si>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</si>
  <si>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</si>
  <si>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</si>
  <si>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</si>
  <si>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</si>
  <si>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</si>
  <si>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</si>
  <si>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</si>
  <si>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</si>
  <si>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</si>
  <si>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</si>
  <si>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</si>
  <si>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</si>
  <si>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</si>
  <si>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</si>
  <si>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</si>
  <si>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</si>
  <si>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</si>
  <si>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</si>
  <si>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</si>
  <si>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</si>
  <si>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</si>
  <si>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</si>
  <si>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</si>
  <si>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</si>
  <si>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</si>
  <si>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</si>
  <si>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</si>
  <si>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</si>
  <si>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</si>
  <si>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</si>
  <si>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</si>
  <si>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</si>
  <si>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</si>
  <si>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</si>
  <si>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</si>
  <si>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</si>
  <si>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</si>
  <si>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</si>
  <si>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</si>
  <si>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</si>
  <si>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</si>
  <si>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</si>
  <si>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</si>
  <si>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</si>
  <si>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</si>
  <si>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</si>
  <si>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</si>
  <si>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</si>
  <si>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</si>
  <si>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</si>
  <si>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</si>
  <si>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</si>
  <si>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</si>
  <si>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</si>
  <si>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</si>
  <si>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</si>
  <si>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</si>
  <si>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</si>
  <si>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</si>
  <si>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</si>
  <si>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</si>
  <si>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</si>
  <si>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</si>
  <si>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</si>
  <si>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</si>
  <si>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</si>
  <si>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</si>
  <si>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</si>
  <si>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</si>
  <si>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</si>
  <si>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</si>
  <si>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</si>
  <si>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</si>
  <si>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</si>
  <si>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</si>
  <si>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</si>
  <si>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</si>
  <si>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</si>
  <si>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</si>
  <si>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</si>
  <si>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</si>
  <si>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</si>
  <si>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</si>
  <si>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</si>
  <si>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</si>
  <si>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</si>
  <si>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</si>
  <si>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</si>
  <si>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</si>
  <si>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</si>
  <si>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</si>
  <si>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</si>
  <si>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</si>
  <si>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</si>
  <si>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</si>
  <si>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</si>
  <si>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</si>
  <si>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</si>
  <si>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</si>
  <si>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</si>
  <si>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</si>
  <si>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</si>
  <si>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</si>
  <si>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</si>
  <si>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</si>
  <si>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</si>
  <si>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</si>
  <si>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</si>
  <si>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</si>
  <si>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</si>
  <si>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</si>
  <si>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</si>
  <si>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</si>
  <si>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</si>
  <si>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</si>
  <si>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</si>
  <si>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</si>
  <si>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</si>
  <si>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</si>
  <si>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</si>
  <si>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</si>
  <si>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</si>
  <si>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</si>
  <si>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</si>
  <si>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</si>
  <si>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</si>
  <si>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</si>
  <si>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</si>
  <si>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</si>
  <si>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</si>
  <si>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</si>
  <si>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</si>
  <si>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</si>
  <si>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</si>
  <si>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</si>
  <si>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</si>
  <si>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</si>
  <si>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</si>
  <si>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</si>
  <si>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</si>
  <si>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</si>
  <si>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</si>
  <si>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</si>
  <si>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</si>
  <si>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</si>
  <si>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</si>
  <si>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</si>
  <si>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</si>
  <si>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</si>
  <si>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</si>
  <si>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</si>
  <si>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</si>
  <si>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</si>
  <si>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</si>
  <si>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</si>
  <si>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</si>
  <si>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</si>
  <si>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</si>
  <si>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</si>
  <si>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</si>
  <si>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</si>
  <si>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</si>
  <si>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</si>
  <si>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</si>
  <si>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</si>
  <si>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</si>
  <si>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</si>
  <si>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</si>
  <si>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</si>
  <si>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</si>
  <si>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</si>
  <si>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</si>
  <si>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</si>
  <si>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</si>
  <si>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</si>
  <si>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</si>
  <si>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</si>
  <si>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</si>
  <si>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</si>
  <si>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</si>
  <si>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</si>
  <si>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</si>
  <si>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</si>
  <si>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</si>
  <si>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</si>
  <si>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</si>
  <si>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</si>
  <si>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</si>
  <si>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</si>
  <si>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</si>
  <si>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</si>
  <si>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</si>
  <si>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</si>
  <si>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</si>
  <si>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</si>
  <si>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</si>
  <si>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</si>
  <si>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</si>
  <si>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</si>
  <si>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</si>
  <si>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</si>
  <si>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</si>
  <si>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</si>
  <si>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</si>
  <si>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</si>
  <si>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</si>
  <si>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</si>
  <si>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</si>
  <si>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</si>
  <si>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</si>
  <si>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</si>
  <si>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</si>
  <si>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</si>
  <si>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</si>
  <si>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</si>
  <si>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</si>
  <si>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</si>
  <si>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</si>
  <si>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</si>
  <si>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</si>
  <si>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</si>
  <si>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</si>
  <si>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</si>
  <si>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</si>
  <si>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</si>
  <si>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</si>
  <si>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</si>
  <si>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</si>
  <si>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</si>
  <si>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</si>
  <si>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</si>
  <si>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</si>
  <si>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</si>
  <si>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</si>
  <si>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</si>
  <si>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</si>
  <si>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</si>
  <si>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</si>
  <si>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</si>
  <si>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</si>
  <si>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</si>
  <si>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</si>
  <si>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</si>
  <si>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</si>
  <si>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</si>
  <si>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</si>
  <si>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</si>
  <si>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</si>
  <si>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</si>
  <si>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</si>
  <si>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</si>
  <si>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</si>
  <si>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</si>
  <si>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</si>
  <si>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</si>
  <si>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</si>
  <si>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</si>
  <si>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</si>
  <si>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</si>
  <si>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</si>
  <si>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</si>
  <si>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</si>
  <si>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</si>
  <si>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</si>
  <si>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</si>
  <si>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</si>
  <si>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</si>
  <si>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</si>
  <si>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</si>
  <si>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</si>
  <si>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</si>
  <si>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</si>
  <si>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</si>
  <si>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</si>
  <si>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</si>
  <si>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</si>
  <si>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</si>
  <si>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</si>
  <si>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</si>
  <si>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</si>
  <si>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</si>
  <si>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</si>
  <si>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</si>
  <si>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</si>
  <si>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</si>
  <si>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</si>
  <si>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</si>
  <si>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</si>
  <si>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</si>
  <si>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</si>
  <si>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</si>
  <si>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</si>
  <si>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</si>
  <si>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</si>
  <si>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</si>
  <si>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</si>
  <si>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</si>
  <si>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</si>
  <si>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</si>
  <si>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</si>
  <si>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</si>
  <si>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</si>
  <si>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</si>
  <si>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</si>
  <si>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</si>
  <si>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</si>
  <si>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</si>
  <si>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</si>
  <si>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</si>
  <si>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</si>
  <si>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</si>
  <si>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</si>
  <si>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</si>
  <si>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</si>
  <si>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</si>
  <si>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</si>
  <si>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</si>
  <si>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</si>
  <si>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</si>
  <si>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</si>
  <si>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</si>
  <si>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</si>
  <si>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</si>
  <si>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</si>
  <si>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</si>
  <si>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</si>
  <si>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</si>
  <si>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</si>
  <si>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</si>
  <si>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</si>
  <si>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</si>
  <si>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</si>
  <si>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</si>
  <si>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</si>
  <si>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</si>
  <si>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</si>
  <si>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</si>
  <si>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</si>
  <si>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</si>
  <si>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</si>
  <si>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</si>
  <si>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</si>
  <si>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</si>
  <si>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</si>
  <si>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</si>
  <si>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</si>
  <si>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</si>
  <si>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</si>
  <si>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</si>
  <si>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</si>
  <si>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</si>
  <si>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</si>
  <si>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</si>
  <si>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</si>
  <si>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</si>
  <si>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</si>
  <si>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</si>
  <si>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</si>
  <si>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</si>
  <si>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</si>
  <si>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</si>
  <si>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</si>
  <si>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</si>
  <si>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</si>
  <si>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</si>
  <si>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</si>
  <si>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</si>
  <si>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</si>
  <si>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</si>
  <si>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</si>
  <si>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</si>
  <si>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</si>
  <si>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</si>
  <si>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</si>
  <si>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</si>
  <si>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</si>
  <si>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</si>
  <si>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</si>
  <si>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</si>
  <si>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</si>
  <si>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</si>
  <si>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</si>
  <si>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</si>
  <si>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</si>
  <si>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</si>
  <si>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</si>
  <si>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</si>
  <si>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</si>
  <si>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</si>
  <si>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</si>
  <si>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</si>
  <si>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</si>
  <si>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</si>
  <si>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</si>
  <si>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</si>
  <si>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</si>
  <si>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</si>
  <si>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</si>
  <si>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</si>
  <si>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</si>
  <si>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</si>
  <si>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</si>
  <si>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</si>
  <si>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</si>
  <si>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</si>
  <si>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</si>
  <si>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</si>
  <si>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</si>
  <si>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</si>
  <si>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</si>
  <si>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</si>
  <si>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</si>
  <si>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</si>
  <si>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</si>
  <si>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</si>
  <si>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</si>
  <si>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</si>
  <si>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</si>
  <si>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</si>
  <si>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</si>
  <si>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</si>
  <si>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</si>
  <si>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</si>
  <si>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</si>
  <si>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</si>
  <si>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</si>
  <si>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</si>
  <si>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</si>
  <si>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</si>
  <si>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</si>
  <si>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</si>
  <si>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</si>
  <si>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</si>
  <si>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</si>
  <si>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</si>
  <si>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</si>
  <si>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</si>
  <si>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</si>
  <si>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</si>
  <si>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</si>
  <si>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</si>
  <si>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</si>
  <si>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</si>
  <si>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</si>
  <si>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</si>
  <si>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</si>
  <si>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</si>
  <si>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</si>
  <si>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</si>
  <si>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</si>
  <si>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</si>
  <si>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</si>
  <si>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</si>
  <si>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</si>
  <si>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</si>
  <si>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</si>
  <si>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</si>
  <si>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</si>
  <si>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</si>
  <si>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</si>
  <si>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</si>
  <si>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</si>
  <si>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</si>
  <si>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</si>
  <si>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</si>
  <si>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</si>
  <si>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</si>
  <si>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</si>
  <si>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</si>
  <si>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</si>
  <si>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</si>
  <si>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</si>
  <si>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</si>
  <si>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</si>
  <si>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</si>
  <si>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</si>
  <si>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</si>
  <si>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</si>
  <si>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</si>
  <si>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</si>
  <si>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</si>
  <si>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</si>
  <si>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</si>
  <si>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</si>
  <si>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</si>
  <si>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</si>
  <si>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</si>
  <si>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</si>
  <si>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</si>
  <si>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</si>
  <si>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</si>
  <si>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</si>
  <si>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</si>
  <si>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</si>
  <si>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</si>
  <si>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</si>
  <si>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</si>
  <si>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</si>
  <si>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</si>
  <si>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</si>
  <si>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</si>
  <si>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</si>
  <si>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</si>
  <si>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</si>
  <si>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</si>
  <si>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</si>
  <si>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</si>
  <si>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</si>
  <si>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</si>
  <si>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</si>
  <si>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</si>
  <si>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</si>
  <si>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</si>
  <si>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</si>
  <si>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</si>
  <si>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</si>
  <si>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</si>
  <si>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</si>
  <si>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</si>
  <si>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</si>
  <si>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</si>
  <si>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</si>
  <si>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</si>
  <si>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</si>
  <si>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</si>
  <si>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</si>
  <si>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</si>
  <si>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</si>
  <si>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</si>
  <si>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</si>
  <si>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</si>
  <si>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</si>
  <si>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</si>
  <si>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</si>
  <si>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</si>
  <si>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</si>
  <si>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</si>
  <si>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</si>
  <si>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</si>
  <si>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</si>
  <si>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</si>
  <si>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</si>
  <si>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INFORME DE RESULTADOS FINANCIEROS — JULIO 2026 (REAL — Ingreso Devengado, mes cerrado)</t>
  </si>
  <si>
    <t xml:space="preserve">Julio 2026 (Real)</t>
  </si>
  <si>
    <t xml:space="preserve">Ingreso Neto Devengado (servicios_piloto, 35 servicios reales)</t>
  </si>
  <si>
    <t xml:space="preserve">  · de lo cual Facturado (en RCV)</t>
  </si>
  <si>
    <t xml:space="preserve">  · de lo cual Pendiente de Facturar (kaptura_cuentas_por_facturar)</t>
  </si>
  <si>
    <t xml:space="preserve">IVA Débito Fiscal (informativo, sobre lo facturado)</t>
  </si>
  <si>
    <t xml:space="preserve">Combustible (real, Aramco+Copec vía cartola)</t>
  </si>
  <si>
    <t xml:space="preserve">Neumáticos (real, Vulko SPA)</t>
  </si>
  <si>
    <t xml:space="preserve">Mantención (real, RCV cruzado)</t>
  </si>
  <si>
    <t xml:space="preserve">Viático (real, cartola)</t>
  </si>
  <si>
    <t xml:space="preserve">Gastos de Representación</t>
  </si>
  <si>
    <t xml:space="preserve">Remuneración Administrativa (sin desglose exacto — ver nota)</t>
  </si>
  <si>
    <t xml:space="preserve">Factoring (costo real: 3 comprobantes reales)</t>
  </si>
  <si>
    <t xml:space="preserve">% Utilidad / Ingreso Devengado</t>
  </si>
  <si>
    <t xml:space="preserve">CORREGIDO 31-07-2026: la primera versión de este informe usaba solo el RCV Venta ($12.340.900) como ingreso — subestimaba julio en $3.082.400 porque 3 clientes completos (Presmita, Citrus Agro, Trans Luciano) y parte de Sollem/Danilo Núñez tenían servicios reales ejecutados sin factura emitida. Ahora usa servicios_piloto (ingreso devengado real), con el detalle Facturado/Pendiente separado.</t>
  </si>
  <si>
    <t xml:space="preserve">Los $7.587.600 pendientes de facturar quedaron cargados en la tabla nueva kaptura_cuentas_por_facturar (21 servicios, creada 31-07-2026) — tabla que no existía en el sistema hasta ahora.</t>
  </si>
  <si>
    <t xml:space="preserve">IVA Débito recalculado solo sobre lo YA facturado ($7.835.700 × 19%), no sobre el devengado total — el IVA solo se genera al emitir la factura.</t>
  </si>
  <si>
    <t xml:space="preserve">Julio NO tiene presupuesto formal (el sistema de presupuesto formal parte en Agosto) — por eso esta tabla no tiene columna de comparación, solo el real.</t>
  </si>
  <si>
    <t xml:space="preserve">Costos en base CASH (lo que efectivamente salió del banco en julio), cruzados 1 a 1 contra RCV Compra/Venta y comprobantes reales donde existen (Vulko, Construmart, Cardánica, factoring) — no son supuestos.</t>
  </si>
  <si>
    <t xml:space="preserve">'Remuneración Administrativa' ($6.656.800) sigue siendo el bloque menos confiable: 72 transferencias sin desglose exacto de sueldo/viático/anticipo.</t>
  </si>
  <si>
    <t xml:space="preserve">Costo de Factoring ($459.420) = folio 20+bundle $158.549, folio 22 $152.894 (dato previo Kaptura), folio 28 $147.977 (comprobante real LATAM Trade Capital).</t>
  </si>
  <si>
    <t xml:space="preserve">S-85 (Presmita, 24-07) quedó registrado con tarifa $0 en servicios_piloto — posible error de carga, no se incluyó valor en Pendiente de Facturar por esa fila.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</si>
  <si>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</si>
  <si>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</si>
  <si>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</si>
  <si>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</si>
  <si>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</si>
  <si>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</si>
  <si>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</si>
  <si>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</si>
  <si>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</si>
  <si>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</si>
  <si>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</si>
  <si>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</si>
  <si>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</si>
  <si>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CATEGORIZACIÓN CARTOLA JULIO 2026 — para revisión antes de cargar a kaptura_estado_resultados</t>
  </si>
  <si>
    <t xml:space="preserve">Cartola histórica definitiva N°3 (30/06 al 31/07/2026, 152 movimientos). Categorías = las 26 reales de kaptura_categorias_costo (Supabase), no un esquema aparte. Columna "Revisar" queda en amarillo para las categorías de menor confianza (heurística por monto, o "otro_por_clasificar") — confírmelas o corríjalas acá antes de que se carguen a Supabase.</t>
  </si>
  <si>
    <t xml:space="preserve">Descripción Movimiento</t>
  </si>
  <si>
    <t xml:space="preserve">Cargo/
Abono</t>
  </si>
  <si>
    <t xml:space="preserve">Categoría (kaptura_categorias_costo)</t>
  </si>
  <si>
    <t xml:space="preserve">Centro de Costo</t>
  </si>
  <si>
    <t xml:space="preserve">Confianza / Revisar</t>
  </si>
  <si>
    <t xml:space="preserve">transferencia_interna_por_confirmar</t>
  </si>
  <si>
    <t xml:space="preserve">administracion</t>
  </si>
  <si>
    <t xml:space="preserve">Media</t>
  </si>
  <si>
    <t xml:space="preserve">PAGO EN LINEA ESMAX</t>
  </si>
  <si>
    <t xml:space="preserve">combustible</t>
  </si>
  <si>
    <t xml:space="preserve">flota</t>
  </si>
  <si>
    <t xml:space="preserve">Alta</t>
  </si>
  <si>
    <t xml:space="preserve">remuneracion_administrativa</t>
  </si>
  <si>
    <t xml:space="preserve">Baja — sin desglose exacto, revisar</t>
  </si>
  <si>
    <t xml:space="preserve">076630639K Transf a Servicios inte</t>
  </si>
  <si>
    <t xml:space="preserve">otro_por_clasificar</t>
  </si>
  <si>
    <t xml:space="preserve">Baja — evidencia agotada (RCV+web), sin identificar</t>
  </si>
  <si>
    <t xml:space="preserve">Compra Nacional MD VALPAR LTDA.</t>
  </si>
  <si>
    <t xml:space="preserve">mantencion</t>
  </si>
  <si>
    <t xml:space="preserve">Alta — RCV exacto o proveedor confirmado</t>
  </si>
  <si>
    <t xml:space="preserve">Compra Nacional MD IMPLEMENTOS S.A</t>
  </si>
  <si>
    <t xml:space="preserve">cobro_cliente</t>
  </si>
  <si>
    <t xml:space="preserve">comercial</t>
  </si>
  <si>
    <t xml:space="preserve">Alta — pago parcial El Enano SPA, RCV folio 12 junio</t>
  </si>
  <si>
    <t xml:space="preserve">aporte_retiro_socio</t>
  </si>
  <si>
    <t xml:space="preserve">viatico</t>
  </si>
  <si>
    <t xml:space="preserve">Media — heurística por monto múltiplo $12.000</t>
  </si>
  <si>
    <t xml:space="preserve">Sin clasificar — instrucción explícita del usuario</t>
  </si>
  <si>
    <t xml:space="preserve">0780993812 Transf. LOGISTICA Y TRA</t>
  </si>
  <si>
    <t xml:space="preserve">Alta — RCV folio 19/2, Alfa Jam / Santa Berenice</t>
  </si>
  <si>
    <t xml:space="preserve">Compra Nacional MD TTP S.A RANCAGU</t>
  </si>
  <si>
    <t xml:space="preserve">Compra Nacional MD COMERCIAL ECUAD</t>
  </si>
  <si>
    <t xml:space="preserve">gastos_representacion</t>
  </si>
  <si>
    <t xml:space="preserve">Alta — confirmado por el usuario (alimentación)</t>
  </si>
  <si>
    <t xml:space="preserve">0772640749 Transf a Fijasur</t>
  </si>
  <si>
    <t xml:space="preserve">factoring</t>
  </si>
  <si>
    <t xml:space="preserve">Alta — confirmado con comprobante real</t>
  </si>
  <si>
    <t xml:space="preserve">Compra Nacional MD TRANSAGRO RANCA</t>
  </si>
  <si>
    <t xml:space="preserve">iva</t>
  </si>
  <si>
    <t xml:space="preserve">Compra Nacional MD VULKO</t>
  </si>
  <si>
    <t xml:space="preserve">neumaticos</t>
  </si>
  <si>
    <t xml:space="preserve">Alta — RCV exacto folio 119271, Vulko SPA (vulcanización)</t>
  </si>
  <si>
    <t xml:space="preserve">Compra Nacional MD FEDICAR</t>
  </si>
  <si>
    <t xml:space="preserve">Compra Nacional MD SOLMET SPA</t>
  </si>
  <si>
    <t xml:space="preserve">Compra Nacional MD APRO</t>
  </si>
  <si>
    <t xml:space="preserve">Compra Nacional MD CONSTRU-MART RA</t>
  </si>
  <si>
    <t xml:space="preserve">Compra Nacional MD MERCADOPAGO *EL</t>
  </si>
  <si>
    <t xml:space="preserve">0070082349 Transf a VALDES CORNEJO</t>
  </si>
  <si>
    <t xml:space="preserve">Compra Nacional MD CARDANICA PACIF</t>
  </si>
  <si>
    <t xml:space="preserve">RESUMEN POR CATEGORÍA</t>
  </si>
  <si>
    <t xml:space="preserve">Categoría</t>
  </si>
  <si>
    <t xml:space="preserve">N° movimientos</t>
  </si>
  <si>
    <t xml:space="preserve">Total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</si>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</sst>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</row>
    <row r="21" customFormat="false" ht="15" hidden="false" customHeight="true" outlineLevel="0" collapsed="false">
      <c r="A21" s="9" t="s">
        <v>66</v>
      </c>
      <c r="B21" s="9" t="s">
        <v>646</v>
      </c>
      <c r="C21" s="9"/>
    </row>
    <row r="22" customFormat="false" ht="15" hidden="false" customHeight="false" outlineLevel="0" collapsed="false">
      <c r="A22" s="15" t="s">
        <v>647</v>
      </c>
      <c r="B22" s="17" t="n">
        <v>15423300</v>
      </c>
      <c r="C22" s="17"/>
    </row>
    <row r="23" customFormat="false" ht="15" hidden="false" customHeight="false" outlineLevel="0" collapsed="false">
      <c r="A23" s="3" t="s">
        <v>648</v>
      </c>
      <c r="B23" s="12" t="n">
        <v>7835700</v>
      </c>
      <c r="C23" s="12"/>
    </row>
    <row r="24" customFormat="false" ht="15" hidden="false" customHeight="false" outlineLevel="0" collapsed="false">
      <c r="A24" s="3" t="s">
        <v>649</v>
      </c>
      <c r="B24" s="12" t="n">
        <v>7587600</v>
      </c>
      <c r="C24" s="12"/>
    </row>
    <row r="25" customFormat="false" ht="15" hidden="false" customHeight="false" outlineLevel="0" collapsed="false">
      <c r="A25" s="3" t="s">
        <v>650</v>
      </c>
      <c r="B25" s="12" t="n">
        <v>1488783</v>
      </c>
      <c r="C25" s="12"/>
    </row>
    <row r="26" customFormat="false" ht="15" hidden="false" customHeight="false" outlineLevel="0" collapsed="false">
      <c r="A26" s="3" t="s">
        <v>651</v>
      </c>
      <c r="B26" s="12" t="n">
        <v>-6159145</v>
      </c>
      <c r="C26" s="12"/>
    </row>
    <row r="27" customFormat="false" ht="15" hidden="false" customHeight="false" outlineLevel="0" collapsed="false">
      <c r="A27" s="3" t="s">
        <v>652</v>
      </c>
      <c r="B27" s="12" t="n">
        <v>-405600</v>
      </c>
      <c r="C27" s="12"/>
    </row>
    <row r="28" customFormat="false" ht="15" hidden="false" customHeight="false" outlineLevel="0" collapsed="false">
      <c r="A28" s="3" t="s">
        <v>653</v>
      </c>
      <c r="B28" s="12" t="n">
        <v>-1385644</v>
      </c>
      <c r="C28" s="12"/>
    </row>
    <row r="29" customFormat="false" ht="15" hidden="false" customHeight="false" outlineLevel="0" collapsed="false">
      <c r="A29" s="3" t="s">
        <v>654</v>
      </c>
      <c r="B29" s="12" t="n">
        <v>-1200000</v>
      </c>
      <c r="C29" s="12"/>
    </row>
    <row r="30" customFormat="false" ht="15" hidden="false" customHeight="false" outlineLevel="0" collapsed="false">
      <c r="A30" s="3" t="s">
        <v>655</v>
      </c>
      <c r="B30" s="12" t="n">
        <v>-31955</v>
      </c>
      <c r="C30" s="12"/>
    </row>
    <row r="31" customFormat="false" ht="15" hidden="false" customHeight="false" outlineLevel="0" collapsed="false">
      <c r="A31" s="15" t="s">
        <v>115</v>
      </c>
      <c r="B31" s="17" t="n">
        <v>-9182344</v>
      </c>
      <c r="C31" s="17"/>
    </row>
    <row r="32" customFormat="false" ht="15" hidden="false" customHeight="false" outlineLevel="0" collapsed="false">
      <c r="A32" s="15" t="s">
        <v>643</v>
      </c>
      <c r="B32" s="17" t="n">
        <v>6240956</v>
      </c>
      <c r="C32" s="17"/>
    </row>
    <row r="33" customFormat="false" ht="15" hidden="false" customHeight="false" outlineLevel="0" collapsed="false">
      <c r="A33" s="3" t="s">
        <v>656</v>
      </c>
      <c r="B33" s="12" t="n">
        <v>-6656800</v>
      </c>
      <c r="C33" s="12"/>
    </row>
    <row r="34" customFormat="false" ht="15" hidden="false" customHeight="false" outlineLevel="0" collapsed="false">
      <c r="A34" s="3" t="s">
        <v>657</v>
      </c>
      <c r="B34" s="12" t="n">
        <v>-459420</v>
      </c>
      <c r="C34" s="12"/>
    </row>
    <row r="35" customFormat="false" ht="15" hidden="false" customHeight="false" outlineLevel="0" collapsed="false">
      <c r="A35" s="15" t="s">
        <v>149</v>
      </c>
      <c r="B35" s="17" t="n">
        <v>-875264</v>
      </c>
      <c r="C35" s="17"/>
    </row>
    <row r="36" customFormat="false" ht="15" hidden="false" customHeight="false" outlineLevel="0" collapsed="false">
      <c r="A36" s="18" t="s">
        <v>658</v>
      </c>
      <c r="B36" s="27" t="n">
        <v>-0.0567494634740944</v>
      </c>
      <c r="C36" s="27"/>
    </row>
    <row r="38" customFormat="false" ht="25.5" hidden="false" customHeight="true" outlineLevel="0" collapsed="false">
      <c r="A38" s="24" t="s">
        <v>659</v>
      </c>
      <c r="B38" s="24"/>
      <c r="C38" s="24"/>
      <c r="D38" s="24"/>
      <c r="E38" s="24"/>
      <c r="F38" s="24"/>
      <c r="G38" s="24"/>
    </row>
    <row r="39" customFormat="false" ht="25.5" hidden="false" customHeight="true" outlineLevel="0" collapsed="false">
      <c r="A39" s="24" t="s">
        <v>660</v>
      </c>
      <c r="B39" s="24"/>
      <c r="C39" s="24"/>
      <c r="D39" s="24"/>
      <c r="E39" s="24"/>
      <c r="F39" s="24"/>
      <c r="G39" s="24"/>
    </row>
    <row r="40" customFormat="false" ht="25.5" hidden="false" customHeight="true" outlineLevel="0" collapsed="false">
      <c r="A40" s="24" t="s">
        <v>661</v>
      </c>
      <c r="B40" s="24"/>
      <c r="C40" s="24"/>
      <c r="D40" s="24"/>
      <c r="E40" s="24"/>
      <c r="F40" s="24"/>
      <c r="G40" s="24"/>
    </row>
    <row r="41" customFormat="false" ht="25.5" hidden="false" customHeight="true" outlineLevel="0" collapsed="false">
      <c r="A41" s="24" t="s">
        <v>662</v>
      </c>
      <c r="B41" s="24"/>
      <c r="C41" s="24"/>
      <c r="D41" s="24"/>
      <c r="E41" s="24"/>
      <c r="F41" s="24"/>
      <c r="G41" s="24"/>
    </row>
    <row r="42" customFormat="false" ht="25.5" hidden="false" customHeight="true" outlineLevel="0" collapsed="false">
      <c r="A42" s="24" t="s">
        <v>663</v>
      </c>
      <c r="B42" s="24"/>
      <c r="C42" s="24"/>
      <c r="D42" s="24"/>
      <c r="E42" s="24"/>
      <c r="F42" s="24"/>
      <c r="G42" s="24"/>
    </row>
    <row r="43" customFormat="false" ht="25.5" hidden="false" customHeight="true" outlineLevel="0" collapsed="false">
      <c r="A43" s="24" t="s">
        <v>664</v>
      </c>
      <c r="B43" s="24"/>
      <c r="C43" s="24"/>
      <c r="D43" s="24"/>
      <c r="E43" s="24"/>
      <c r="F43" s="24"/>
      <c r="G43" s="24"/>
    </row>
    <row r="44" customFormat="false" ht="25.5" hidden="false" customHeight="true" outlineLevel="0" collapsed="false">
      <c r="A44" s="24" t="s">
        <v>665</v>
      </c>
      <c r="B44" s="24"/>
      <c r="C44" s="24"/>
      <c r="D44" s="24"/>
      <c r="E44" s="24"/>
      <c r="F44" s="24"/>
      <c r="G44" s="24"/>
    </row>
    <row r="45" customFormat="false" ht="25.5" hidden="false" customHeight="true" outlineLevel="0" collapsed="false">
      <c r="A45" s="24" t="s">
        <v>666</v>
      </c>
      <c r="B45" s="24"/>
      <c r="C45" s="24"/>
      <c r="D45" s="24"/>
      <c r="E45" s="24"/>
      <c r="F45" s="24"/>
      <c r="G45" s="24"/>
    </row>
    <row r="47" customFormat="false" ht="15" hidden="false" customHeight="false" outlineLevel="0" collapsed="false">
      <c r="A47" s="2" t="s">
        <v>667</v>
      </c>
      <c r="B47" s="2"/>
      <c r="C47" s="2"/>
      <c r="D47" s="2"/>
      <c r="E47" s="2"/>
      <c r="F47" s="2"/>
      <c r="G47" s="2"/>
    </row>
    <row r="48" customFormat="false" ht="15" hidden="false" customHeight="false" outlineLevel="0" collapsed="false">
      <c r="A48" s="28" t="s">
        <v>668</v>
      </c>
      <c r="B48" s="28"/>
      <c r="C48" s="28"/>
      <c r="D48" s="28"/>
      <c r="E48" s="28"/>
      <c r="F48" s="28"/>
      <c r="G48" s="28"/>
    </row>
    <row r="49" customFormat="false" ht="15" hidden="false" customHeight="false" outlineLevel="0" collapsed="false">
      <c r="A49" s="2" t="s">
        <v>669</v>
      </c>
      <c r="B49" s="2"/>
      <c r="C49" s="2"/>
      <c r="D49" s="2"/>
      <c r="E49" s="2"/>
      <c r="F49" s="2"/>
      <c r="G49" s="2"/>
    </row>
    <row r="50" customFormat="false" ht="26.85" hidden="false" customHeight="false" outlineLevel="0" collapsed="false">
      <c r="A50" s="9" t="s">
        <v>66</v>
      </c>
      <c r="B50" s="9" t="s">
        <v>670</v>
      </c>
      <c r="C50" s="9" t="s">
        <v>671</v>
      </c>
      <c r="D50" s="9" t="s">
        <v>672</v>
      </c>
      <c r="E50" s="9" t="s">
        <v>673</v>
      </c>
      <c r="F50" s="9" t="s">
        <v>674</v>
      </c>
      <c r="G50" s="9" t="s">
        <v>675</v>
      </c>
    </row>
    <row r="51" customFormat="false" ht="15" hidden="false" customHeight="false" outlineLevel="0" collapsed="false">
      <c r="A51" s="3" t="s">
        <v>676</v>
      </c>
      <c r="B51" s="33" t="n">
        <f aca="false">Consolidado!B32</f>
        <v>29402660.3612933</v>
      </c>
      <c r="C51" s="12" t="n">
        <f aca="false">SUM(Real_vs_Presupuesto!C6:C11)</f>
        <v>0</v>
      </c>
      <c r="D51" s="35" t="str">
        <f aca="false">COUNT(Real_vs_Presupuesto!C6:C11)&amp;" de 6"</f>
        <v>0 de 6</v>
      </c>
      <c r="E51" s="12" t="n">
        <f aca="false">SUMIF(Real_vs_Presupuesto!C6:C11,"",Real_vs_Presupuesto!B6:B11)</f>
        <v>29402660.3612933</v>
      </c>
      <c r="F51" s="14" t="n">
        <f aca="false">C51+E51</f>
        <v>29402660.3612933</v>
      </c>
      <c r="G51" s="27" t="n">
        <f aca="false">F51/B51</f>
        <v>1</v>
      </c>
    </row>
    <row r="52" customFormat="false" ht="15" hidden="false" customHeight="false" outlineLevel="0" collapsed="false">
      <c r="A52" s="3" t="s">
        <v>677</v>
      </c>
      <c r="B52" s="33" t="n">
        <f aca="false">Consolidado!C32</f>
        <v>26434798.4092921</v>
      </c>
      <c r="C52" s="12" t="n">
        <f aca="false">SUM(Real_vs_Presupuesto!F6:F11)</f>
        <v>0</v>
      </c>
      <c r="D52" s="35" t="str">
        <f aca="false">COUNT(Real_vs_Presupuesto!F6:F11)&amp;" de 6"</f>
        <v>0 de 6</v>
      </c>
      <c r="E52" s="12" t="n">
        <f aca="false">SUMIF(Real_vs_Presupuesto!F6:F11,"",Real_vs_Presupuesto!E6:E11)</f>
        <v>26434798.4092921</v>
      </c>
      <c r="F52" s="14" t="n">
        <f aca="false">C52+E52</f>
        <v>26434798.4092921</v>
      </c>
      <c r="G52" s="27" t="n">
        <f aca="false">F52/B52</f>
        <v>1</v>
      </c>
    </row>
    <row r="53" customFormat="false" ht="15" hidden="false" customHeight="false" outlineLevel="0" collapsed="false">
      <c r="A53" s="18" t="s">
        <v>678</v>
      </c>
      <c r="B53" s="14" t="n">
        <f aca="false">B51-B52</f>
        <v>2967861.9520012</v>
      </c>
      <c r="C53" s="14" t="n">
        <f aca="false">C51-C52</f>
        <v>0</v>
      </c>
      <c r="D53" s="37"/>
      <c r="E53" s="14" t="n">
        <f aca="false">E51-E52</f>
        <v>2967861.9520012</v>
      </c>
      <c r="F53" s="14" t="n">
        <f aca="false">F51-F52</f>
        <v>2967861.9520012</v>
      </c>
      <c r="G53" s="37"/>
    </row>
    <row r="55" customFormat="false" ht="15" hidden="false" customHeight="false" outlineLevel="0" collapsed="false">
      <c r="A55" s="2" t="s">
        <v>679</v>
      </c>
      <c r="B55" s="2"/>
      <c r="C55" s="2"/>
      <c r="D55" s="2"/>
      <c r="E55" s="2"/>
      <c r="F55" s="2"/>
      <c r="G55" s="2"/>
    </row>
    <row r="56" customFormat="false" ht="26.85" hidden="false" customHeight="false" outlineLevel="0" collapsed="false">
      <c r="A56" s="9" t="s">
        <v>66</v>
      </c>
      <c r="B56" s="9" t="s">
        <v>670</v>
      </c>
      <c r="C56" s="9" t="s">
        <v>671</v>
      </c>
      <c r="D56" s="9" t="s">
        <v>672</v>
      </c>
      <c r="E56" s="9" t="s">
        <v>673</v>
      </c>
      <c r="F56" s="9" t="s">
        <v>674</v>
      </c>
      <c r="G56" s="9" t="s">
        <v>675</v>
      </c>
    </row>
    <row r="57" customFormat="false" ht="15" hidden="false" customHeight="false" outlineLevel="0" collapsed="false">
      <c r="A57" s="3" t="s">
        <v>676</v>
      </c>
      <c r="B57" s="33" t="n">
        <f aca="false">Consolidado!B41</f>
        <v>38030368.58194</v>
      </c>
      <c r="C57" s="12" t="n">
        <f aca="false">SUM(Real_vs_Presupuesto!C15:C19)</f>
        <v>0</v>
      </c>
      <c r="D57" s="35" t="str">
        <f aca="false">COUNT(Real_vs_Presupuesto!C15:C19)&amp;" de 5"</f>
        <v>0 de 5</v>
      </c>
      <c r="E57" s="12" t="n">
        <f aca="false">SUMIF(Real_vs_Presupuesto!C15:C19,"",Real_vs_Presupuesto!B15:B19)</f>
        <v>38030368.58194</v>
      </c>
      <c r="F57" s="14" t="n">
        <f aca="false">C57+E57</f>
        <v>38030368.58194</v>
      </c>
      <c r="G57" s="27" t="n">
        <f aca="false">F57/B57</f>
        <v>1</v>
      </c>
    </row>
    <row r="58" customFormat="false" ht="15" hidden="false" customHeight="false" outlineLevel="0" collapsed="false">
      <c r="A58" s="3" t="s">
        <v>677</v>
      </c>
      <c r="B58" s="33" t="n">
        <f aca="false">Consolidado!C41</f>
        <v>33067690.8539382</v>
      </c>
      <c r="C58" s="12" t="n">
        <f aca="false">SUM(Real_vs_Presupuesto!F15:F19)</f>
        <v>0</v>
      </c>
      <c r="D58" s="35" t="str">
        <f aca="false">COUNT(Real_vs_Presupuesto!F15:F19)&amp;" de 5"</f>
        <v>0 de 5</v>
      </c>
      <c r="E58" s="12" t="n">
        <f aca="false">SUMIF(Real_vs_Presupuesto!F15:F19,"",Real_vs_Presupuesto!E15:E19)</f>
        <v>33067690.8539382</v>
      </c>
      <c r="F58" s="14" t="n">
        <f aca="false">C58+E58</f>
        <v>33067690.8539382</v>
      </c>
      <c r="G58" s="27" t="n">
        <f aca="false">F58/B58</f>
        <v>1</v>
      </c>
    </row>
    <row r="59" customFormat="false" ht="15" hidden="false" customHeight="false" outlineLevel="0" collapsed="false">
      <c r="A59" s="18" t="s">
        <v>678</v>
      </c>
      <c r="B59" s="14" t="n">
        <f aca="false">B57-B58</f>
        <v>4962677.7280018</v>
      </c>
      <c r="C59" s="14" t="n">
        <f aca="false">C57-C58</f>
        <v>0</v>
      </c>
      <c r="D59" s="37"/>
      <c r="E59" s="14" t="n">
        <f aca="false">E57-E58</f>
        <v>4962677.7280018</v>
      </c>
      <c r="F59" s="14" t="n">
        <f aca="false">F57-F58</f>
        <v>4962677.7280018</v>
      </c>
      <c r="G59" s="37"/>
    </row>
  </sheetData>
  <mergeCells count="32">
    <mergeCell ref="A1:G1"/>
    <mergeCell ref="A3:C3"/>
    <mergeCell ref="A17:G17"/>
    <mergeCell ref="A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A38:G38"/>
    <mergeCell ref="A39:G39"/>
    <mergeCell ref="A40:G40"/>
    <mergeCell ref="A41:G41"/>
    <mergeCell ref="A42:G42"/>
    <mergeCell ref="A43:G43"/>
    <mergeCell ref="A44:G44"/>
    <mergeCell ref="A45:G45"/>
    <mergeCell ref="A47:G47"/>
    <mergeCell ref="A48:G48"/>
    <mergeCell ref="A49:G49"/>
    <mergeCell ref="A55:G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6.15" hidden="false" customHeight="false" outlineLevel="0" collapsed="false">
      <c r="A1" s="1" t="s">
        <v>680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4" t="s">
        <v>681</v>
      </c>
      <c r="B2" s="24"/>
      <c r="C2" s="24"/>
      <c r="D2" s="24"/>
      <c r="E2" s="24"/>
      <c r="F2" s="24"/>
      <c r="G2" s="24"/>
    </row>
    <row r="4" customFormat="false" ht="39.55" hidden="false" customHeight="false" outlineLevel="0" collapsed="false">
      <c r="A4" s="9" t="s">
        <v>376</v>
      </c>
      <c r="B4" s="9" t="s">
        <v>682</v>
      </c>
      <c r="C4" s="9" t="s">
        <v>378</v>
      </c>
      <c r="D4" s="9" t="s">
        <v>683</v>
      </c>
      <c r="E4" s="9" t="s">
        <v>684</v>
      </c>
      <c r="F4" s="9" t="s">
        <v>685</v>
      </c>
      <c r="G4" s="9" t="s">
        <v>686</v>
      </c>
    </row>
    <row r="5" customFormat="false" ht="15" hidden="false" customHeight="false" outlineLevel="0" collapsed="false">
      <c r="A5" s="3" t="s">
        <v>435</v>
      </c>
      <c r="B5" s="3" t="s">
        <v>381</v>
      </c>
      <c r="C5" s="12" t="n">
        <v>2326472</v>
      </c>
      <c r="D5" s="3" t="s">
        <v>382</v>
      </c>
      <c r="E5" s="38" t="s">
        <v>687</v>
      </c>
      <c r="F5" s="3" t="s">
        <v>688</v>
      </c>
      <c r="G5" s="38" t="s">
        <v>689</v>
      </c>
    </row>
    <row r="6" customFormat="false" ht="15" hidden="false" customHeight="false" outlineLevel="0" collapsed="false">
      <c r="A6" s="3" t="s">
        <v>435</v>
      </c>
      <c r="B6" s="3" t="s">
        <v>690</v>
      </c>
      <c r="C6" s="12" t="n">
        <v>-1300000</v>
      </c>
      <c r="D6" s="3" t="s">
        <v>387</v>
      </c>
      <c r="E6" s="3" t="s">
        <v>691</v>
      </c>
      <c r="F6" s="3" t="s">
        <v>692</v>
      </c>
      <c r="G6" s="3" t="s">
        <v>693</v>
      </c>
    </row>
    <row r="7" customFormat="false" ht="15" hidden="false" customHeight="false" outlineLevel="0" collapsed="false">
      <c r="A7" s="3" t="s">
        <v>435</v>
      </c>
      <c r="B7" s="3" t="s">
        <v>390</v>
      </c>
      <c r="C7" s="12" t="n">
        <v>-70000</v>
      </c>
      <c r="D7" s="3" t="s">
        <v>387</v>
      </c>
      <c r="E7" s="38" t="s">
        <v>694</v>
      </c>
      <c r="F7" s="3" t="s">
        <v>688</v>
      </c>
      <c r="G7" s="38" t="s">
        <v>695</v>
      </c>
    </row>
    <row r="8" customFormat="false" ht="15" hidden="false" customHeight="false" outlineLevel="0" collapsed="false">
      <c r="A8" s="3" t="s">
        <v>435</v>
      </c>
      <c r="B8" s="3" t="s">
        <v>386</v>
      </c>
      <c r="C8" s="12" t="n">
        <v>-27000</v>
      </c>
      <c r="D8" s="3" t="s">
        <v>387</v>
      </c>
      <c r="E8" s="38" t="s">
        <v>694</v>
      </c>
      <c r="F8" s="3" t="s">
        <v>688</v>
      </c>
      <c r="G8" s="38" t="s">
        <v>695</v>
      </c>
    </row>
    <row r="9" customFormat="false" ht="15" hidden="false" customHeight="false" outlineLevel="0" collapsed="false">
      <c r="A9" s="3" t="s">
        <v>435</v>
      </c>
      <c r="B9" s="3" t="s">
        <v>386</v>
      </c>
      <c r="C9" s="12" t="n">
        <v>-6000</v>
      </c>
      <c r="D9" s="3" t="s">
        <v>387</v>
      </c>
      <c r="E9" s="38" t="s">
        <v>694</v>
      </c>
      <c r="F9" s="3" t="s">
        <v>688</v>
      </c>
      <c r="G9" s="38" t="s">
        <v>695</v>
      </c>
    </row>
    <row r="10" customFormat="false" ht="15" hidden="false" customHeight="false" outlineLevel="0" collapsed="false">
      <c r="A10" s="3" t="s">
        <v>459</v>
      </c>
      <c r="B10" s="3" t="s">
        <v>406</v>
      </c>
      <c r="C10" s="12" t="n">
        <v>-225000</v>
      </c>
      <c r="D10" s="3" t="s">
        <v>387</v>
      </c>
      <c r="E10" s="38" t="s">
        <v>694</v>
      </c>
      <c r="F10" s="3" t="s">
        <v>688</v>
      </c>
      <c r="G10" s="38" t="s">
        <v>695</v>
      </c>
    </row>
    <row r="11" customFormat="false" ht="15" hidden="false" customHeight="false" outlineLevel="0" collapsed="false">
      <c r="A11" s="3" t="s">
        <v>459</v>
      </c>
      <c r="B11" s="3" t="s">
        <v>609</v>
      </c>
      <c r="C11" s="12" t="n">
        <v>-190000</v>
      </c>
      <c r="D11" s="3" t="s">
        <v>387</v>
      </c>
      <c r="E11" s="38" t="s">
        <v>694</v>
      </c>
      <c r="F11" s="3" t="s">
        <v>688</v>
      </c>
      <c r="G11" s="38" t="s">
        <v>695</v>
      </c>
    </row>
    <row r="12" customFormat="false" ht="15" hidden="false" customHeight="false" outlineLevel="0" collapsed="false">
      <c r="A12" s="3" t="s">
        <v>459</v>
      </c>
      <c r="B12" s="3" t="s">
        <v>610</v>
      </c>
      <c r="C12" s="12" t="n">
        <v>-54000</v>
      </c>
      <c r="D12" s="3" t="s">
        <v>387</v>
      </c>
      <c r="E12" s="38" t="s">
        <v>694</v>
      </c>
      <c r="F12" s="3" t="s">
        <v>688</v>
      </c>
      <c r="G12" s="38" t="s">
        <v>695</v>
      </c>
    </row>
    <row r="13" customFormat="false" ht="15" hidden="false" customHeight="false" outlineLevel="0" collapsed="false">
      <c r="A13" s="3" t="s">
        <v>459</v>
      </c>
      <c r="B13" s="3" t="s">
        <v>696</v>
      </c>
      <c r="C13" s="12" t="n">
        <v>-30000</v>
      </c>
      <c r="D13" s="3" t="s">
        <v>387</v>
      </c>
      <c r="E13" s="38" t="s">
        <v>694</v>
      </c>
      <c r="F13" s="3" t="s">
        <v>688</v>
      </c>
      <c r="G13" s="38" t="s">
        <v>695</v>
      </c>
    </row>
    <row r="14" customFormat="false" ht="15" hidden="false" customHeight="false" outlineLevel="0" collapsed="false">
      <c r="A14" s="3" t="s">
        <v>459</v>
      </c>
      <c r="B14" s="3" t="s">
        <v>405</v>
      </c>
      <c r="C14" s="12" t="n">
        <v>-2700</v>
      </c>
      <c r="D14" s="3" t="s">
        <v>387</v>
      </c>
      <c r="E14" s="38" t="s">
        <v>697</v>
      </c>
      <c r="F14" s="3" t="s">
        <v>688</v>
      </c>
      <c r="G14" s="38" t="s">
        <v>698</v>
      </c>
    </row>
    <row r="15" customFormat="false" ht="15" hidden="false" customHeight="false" outlineLevel="0" collapsed="false">
      <c r="A15" s="3" t="s">
        <v>473</v>
      </c>
      <c r="B15" s="3" t="s">
        <v>393</v>
      </c>
      <c r="C15" s="12" t="n">
        <v>-15000</v>
      </c>
      <c r="D15" s="3" t="s">
        <v>387</v>
      </c>
      <c r="E15" s="38" t="s">
        <v>694</v>
      </c>
      <c r="F15" s="3" t="s">
        <v>688</v>
      </c>
      <c r="G15" s="38" t="s">
        <v>695</v>
      </c>
    </row>
    <row r="16" customFormat="false" ht="15" hidden="false" customHeight="false" outlineLevel="0" collapsed="false">
      <c r="A16" s="3" t="s">
        <v>473</v>
      </c>
      <c r="B16" s="3" t="s">
        <v>386</v>
      </c>
      <c r="C16" s="12" t="n">
        <v>-17000</v>
      </c>
      <c r="D16" s="3" t="s">
        <v>387</v>
      </c>
      <c r="E16" s="38" t="s">
        <v>694</v>
      </c>
      <c r="F16" s="3" t="s">
        <v>688</v>
      </c>
      <c r="G16" s="38" t="s">
        <v>695</v>
      </c>
    </row>
    <row r="17" customFormat="false" ht="15" hidden="false" customHeight="false" outlineLevel="0" collapsed="false">
      <c r="A17" s="3" t="s">
        <v>473</v>
      </c>
      <c r="B17" s="3" t="s">
        <v>699</v>
      </c>
      <c r="C17" s="12" t="n">
        <v>-92344</v>
      </c>
      <c r="D17" s="3" t="s">
        <v>387</v>
      </c>
      <c r="E17" s="3" t="s">
        <v>700</v>
      </c>
      <c r="F17" s="3" t="s">
        <v>692</v>
      </c>
      <c r="G17" s="3" t="s">
        <v>701</v>
      </c>
    </row>
    <row r="18" customFormat="false" ht="15" hidden="false" customHeight="false" outlineLevel="0" collapsed="false">
      <c r="A18" s="3" t="s">
        <v>473</v>
      </c>
      <c r="B18" s="3" t="s">
        <v>611</v>
      </c>
      <c r="C18" s="12" t="n">
        <v>-280000</v>
      </c>
      <c r="D18" s="3" t="s">
        <v>387</v>
      </c>
      <c r="E18" s="38" t="s">
        <v>694</v>
      </c>
      <c r="F18" s="3" t="s">
        <v>688</v>
      </c>
      <c r="G18" s="38" t="s">
        <v>695</v>
      </c>
    </row>
    <row r="19" customFormat="false" ht="15" hidden="false" customHeight="false" outlineLevel="0" collapsed="false">
      <c r="A19" s="3" t="s">
        <v>473</v>
      </c>
      <c r="B19" s="3" t="s">
        <v>702</v>
      </c>
      <c r="C19" s="12" t="n">
        <v>-17980</v>
      </c>
      <c r="D19" s="3" t="s">
        <v>387</v>
      </c>
      <c r="E19" s="3" t="s">
        <v>700</v>
      </c>
      <c r="F19" s="3" t="s">
        <v>692</v>
      </c>
      <c r="G19" s="3" t="s">
        <v>701</v>
      </c>
    </row>
    <row r="20" customFormat="false" ht="15" hidden="false" customHeight="false" outlineLevel="0" collapsed="false">
      <c r="A20" s="3" t="s">
        <v>473</v>
      </c>
      <c r="B20" s="3" t="s">
        <v>420</v>
      </c>
      <c r="C20" s="12" t="n">
        <v>83100</v>
      </c>
      <c r="D20" s="3" t="s">
        <v>382</v>
      </c>
      <c r="E20" s="3" t="s">
        <v>703</v>
      </c>
      <c r="F20" s="3" t="s">
        <v>704</v>
      </c>
      <c r="G20" s="3" t="s">
        <v>705</v>
      </c>
    </row>
    <row r="21" customFormat="false" ht="15" hidden="false" customHeight="false" outlineLevel="0" collapsed="false">
      <c r="A21" s="3" t="s">
        <v>473</v>
      </c>
      <c r="B21" s="3" t="s">
        <v>408</v>
      </c>
      <c r="C21" s="12" t="n">
        <v>270000</v>
      </c>
      <c r="D21" s="3" t="s">
        <v>382</v>
      </c>
      <c r="E21" s="38" t="s">
        <v>697</v>
      </c>
      <c r="F21" s="3" t="s">
        <v>688</v>
      </c>
      <c r="G21" s="38" t="s">
        <v>698</v>
      </c>
    </row>
    <row r="22" customFormat="false" ht="15" hidden="false" customHeight="false" outlineLevel="0" collapsed="false">
      <c r="A22" s="3" t="s">
        <v>473</v>
      </c>
      <c r="B22" s="3" t="s">
        <v>410</v>
      </c>
      <c r="C22" s="12" t="n">
        <v>1200000</v>
      </c>
      <c r="D22" s="3" t="s">
        <v>382</v>
      </c>
      <c r="E22" s="38" t="s">
        <v>706</v>
      </c>
      <c r="F22" s="3" t="s">
        <v>688</v>
      </c>
      <c r="G22" s="38" t="s">
        <v>689</v>
      </c>
    </row>
    <row r="23" customFormat="false" ht="15" hidden="false" customHeight="false" outlineLevel="0" collapsed="false">
      <c r="A23" s="3" t="s">
        <v>473</v>
      </c>
      <c r="B23" s="3" t="s">
        <v>614</v>
      </c>
      <c r="C23" s="12" t="n">
        <v>-299606</v>
      </c>
      <c r="D23" s="3" t="s">
        <v>387</v>
      </c>
      <c r="E23" s="3" t="s">
        <v>700</v>
      </c>
      <c r="F23" s="3" t="s">
        <v>692</v>
      </c>
      <c r="G23" s="3" t="s">
        <v>701</v>
      </c>
    </row>
    <row r="24" customFormat="false" ht="15" hidden="false" customHeight="false" outlineLevel="0" collapsed="false">
      <c r="A24" s="3" t="s">
        <v>477</v>
      </c>
      <c r="B24" s="3" t="s">
        <v>393</v>
      </c>
      <c r="C24" s="12" t="n">
        <v>-12000</v>
      </c>
      <c r="D24" s="3" t="s">
        <v>387</v>
      </c>
      <c r="E24" s="38" t="s">
        <v>707</v>
      </c>
      <c r="F24" s="3" t="s">
        <v>692</v>
      </c>
      <c r="G24" s="38" t="s">
        <v>708</v>
      </c>
    </row>
    <row r="25" customFormat="false" ht="15" hidden="false" customHeight="false" outlineLevel="0" collapsed="false">
      <c r="A25" s="3" t="s">
        <v>477</v>
      </c>
      <c r="B25" s="3" t="s">
        <v>389</v>
      </c>
      <c r="C25" s="12" t="n">
        <v>-50000</v>
      </c>
      <c r="D25" s="3" t="s">
        <v>387</v>
      </c>
      <c r="E25" s="38" t="s">
        <v>694</v>
      </c>
      <c r="F25" s="3" t="s">
        <v>688</v>
      </c>
      <c r="G25" s="38" t="s">
        <v>695</v>
      </c>
    </row>
    <row r="26" customFormat="false" ht="15" hidden="false" customHeight="false" outlineLevel="0" collapsed="false">
      <c r="A26" s="3" t="s">
        <v>477</v>
      </c>
      <c r="B26" s="3" t="s">
        <v>407</v>
      </c>
      <c r="C26" s="12" t="n">
        <v>-100000</v>
      </c>
      <c r="D26" s="3" t="s">
        <v>387</v>
      </c>
      <c r="E26" s="38" t="s">
        <v>694</v>
      </c>
      <c r="F26" s="3" t="s">
        <v>688</v>
      </c>
      <c r="G26" s="38" t="s">
        <v>695</v>
      </c>
    </row>
    <row r="27" customFormat="false" ht="15" hidden="false" customHeight="false" outlineLevel="0" collapsed="false">
      <c r="A27" s="3" t="s">
        <v>477</v>
      </c>
      <c r="B27" s="3" t="s">
        <v>393</v>
      </c>
      <c r="C27" s="12" t="n">
        <v>-100000</v>
      </c>
      <c r="D27" s="3" t="s">
        <v>387</v>
      </c>
      <c r="E27" s="38" t="s">
        <v>694</v>
      </c>
      <c r="F27" s="3" t="s">
        <v>688</v>
      </c>
      <c r="G27" s="38" t="s">
        <v>695</v>
      </c>
    </row>
    <row r="28" customFormat="false" ht="15" hidden="false" customHeight="false" outlineLevel="0" collapsed="false">
      <c r="A28" s="3" t="s">
        <v>477</v>
      </c>
      <c r="B28" s="3" t="s">
        <v>393</v>
      </c>
      <c r="C28" s="12" t="n">
        <v>-120000</v>
      </c>
      <c r="D28" s="3" t="s">
        <v>387</v>
      </c>
      <c r="E28" s="38" t="s">
        <v>707</v>
      </c>
      <c r="F28" s="3" t="s">
        <v>692</v>
      </c>
      <c r="G28" s="38" t="s">
        <v>708</v>
      </c>
    </row>
    <row r="29" customFormat="false" ht="15" hidden="false" customHeight="false" outlineLevel="0" collapsed="false">
      <c r="A29" s="3" t="s">
        <v>477</v>
      </c>
      <c r="B29" s="3" t="s">
        <v>393</v>
      </c>
      <c r="C29" s="12" t="n">
        <v>-150000</v>
      </c>
      <c r="D29" s="3" t="s">
        <v>387</v>
      </c>
      <c r="E29" s="38" t="s">
        <v>694</v>
      </c>
      <c r="F29" s="3" t="s">
        <v>688</v>
      </c>
      <c r="G29" s="38" t="s">
        <v>695</v>
      </c>
    </row>
    <row r="30" customFormat="false" ht="15" hidden="false" customHeight="false" outlineLevel="0" collapsed="false">
      <c r="A30" s="3" t="s">
        <v>477</v>
      </c>
      <c r="B30" s="3" t="s">
        <v>406</v>
      </c>
      <c r="C30" s="12" t="n">
        <v>-225000</v>
      </c>
      <c r="D30" s="3" t="s">
        <v>387</v>
      </c>
      <c r="E30" s="38" t="s">
        <v>694</v>
      </c>
      <c r="F30" s="3" t="s">
        <v>688</v>
      </c>
      <c r="G30" s="38" t="s">
        <v>695</v>
      </c>
    </row>
    <row r="31" customFormat="false" ht="15" hidden="false" customHeight="false" outlineLevel="0" collapsed="false">
      <c r="A31" s="3" t="s">
        <v>477</v>
      </c>
      <c r="B31" s="3" t="s">
        <v>386</v>
      </c>
      <c r="C31" s="12" t="n">
        <v>-250000</v>
      </c>
      <c r="D31" s="3" t="s">
        <v>387</v>
      </c>
      <c r="E31" s="38" t="s">
        <v>694</v>
      </c>
      <c r="F31" s="3" t="s">
        <v>688</v>
      </c>
      <c r="G31" s="38" t="s">
        <v>695</v>
      </c>
    </row>
    <row r="32" customFormat="false" ht="15" hidden="false" customHeight="false" outlineLevel="0" collapsed="false">
      <c r="A32" s="3" t="s">
        <v>477</v>
      </c>
      <c r="B32" s="3" t="s">
        <v>390</v>
      </c>
      <c r="C32" s="12" t="n">
        <v>-270000</v>
      </c>
      <c r="D32" s="3" t="s">
        <v>387</v>
      </c>
      <c r="E32" s="38" t="s">
        <v>694</v>
      </c>
      <c r="F32" s="3" t="s">
        <v>688</v>
      </c>
      <c r="G32" s="38" t="s">
        <v>695</v>
      </c>
    </row>
    <row r="33" customFormat="false" ht="15" hidden="false" customHeight="false" outlineLevel="0" collapsed="false">
      <c r="A33" s="3" t="s">
        <v>477</v>
      </c>
      <c r="B33" s="3" t="s">
        <v>612</v>
      </c>
      <c r="C33" s="12" t="n">
        <v>320000</v>
      </c>
      <c r="D33" s="3" t="s">
        <v>382</v>
      </c>
      <c r="E33" s="38" t="s">
        <v>697</v>
      </c>
      <c r="F33" s="3" t="s">
        <v>688</v>
      </c>
      <c r="G33" s="38" t="s">
        <v>698</v>
      </c>
    </row>
    <row r="34" customFormat="false" ht="15" hidden="false" customHeight="false" outlineLevel="0" collapsed="false">
      <c r="A34" s="3" t="s">
        <v>477</v>
      </c>
      <c r="B34" s="3" t="s">
        <v>389</v>
      </c>
      <c r="C34" s="12" t="n">
        <v>-180000</v>
      </c>
      <c r="D34" s="3" t="s">
        <v>387</v>
      </c>
      <c r="E34" s="38" t="s">
        <v>707</v>
      </c>
      <c r="F34" s="3" t="s">
        <v>692</v>
      </c>
      <c r="G34" s="38" t="s">
        <v>708</v>
      </c>
    </row>
    <row r="35" customFormat="false" ht="15" hidden="false" customHeight="false" outlineLevel="0" collapsed="false">
      <c r="A35" s="3" t="s">
        <v>479</v>
      </c>
      <c r="B35" s="3" t="s">
        <v>395</v>
      </c>
      <c r="C35" s="12" t="n">
        <v>-4700</v>
      </c>
      <c r="D35" s="3" t="s">
        <v>387</v>
      </c>
      <c r="E35" s="38" t="s">
        <v>697</v>
      </c>
      <c r="F35" s="3" t="s">
        <v>688</v>
      </c>
      <c r="G35" s="38" t="s">
        <v>698</v>
      </c>
    </row>
    <row r="36" customFormat="false" ht="15" hidden="false" customHeight="false" outlineLevel="0" collapsed="false">
      <c r="A36" s="3" t="s">
        <v>479</v>
      </c>
      <c r="B36" s="3" t="s">
        <v>394</v>
      </c>
      <c r="C36" s="12" t="n">
        <v>-17000</v>
      </c>
      <c r="D36" s="3" t="s">
        <v>387</v>
      </c>
      <c r="E36" s="38" t="s">
        <v>694</v>
      </c>
      <c r="F36" s="3" t="s">
        <v>688</v>
      </c>
      <c r="G36" s="38" t="s">
        <v>695</v>
      </c>
    </row>
    <row r="37" customFormat="false" ht="15" hidden="false" customHeight="false" outlineLevel="0" collapsed="false">
      <c r="A37" s="3" t="s">
        <v>479</v>
      </c>
      <c r="B37" s="3" t="s">
        <v>393</v>
      </c>
      <c r="C37" s="12" t="n">
        <v>-12000</v>
      </c>
      <c r="D37" s="3" t="s">
        <v>387</v>
      </c>
      <c r="E37" s="38" t="s">
        <v>707</v>
      </c>
      <c r="F37" s="3" t="s">
        <v>692</v>
      </c>
      <c r="G37" s="38" t="s">
        <v>708</v>
      </c>
    </row>
    <row r="38" customFormat="false" ht="15" hidden="false" customHeight="false" outlineLevel="0" collapsed="false">
      <c r="A38" s="3" t="s">
        <v>481</v>
      </c>
      <c r="B38" s="3" t="s">
        <v>393</v>
      </c>
      <c r="C38" s="12" t="n">
        <v>-8000</v>
      </c>
      <c r="D38" s="3" t="s">
        <v>387</v>
      </c>
      <c r="E38" s="38" t="s">
        <v>694</v>
      </c>
      <c r="F38" s="3" t="s">
        <v>688</v>
      </c>
      <c r="G38" s="38" t="s">
        <v>695</v>
      </c>
    </row>
    <row r="39" customFormat="false" ht="15" hidden="false" customHeight="false" outlineLevel="0" collapsed="false">
      <c r="A39" s="3" t="s">
        <v>481</v>
      </c>
      <c r="B39" s="3" t="s">
        <v>613</v>
      </c>
      <c r="C39" s="12" t="n">
        <v>-14880</v>
      </c>
      <c r="D39" s="3" t="s">
        <v>387</v>
      </c>
      <c r="E39" s="3" t="s">
        <v>697</v>
      </c>
      <c r="F39" s="3" t="s">
        <v>688</v>
      </c>
      <c r="G39" s="3" t="s">
        <v>709</v>
      </c>
    </row>
    <row r="40" customFormat="false" ht="15" hidden="false" customHeight="false" outlineLevel="0" collapsed="false">
      <c r="A40" s="3" t="s">
        <v>481</v>
      </c>
      <c r="B40" s="3" t="s">
        <v>393</v>
      </c>
      <c r="C40" s="12" t="n">
        <v>-32000</v>
      </c>
      <c r="D40" s="3" t="s">
        <v>387</v>
      </c>
      <c r="E40" s="38" t="s">
        <v>694</v>
      </c>
      <c r="F40" s="3" t="s">
        <v>688</v>
      </c>
      <c r="G40" s="38" t="s">
        <v>695</v>
      </c>
    </row>
    <row r="41" customFormat="false" ht="15" hidden="false" customHeight="false" outlineLevel="0" collapsed="false">
      <c r="A41" s="3" t="s">
        <v>491</v>
      </c>
      <c r="B41" s="3" t="s">
        <v>710</v>
      </c>
      <c r="C41" s="12" t="n">
        <v>440300</v>
      </c>
      <c r="D41" s="3" t="s">
        <v>382</v>
      </c>
      <c r="E41" s="3" t="s">
        <v>703</v>
      </c>
      <c r="F41" s="3" t="s">
        <v>704</v>
      </c>
      <c r="G41" s="3" t="s">
        <v>711</v>
      </c>
    </row>
    <row r="42" customFormat="false" ht="15" hidden="false" customHeight="false" outlineLevel="0" collapsed="false">
      <c r="A42" s="3" t="s">
        <v>491</v>
      </c>
      <c r="B42" s="3" t="s">
        <v>389</v>
      </c>
      <c r="C42" s="12" t="n">
        <v>-100000</v>
      </c>
      <c r="D42" s="3" t="s">
        <v>387</v>
      </c>
      <c r="E42" s="38" t="s">
        <v>694</v>
      </c>
      <c r="F42" s="3" t="s">
        <v>688</v>
      </c>
      <c r="G42" s="38" t="s">
        <v>695</v>
      </c>
    </row>
    <row r="43" customFormat="false" ht="15" hidden="false" customHeight="false" outlineLevel="0" collapsed="false">
      <c r="A43" s="3" t="s">
        <v>491</v>
      </c>
      <c r="B43" s="3" t="s">
        <v>712</v>
      </c>
      <c r="C43" s="12" t="n">
        <v>-88073</v>
      </c>
      <c r="D43" s="3" t="s">
        <v>387</v>
      </c>
      <c r="E43" s="3" t="s">
        <v>700</v>
      </c>
      <c r="F43" s="3" t="s">
        <v>692</v>
      </c>
      <c r="G43" s="3" t="s">
        <v>701</v>
      </c>
    </row>
    <row r="44" customFormat="false" ht="15" hidden="false" customHeight="false" outlineLevel="0" collapsed="false">
      <c r="A44" s="3" t="s">
        <v>491</v>
      </c>
      <c r="B44" s="3" t="s">
        <v>614</v>
      </c>
      <c r="C44" s="12" t="n">
        <v>-63065</v>
      </c>
      <c r="D44" s="3" t="s">
        <v>387</v>
      </c>
      <c r="E44" s="3" t="s">
        <v>700</v>
      </c>
      <c r="F44" s="3" t="s">
        <v>692</v>
      </c>
      <c r="G44" s="3" t="s">
        <v>701</v>
      </c>
    </row>
    <row r="45" customFormat="false" ht="15" hidden="false" customHeight="false" outlineLevel="0" collapsed="false">
      <c r="A45" s="3" t="s">
        <v>491</v>
      </c>
      <c r="B45" s="3" t="s">
        <v>713</v>
      </c>
      <c r="C45" s="12" t="n">
        <v>-36259</v>
      </c>
      <c r="D45" s="3" t="s">
        <v>387</v>
      </c>
      <c r="E45" s="3" t="s">
        <v>700</v>
      </c>
      <c r="F45" s="3" t="s">
        <v>692</v>
      </c>
      <c r="G45" s="3" t="s">
        <v>701</v>
      </c>
    </row>
    <row r="46" customFormat="false" ht="15" hidden="false" customHeight="false" outlineLevel="0" collapsed="false">
      <c r="A46" s="3" t="s">
        <v>491</v>
      </c>
      <c r="B46" s="3" t="s">
        <v>615</v>
      </c>
      <c r="C46" s="12" t="n">
        <v>-31955</v>
      </c>
      <c r="D46" s="3" t="s">
        <v>387</v>
      </c>
      <c r="E46" s="3" t="s">
        <v>714</v>
      </c>
      <c r="F46" s="3" t="s">
        <v>688</v>
      </c>
      <c r="G46" s="3" t="s">
        <v>715</v>
      </c>
    </row>
    <row r="47" customFormat="false" ht="15" hidden="false" customHeight="false" outlineLevel="0" collapsed="false">
      <c r="A47" s="3" t="s">
        <v>498</v>
      </c>
      <c r="B47" s="3" t="s">
        <v>702</v>
      </c>
      <c r="C47" s="12" t="n">
        <v>-77990</v>
      </c>
      <c r="D47" s="3" t="s">
        <v>387</v>
      </c>
      <c r="E47" s="3" t="s">
        <v>700</v>
      </c>
      <c r="F47" s="3" t="s">
        <v>692</v>
      </c>
      <c r="G47" s="3" t="s">
        <v>701</v>
      </c>
    </row>
    <row r="48" customFormat="false" ht="15" hidden="false" customHeight="false" outlineLevel="0" collapsed="false">
      <c r="A48" s="3" t="s">
        <v>498</v>
      </c>
      <c r="B48" s="3" t="s">
        <v>393</v>
      </c>
      <c r="C48" s="12" t="n">
        <v>-17000</v>
      </c>
      <c r="D48" s="3" t="s">
        <v>387</v>
      </c>
      <c r="E48" s="38" t="s">
        <v>694</v>
      </c>
      <c r="F48" s="3" t="s">
        <v>688</v>
      </c>
      <c r="G48" s="38" t="s">
        <v>695</v>
      </c>
    </row>
    <row r="49" customFormat="false" ht="15" hidden="false" customHeight="false" outlineLevel="0" collapsed="false">
      <c r="A49" s="3" t="s">
        <v>505</v>
      </c>
      <c r="B49" s="3" t="s">
        <v>393</v>
      </c>
      <c r="C49" s="12" t="n">
        <v>-12000</v>
      </c>
      <c r="D49" s="3" t="s">
        <v>387</v>
      </c>
      <c r="E49" s="38" t="s">
        <v>707</v>
      </c>
      <c r="F49" s="3" t="s">
        <v>692</v>
      </c>
      <c r="G49" s="38" t="s">
        <v>708</v>
      </c>
    </row>
    <row r="50" customFormat="false" ht="15" hidden="false" customHeight="false" outlineLevel="0" collapsed="false">
      <c r="A50" s="3" t="s">
        <v>505</v>
      </c>
      <c r="B50" s="3" t="s">
        <v>405</v>
      </c>
      <c r="C50" s="12" t="n">
        <v>-21470</v>
      </c>
      <c r="D50" s="3" t="s">
        <v>387</v>
      </c>
      <c r="E50" s="38" t="s">
        <v>697</v>
      </c>
      <c r="F50" s="3" t="s">
        <v>688</v>
      </c>
      <c r="G50" s="38" t="s">
        <v>698</v>
      </c>
    </row>
    <row r="51" customFormat="false" ht="15" hidden="false" customHeight="false" outlineLevel="0" collapsed="false">
      <c r="A51" s="3" t="s">
        <v>505</v>
      </c>
      <c r="B51" s="3" t="s">
        <v>389</v>
      </c>
      <c r="C51" s="12" t="n">
        <v>-50000</v>
      </c>
      <c r="D51" s="3" t="s">
        <v>387</v>
      </c>
      <c r="E51" s="38" t="s">
        <v>694</v>
      </c>
      <c r="F51" s="3" t="s">
        <v>688</v>
      </c>
      <c r="G51" s="38" t="s">
        <v>695</v>
      </c>
    </row>
    <row r="52" customFormat="false" ht="15" hidden="false" customHeight="false" outlineLevel="0" collapsed="false">
      <c r="A52" s="3" t="s">
        <v>505</v>
      </c>
      <c r="B52" s="3" t="s">
        <v>393</v>
      </c>
      <c r="C52" s="12" t="n">
        <v>-50000</v>
      </c>
      <c r="D52" s="3" t="s">
        <v>387</v>
      </c>
      <c r="E52" s="38" t="s">
        <v>694</v>
      </c>
      <c r="F52" s="3" t="s">
        <v>688</v>
      </c>
      <c r="G52" s="38" t="s">
        <v>695</v>
      </c>
    </row>
    <row r="53" customFormat="false" ht="15" hidden="false" customHeight="false" outlineLevel="0" collapsed="false">
      <c r="A53" s="3" t="s">
        <v>505</v>
      </c>
      <c r="B53" s="3" t="s">
        <v>414</v>
      </c>
      <c r="C53" s="12" t="n">
        <v>-30000</v>
      </c>
      <c r="D53" s="3" t="s">
        <v>387</v>
      </c>
      <c r="E53" s="3" t="s">
        <v>691</v>
      </c>
      <c r="F53" s="3" t="s">
        <v>692</v>
      </c>
      <c r="G53" s="3" t="s">
        <v>693</v>
      </c>
    </row>
    <row r="54" customFormat="false" ht="15" hidden="false" customHeight="false" outlineLevel="0" collapsed="false">
      <c r="A54" s="3" t="s">
        <v>505</v>
      </c>
      <c r="B54" s="3" t="s">
        <v>386</v>
      </c>
      <c r="C54" s="12" t="n">
        <v>-200000</v>
      </c>
      <c r="D54" s="3" t="s">
        <v>387</v>
      </c>
      <c r="E54" s="38" t="s">
        <v>694</v>
      </c>
      <c r="F54" s="3" t="s">
        <v>688</v>
      </c>
      <c r="G54" s="38" t="s">
        <v>695</v>
      </c>
    </row>
    <row r="55" customFormat="false" ht="15" hidden="false" customHeight="false" outlineLevel="0" collapsed="false">
      <c r="A55" s="3" t="s">
        <v>505</v>
      </c>
      <c r="B55" s="3" t="s">
        <v>690</v>
      </c>
      <c r="C55" s="12" t="n">
        <v>-1000000</v>
      </c>
      <c r="D55" s="3" t="s">
        <v>387</v>
      </c>
      <c r="E55" s="3" t="s">
        <v>691</v>
      </c>
      <c r="F55" s="3" t="s">
        <v>692</v>
      </c>
      <c r="G55" s="3" t="s">
        <v>693</v>
      </c>
    </row>
    <row r="56" customFormat="false" ht="15" hidden="false" customHeight="false" outlineLevel="0" collapsed="false">
      <c r="A56" s="3" t="s">
        <v>505</v>
      </c>
      <c r="B56" s="3" t="s">
        <v>410</v>
      </c>
      <c r="C56" s="12" t="n">
        <v>200000</v>
      </c>
      <c r="D56" s="3" t="s">
        <v>382</v>
      </c>
      <c r="E56" s="38" t="s">
        <v>706</v>
      </c>
      <c r="F56" s="3" t="s">
        <v>688</v>
      </c>
      <c r="G56" s="38" t="s">
        <v>689</v>
      </c>
    </row>
    <row r="57" customFormat="false" ht="15" hidden="false" customHeight="false" outlineLevel="0" collapsed="false">
      <c r="A57" s="3" t="s">
        <v>505</v>
      </c>
      <c r="B57" s="3" t="s">
        <v>381</v>
      </c>
      <c r="C57" s="12" t="n">
        <v>1650249</v>
      </c>
      <c r="D57" s="3" t="s">
        <v>382</v>
      </c>
      <c r="E57" s="38" t="s">
        <v>687</v>
      </c>
      <c r="F57" s="3" t="s">
        <v>688</v>
      </c>
      <c r="G57" s="38" t="s">
        <v>689</v>
      </c>
    </row>
    <row r="58" customFormat="false" ht="15" hidden="false" customHeight="false" outlineLevel="0" collapsed="false">
      <c r="A58" s="3" t="s">
        <v>505</v>
      </c>
      <c r="B58" s="3" t="s">
        <v>716</v>
      </c>
      <c r="C58" s="12" t="n">
        <v>-83300</v>
      </c>
      <c r="D58" s="3" t="s">
        <v>387</v>
      </c>
      <c r="E58" s="3" t="s">
        <v>700</v>
      </c>
      <c r="F58" s="3" t="s">
        <v>692</v>
      </c>
      <c r="G58" s="3" t="s">
        <v>701</v>
      </c>
    </row>
    <row r="59" customFormat="false" ht="15" hidden="false" customHeight="false" outlineLevel="0" collapsed="false">
      <c r="A59" s="3" t="s">
        <v>509</v>
      </c>
      <c r="B59" s="3" t="s">
        <v>406</v>
      </c>
      <c r="C59" s="12" t="n">
        <v>-225000</v>
      </c>
      <c r="D59" s="3" t="s">
        <v>387</v>
      </c>
      <c r="E59" s="38" t="s">
        <v>694</v>
      </c>
      <c r="F59" s="3" t="s">
        <v>688</v>
      </c>
      <c r="G59" s="38" t="s">
        <v>695</v>
      </c>
    </row>
    <row r="60" customFormat="false" ht="15" hidden="false" customHeight="false" outlineLevel="0" collapsed="false">
      <c r="A60" s="3" t="s">
        <v>509</v>
      </c>
      <c r="B60" s="3" t="s">
        <v>393</v>
      </c>
      <c r="C60" s="12" t="n">
        <v>-16000</v>
      </c>
      <c r="D60" s="3" t="s">
        <v>387</v>
      </c>
      <c r="E60" s="38" t="s">
        <v>694</v>
      </c>
      <c r="F60" s="3" t="s">
        <v>688</v>
      </c>
      <c r="G60" s="38" t="s">
        <v>695</v>
      </c>
    </row>
    <row r="61" customFormat="false" ht="15" hidden="false" customHeight="false" outlineLevel="0" collapsed="false">
      <c r="A61" s="3" t="s">
        <v>509</v>
      </c>
      <c r="B61" s="3" t="s">
        <v>389</v>
      </c>
      <c r="C61" s="12" t="n">
        <v>-15000</v>
      </c>
      <c r="D61" s="3" t="s">
        <v>387</v>
      </c>
      <c r="E61" s="38" t="s">
        <v>694</v>
      </c>
      <c r="F61" s="3" t="s">
        <v>688</v>
      </c>
      <c r="G61" s="38" t="s">
        <v>695</v>
      </c>
    </row>
    <row r="62" customFormat="false" ht="15" hidden="false" customHeight="false" outlineLevel="0" collapsed="false">
      <c r="A62" s="3" t="s">
        <v>438</v>
      </c>
      <c r="B62" s="3" t="s">
        <v>393</v>
      </c>
      <c r="C62" s="12" t="n">
        <v>-6000</v>
      </c>
      <c r="D62" s="3" t="s">
        <v>387</v>
      </c>
      <c r="E62" s="38" t="s">
        <v>694</v>
      </c>
      <c r="F62" s="3" t="s">
        <v>688</v>
      </c>
      <c r="G62" s="38" t="s">
        <v>695</v>
      </c>
    </row>
    <row r="63" customFormat="false" ht="15" hidden="false" customHeight="false" outlineLevel="0" collapsed="false">
      <c r="A63" s="3" t="s">
        <v>438</v>
      </c>
      <c r="B63" s="3" t="s">
        <v>393</v>
      </c>
      <c r="C63" s="12" t="n">
        <v>-6800</v>
      </c>
      <c r="D63" s="3" t="s">
        <v>387</v>
      </c>
      <c r="E63" s="38" t="s">
        <v>694</v>
      </c>
      <c r="F63" s="3" t="s">
        <v>688</v>
      </c>
      <c r="G63" s="38" t="s">
        <v>695</v>
      </c>
    </row>
    <row r="64" customFormat="false" ht="15" hidden="false" customHeight="false" outlineLevel="0" collapsed="false">
      <c r="A64" s="3" t="s">
        <v>438</v>
      </c>
      <c r="B64" s="3" t="s">
        <v>389</v>
      </c>
      <c r="C64" s="12" t="n">
        <v>-30000</v>
      </c>
      <c r="D64" s="3" t="s">
        <v>387</v>
      </c>
      <c r="E64" s="38" t="s">
        <v>694</v>
      </c>
      <c r="F64" s="3" t="s">
        <v>688</v>
      </c>
      <c r="G64" s="38" t="s">
        <v>695</v>
      </c>
    </row>
    <row r="65" customFormat="false" ht="15" hidden="false" customHeight="false" outlineLevel="0" collapsed="false">
      <c r="A65" s="3" t="s">
        <v>438</v>
      </c>
      <c r="B65" s="3" t="s">
        <v>393</v>
      </c>
      <c r="C65" s="12" t="n">
        <v>-50000</v>
      </c>
      <c r="D65" s="3" t="s">
        <v>387</v>
      </c>
      <c r="E65" s="38" t="s">
        <v>694</v>
      </c>
      <c r="F65" s="3" t="s">
        <v>688</v>
      </c>
      <c r="G65" s="38" t="s">
        <v>695</v>
      </c>
    </row>
    <row r="66" customFormat="false" ht="15" hidden="false" customHeight="false" outlineLevel="0" collapsed="false">
      <c r="A66" s="3" t="s">
        <v>438</v>
      </c>
      <c r="B66" s="3" t="s">
        <v>389</v>
      </c>
      <c r="C66" s="12" t="n">
        <v>-15000</v>
      </c>
      <c r="D66" s="3" t="s">
        <v>387</v>
      </c>
      <c r="E66" s="38" t="s">
        <v>694</v>
      </c>
      <c r="F66" s="3" t="s">
        <v>688</v>
      </c>
      <c r="G66" s="38" t="s">
        <v>695</v>
      </c>
    </row>
    <row r="67" customFormat="false" ht="15" hidden="false" customHeight="false" outlineLevel="0" collapsed="false">
      <c r="A67" s="3" t="s">
        <v>515</v>
      </c>
      <c r="B67" s="3" t="s">
        <v>616</v>
      </c>
      <c r="C67" s="12" t="n">
        <v>2813595</v>
      </c>
      <c r="D67" s="3" t="s">
        <v>382</v>
      </c>
      <c r="E67" s="3" t="s">
        <v>717</v>
      </c>
      <c r="F67" s="3" t="s">
        <v>688</v>
      </c>
      <c r="G67" s="3" t="s">
        <v>718</v>
      </c>
    </row>
    <row r="68" customFormat="false" ht="15" hidden="false" customHeight="false" outlineLevel="0" collapsed="false">
      <c r="A68" s="3" t="s">
        <v>515</v>
      </c>
      <c r="B68" s="3" t="s">
        <v>389</v>
      </c>
      <c r="C68" s="12" t="n">
        <v>-50000</v>
      </c>
      <c r="D68" s="3" t="s">
        <v>387</v>
      </c>
      <c r="E68" s="38" t="s">
        <v>694</v>
      </c>
      <c r="F68" s="3" t="s">
        <v>688</v>
      </c>
      <c r="G68" s="38" t="s">
        <v>695</v>
      </c>
    </row>
    <row r="69" customFormat="false" ht="15" hidden="false" customHeight="false" outlineLevel="0" collapsed="false">
      <c r="A69" s="3" t="s">
        <v>522</v>
      </c>
      <c r="B69" s="3" t="s">
        <v>407</v>
      </c>
      <c r="C69" s="12" t="n">
        <v>-150000</v>
      </c>
      <c r="D69" s="3" t="s">
        <v>387</v>
      </c>
      <c r="E69" s="38" t="s">
        <v>694</v>
      </c>
      <c r="F69" s="3" t="s">
        <v>688</v>
      </c>
      <c r="G69" s="38" t="s">
        <v>695</v>
      </c>
    </row>
    <row r="70" customFormat="false" ht="15" hidden="false" customHeight="false" outlineLevel="0" collapsed="false">
      <c r="A70" s="3" t="s">
        <v>522</v>
      </c>
      <c r="B70" s="3" t="s">
        <v>414</v>
      </c>
      <c r="C70" s="12" t="n">
        <v>-19145</v>
      </c>
      <c r="D70" s="3" t="s">
        <v>387</v>
      </c>
      <c r="E70" s="3" t="s">
        <v>691</v>
      </c>
      <c r="F70" s="3" t="s">
        <v>692</v>
      </c>
      <c r="G70" s="3" t="s">
        <v>693</v>
      </c>
    </row>
    <row r="71" customFormat="false" ht="15" hidden="false" customHeight="false" outlineLevel="0" collapsed="false">
      <c r="A71" s="3" t="s">
        <v>522</v>
      </c>
      <c r="B71" s="3" t="s">
        <v>719</v>
      </c>
      <c r="C71" s="12" t="n">
        <v>-25000</v>
      </c>
      <c r="D71" s="3" t="s">
        <v>387</v>
      </c>
      <c r="E71" s="3" t="s">
        <v>700</v>
      </c>
      <c r="F71" s="3" t="s">
        <v>692</v>
      </c>
      <c r="G71" s="3" t="s">
        <v>701</v>
      </c>
    </row>
    <row r="72" customFormat="false" ht="15" hidden="false" customHeight="false" outlineLevel="0" collapsed="false">
      <c r="A72" s="3" t="s">
        <v>522</v>
      </c>
      <c r="B72" s="3" t="s">
        <v>389</v>
      </c>
      <c r="C72" s="12" t="n">
        <v>-70000</v>
      </c>
      <c r="D72" s="3" t="s">
        <v>387</v>
      </c>
      <c r="E72" s="38" t="s">
        <v>694</v>
      </c>
      <c r="F72" s="3" t="s">
        <v>688</v>
      </c>
      <c r="G72" s="38" t="s">
        <v>695</v>
      </c>
    </row>
    <row r="73" customFormat="false" ht="15" hidden="false" customHeight="false" outlineLevel="0" collapsed="false">
      <c r="A73" s="3" t="s">
        <v>522</v>
      </c>
      <c r="B73" s="3" t="s">
        <v>393</v>
      </c>
      <c r="C73" s="12" t="n">
        <v>-250000</v>
      </c>
      <c r="D73" s="3" t="s">
        <v>387</v>
      </c>
      <c r="E73" s="38" t="s">
        <v>694</v>
      </c>
      <c r="F73" s="3" t="s">
        <v>688</v>
      </c>
      <c r="G73" s="38" t="s">
        <v>695</v>
      </c>
    </row>
    <row r="74" customFormat="false" ht="15" hidden="false" customHeight="false" outlineLevel="0" collapsed="false">
      <c r="A74" s="3" t="s">
        <v>522</v>
      </c>
      <c r="B74" s="3" t="s">
        <v>406</v>
      </c>
      <c r="C74" s="12" t="n">
        <v>-55000</v>
      </c>
      <c r="D74" s="3" t="s">
        <v>387</v>
      </c>
      <c r="E74" s="38" t="s">
        <v>694</v>
      </c>
      <c r="F74" s="3" t="s">
        <v>688</v>
      </c>
      <c r="G74" s="38" t="s">
        <v>695</v>
      </c>
    </row>
    <row r="75" customFormat="false" ht="15" hidden="false" customHeight="false" outlineLevel="0" collapsed="false">
      <c r="A75" s="3" t="s">
        <v>522</v>
      </c>
      <c r="B75" s="3" t="s">
        <v>394</v>
      </c>
      <c r="C75" s="12" t="n">
        <v>-300000</v>
      </c>
      <c r="D75" s="3" t="s">
        <v>387</v>
      </c>
      <c r="E75" s="38" t="s">
        <v>707</v>
      </c>
      <c r="F75" s="3" t="s">
        <v>692</v>
      </c>
      <c r="G75" s="38" t="s">
        <v>708</v>
      </c>
    </row>
    <row r="76" customFormat="false" ht="15" hidden="false" customHeight="false" outlineLevel="0" collapsed="false">
      <c r="A76" s="3" t="s">
        <v>522</v>
      </c>
      <c r="B76" s="3" t="s">
        <v>386</v>
      </c>
      <c r="C76" s="12" t="n">
        <v>-400000</v>
      </c>
      <c r="D76" s="3" t="s">
        <v>387</v>
      </c>
      <c r="E76" s="38" t="s">
        <v>694</v>
      </c>
      <c r="F76" s="3" t="s">
        <v>688</v>
      </c>
      <c r="G76" s="38" t="s">
        <v>695</v>
      </c>
    </row>
    <row r="77" customFormat="false" ht="15" hidden="false" customHeight="false" outlineLevel="0" collapsed="false">
      <c r="A77" s="3" t="s">
        <v>522</v>
      </c>
      <c r="B77" s="3" t="s">
        <v>617</v>
      </c>
      <c r="C77" s="12" t="n">
        <v>-1000000</v>
      </c>
      <c r="D77" s="3" t="s">
        <v>387</v>
      </c>
      <c r="E77" s="38" t="s">
        <v>694</v>
      </c>
      <c r="F77" s="3" t="s">
        <v>688</v>
      </c>
      <c r="G77" s="38" t="s">
        <v>695</v>
      </c>
    </row>
    <row r="78" customFormat="false" ht="15" hidden="false" customHeight="false" outlineLevel="0" collapsed="false">
      <c r="A78" s="3" t="s">
        <v>522</v>
      </c>
      <c r="B78" s="3" t="s">
        <v>390</v>
      </c>
      <c r="C78" s="12" t="n">
        <v>-300000</v>
      </c>
      <c r="D78" s="3" t="s">
        <v>387</v>
      </c>
      <c r="E78" s="38" t="s">
        <v>707</v>
      </c>
      <c r="F78" s="3" t="s">
        <v>692</v>
      </c>
      <c r="G78" s="38" t="s">
        <v>708</v>
      </c>
    </row>
    <row r="79" customFormat="false" ht="15" hidden="false" customHeight="false" outlineLevel="0" collapsed="false">
      <c r="A79" s="3" t="s">
        <v>522</v>
      </c>
      <c r="B79" s="3" t="s">
        <v>690</v>
      </c>
      <c r="C79" s="12" t="n">
        <v>-1000000</v>
      </c>
      <c r="D79" s="3" t="s">
        <v>387</v>
      </c>
      <c r="E79" s="3" t="s">
        <v>691</v>
      </c>
      <c r="F79" s="3" t="s">
        <v>692</v>
      </c>
      <c r="G79" s="3" t="s">
        <v>693</v>
      </c>
    </row>
    <row r="80" customFormat="false" ht="15" hidden="false" customHeight="false" outlineLevel="0" collapsed="false">
      <c r="A80" s="3" t="s">
        <v>522</v>
      </c>
      <c r="B80" s="3" t="s">
        <v>418</v>
      </c>
      <c r="C80" s="12" t="n">
        <v>760000</v>
      </c>
      <c r="D80" s="3" t="s">
        <v>382</v>
      </c>
      <c r="E80" s="38" t="s">
        <v>697</v>
      </c>
      <c r="F80" s="3" t="s">
        <v>688</v>
      </c>
      <c r="G80" s="38" t="s">
        <v>698</v>
      </c>
    </row>
    <row r="81" customFormat="false" ht="15" hidden="false" customHeight="false" outlineLevel="0" collapsed="false">
      <c r="A81" s="3" t="s">
        <v>440</v>
      </c>
      <c r="B81" s="3" t="s">
        <v>394</v>
      </c>
      <c r="C81" s="12" t="n">
        <v>-32000</v>
      </c>
      <c r="D81" s="3" t="s">
        <v>387</v>
      </c>
      <c r="E81" s="38" t="s">
        <v>694</v>
      </c>
      <c r="F81" s="3" t="s">
        <v>688</v>
      </c>
      <c r="G81" s="38" t="s">
        <v>695</v>
      </c>
    </row>
    <row r="82" customFormat="false" ht="15" hidden="false" customHeight="false" outlineLevel="0" collapsed="false">
      <c r="A82" s="3" t="s">
        <v>440</v>
      </c>
      <c r="B82" s="3" t="s">
        <v>389</v>
      </c>
      <c r="C82" s="12" t="n">
        <v>-17000</v>
      </c>
      <c r="D82" s="3" t="s">
        <v>387</v>
      </c>
      <c r="E82" s="38" t="s">
        <v>694</v>
      </c>
      <c r="F82" s="3" t="s">
        <v>688</v>
      </c>
      <c r="G82" s="38" t="s">
        <v>695</v>
      </c>
    </row>
    <row r="83" customFormat="false" ht="15" hidden="false" customHeight="false" outlineLevel="0" collapsed="false">
      <c r="A83" s="3" t="s">
        <v>440</v>
      </c>
      <c r="B83" s="3" t="s">
        <v>393</v>
      </c>
      <c r="C83" s="12" t="n">
        <v>-15000</v>
      </c>
      <c r="D83" s="3" t="s">
        <v>387</v>
      </c>
      <c r="E83" s="38" t="s">
        <v>694</v>
      </c>
      <c r="F83" s="3" t="s">
        <v>688</v>
      </c>
      <c r="G83" s="38" t="s">
        <v>695</v>
      </c>
    </row>
    <row r="84" customFormat="false" ht="15" hidden="false" customHeight="false" outlineLevel="0" collapsed="false">
      <c r="A84" s="3" t="s">
        <v>440</v>
      </c>
      <c r="B84" s="3" t="s">
        <v>618</v>
      </c>
      <c r="C84" s="12" t="n">
        <v>-9471</v>
      </c>
      <c r="D84" s="3" t="s">
        <v>387</v>
      </c>
      <c r="E84" s="3" t="s">
        <v>720</v>
      </c>
      <c r="F84" s="3" t="s">
        <v>688</v>
      </c>
      <c r="G84" s="3" t="s">
        <v>693</v>
      </c>
    </row>
    <row r="85" customFormat="false" ht="15" hidden="false" customHeight="false" outlineLevel="0" collapsed="false">
      <c r="A85" s="3" t="s">
        <v>532</v>
      </c>
      <c r="B85" s="3" t="s">
        <v>389</v>
      </c>
      <c r="C85" s="12" t="n">
        <v>-12000</v>
      </c>
      <c r="D85" s="3" t="s">
        <v>387</v>
      </c>
      <c r="E85" s="38" t="s">
        <v>707</v>
      </c>
      <c r="F85" s="3" t="s">
        <v>692</v>
      </c>
      <c r="G85" s="38" t="s">
        <v>708</v>
      </c>
    </row>
    <row r="86" customFormat="false" ht="15" hidden="false" customHeight="false" outlineLevel="0" collapsed="false">
      <c r="A86" s="3" t="s">
        <v>532</v>
      </c>
      <c r="B86" s="3" t="s">
        <v>393</v>
      </c>
      <c r="C86" s="12" t="n">
        <v>-12000</v>
      </c>
      <c r="D86" s="3" t="s">
        <v>387</v>
      </c>
      <c r="E86" s="38" t="s">
        <v>707</v>
      </c>
      <c r="F86" s="3" t="s">
        <v>692</v>
      </c>
      <c r="G86" s="38" t="s">
        <v>708</v>
      </c>
    </row>
    <row r="87" customFormat="false" ht="15" hidden="false" customHeight="false" outlineLevel="0" collapsed="false">
      <c r="A87" s="3" t="s">
        <v>532</v>
      </c>
      <c r="B87" s="3" t="s">
        <v>619</v>
      </c>
      <c r="C87" s="12" t="n">
        <v>-31319</v>
      </c>
      <c r="D87" s="3" t="s">
        <v>387</v>
      </c>
      <c r="E87" s="38" t="s">
        <v>697</v>
      </c>
      <c r="F87" s="3" t="s">
        <v>688</v>
      </c>
      <c r="G87" s="38" t="s">
        <v>698</v>
      </c>
    </row>
    <row r="88" customFormat="false" ht="15" hidden="false" customHeight="false" outlineLevel="0" collapsed="false">
      <c r="A88" s="3" t="s">
        <v>532</v>
      </c>
      <c r="B88" s="3" t="s">
        <v>616</v>
      </c>
      <c r="C88" s="12" t="n">
        <v>2234722</v>
      </c>
      <c r="D88" s="3" t="s">
        <v>382</v>
      </c>
      <c r="E88" s="3" t="s">
        <v>717</v>
      </c>
      <c r="F88" s="3" t="s">
        <v>688</v>
      </c>
      <c r="G88" s="3" t="s">
        <v>718</v>
      </c>
    </row>
    <row r="89" customFormat="false" ht="15" hidden="false" customHeight="false" outlineLevel="0" collapsed="false">
      <c r="A89" s="3" t="s">
        <v>532</v>
      </c>
      <c r="B89" s="3" t="s">
        <v>690</v>
      </c>
      <c r="C89" s="12" t="n">
        <v>-160000</v>
      </c>
      <c r="D89" s="3" t="s">
        <v>387</v>
      </c>
      <c r="E89" s="3" t="s">
        <v>691</v>
      </c>
      <c r="F89" s="3" t="s">
        <v>692</v>
      </c>
      <c r="G89" s="3" t="s">
        <v>693</v>
      </c>
    </row>
    <row r="90" customFormat="false" ht="15" hidden="false" customHeight="false" outlineLevel="0" collapsed="false">
      <c r="A90" s="3" t="s">
        <v>532</v>
      </c>
      <c r="B90" s="3" t="s">
        <v>381</v>
      </c>
      <c r="C90" s="12" t="n">
        <v>198000</v>
      </c>
      <c r="D90" s="3" t="s">
        <v>382</v>
      </c>
      <c r="E90" s="38" t="s">
        <v>687</v>
      </c>
      <c r="F90" s="3" t="s">
        <v>688</v>
      </c>
      <c r="G90" s="38" t="s">
        <v>689</v>
      </c>
    </row>
    <row r="91" customFormat="false" ht="15" hidden="false" customHeight="false" outlineLevel="0" collapsed="false">
      <c r="A91" s="3" t="s">
        <v>532</v>
      </c>
      <c r="B91" s="3" t="s">
        <v>690</v>
      </c>
      <c r="C91" s="12" t="n">
        <v>-150000</v>
      </c>
      <c r="D91" s="3" t="s">
        <v>387</v>
      </c>
      <c r="E91" s="3" t="s">
        <v>691</v>
      </c>
      <c r="F91" s="3" t="s">
        <v>692</v>
      </c>
      <c r="G91" s="3" t="s">
        <v>693</v>
      </c>
    </row>
    <row r="92" customFormat="false" ht="15" hidden="false" customHeight="false" outlineLevel="0" collapsed="false">
      <c r="A92" s="3" t="s">
        <v>542</v>
      </c>
      <c r="B92" s="3" t="s">
        <v>393</v>
      </c>
      <c r="C92" s="12" t="n">
        <v>-16000</v>
      </c>
      <c r="D92" s="3" t="s">
        <v>387</v>
      </c>
      <c r="E92" s="38" t="s">
        <v>694</v>
      </c>
      <c r="F92" s="3" t="s">
        <v>688</v>
      </c>
      <c r="G92" s="38" t="s">
        <v>695</v>
      </c>
    </row>
    <row r="93" customFormat="false" ht="15" hidden="false" customHeight="false" outlineLevel="0" collapsed="false">
      <c r="A93" s="3" t="s">
        <v>542</v>
      </c>
      <c r="B93" s="3" t="s">
        <v>620</v>
      </c>
      <c r="C93" s="12" t="n">
        <v>-5770</v>
      </c>
      <c r="D93" s="3" t="s">
        <v>387</v>
      </c>
      <c r="E93" s="3" t="s">
        <v>700</v>
      </c>
      <c r="F93" s="3" t="s">
        <v>692</v>
      </c>
      <c r="G93" s="3" t="s">
        <v>701</v>
      </c>
    </row>
    <row r="94" customFormat="false" ht="15" hidden="false" customHeight="false" outlineLevel="0" collapsed="false">
      <c r="A94" s="3" t="s">
        <v>542</v>
      </c>
      <c r="B94" s="3" t="s">
        <v>394</v>
      </c>
      <c r="C94" s="12" t="n">
        <v>-15000</v>
      </c>
      <c r="D94" s="3" t="s">
        <v>387</v>
      </c>
      <c r="E94" s="38" t="s">
        <v>694</v>
      </c>
      <c r="F94" s="3" t="s">
        <v>688</v>
      </c>
      <c r="G94" s="38" t="s">
        <v>695</v>
      </c>
    </row>
    <row r="95" customFormat="false" ht="15" hidden="false" customHeight="false" outlineLevel="0" collapsed="false">
      <c r="A95" s="3" t="s">
        <v>542</v>
      </c>
      <c r="B95" s="3" t="s">
        <v>389</v>
      </c>
      <c r="C95" s="12" t="n">
        <v>-20000</v>
      </c>
      <c r="D95" s="3" t="s">
        <v>387</v>
      </c>
      <c r="E95" s="38" t="s">
        <v>694</v>
      </c>
      <c r="F95" s="3" t="s">
        <v>688</v>
      </c>
      <c r="G95" s="38" t="s">
        <v>695</v>
      </c>
    </row>
    <row r="96" customFormat="false" ht="15" hidden="false" customHeight="false" outlineLevel="0" collapsed="false">
      <c r="A96" s="3" t="s">
        <v>542</v>
      </c>
      <c r="B96" s="3" t="s">
        <v>419</v>
      </c>
      <c r="C96" s="12" t="n">
        <v>-50000</v>
      </c>
      <c r="D96" s="3" t="s">
        <v>387</v>
      </c>
      <c r="E96" s="38" t="s">
        <v>694</v>
      </c>
      <c r="F96" s="3" t="s">
        <v>688</v>
      </c>
      <c r="G96" s="38" t="s">
        <v>695</v>
      </c>
    </row>
    <row r="97" customFormat="false" ht="15" hidden="false" customHeight="false" outlineLevel="0" collapsed="false">
      <c r="A97" s="3" t="s">
        <v>542</v>
      </c>
      <c r="B97" s="3" t="s">
        <v>406</v>
      </c>
      <c r="C97" s="12" t="n">
        <v>-350000</v>
      </c>
      <c r="D97" s="3" t="s">
        <v>387</v>
      </c>
      <c r="E97" s="38" t="s">
        <v>694</v>
      </c>
      <c r="F97" s="3" t="s">
        <v>688</v>
      </c>
      <c r="G97" s="38" t="s">
        <v>695</v>
      </c>
    </row>
    <row r="98" customFormat="false" ht="15" hidden="false" customHeight="false" outlineLevel="0" collapsed="false">
      <c r="A98" s="3" t="s">
        <v>542</v>
      </c>
      <c r="B98" s="3" t="s">
        <v>721</v>
      </c>
      <c r="C98" s="12" t="n">
        <v>-405600</v>
      </c>
      <c r="D98" s="3" t="s">
        <v>387</v>
      </c>
      <c r="E98" s="3" t="s">
        <v>722</v>
      </c>
      <c r="F98" s="3" t="s">
        <v>692</v>
      </c>
      <c r="G98" s="3" t="s">
        <v>723</v>
      </c>
    </row>
    <row r="99" customFormat="false" ht="15" hidden="false" customHeight="false" outlineLevel="0" collapsed="false">
      <c r="A99" s="3" t="s">
        <v>542</v>
      </c>
      <c r="B99" s="3" t="s">
        <v>690</v>
      </c>
      <c r="C99" s="12" t="n">
        <v>-1000000</v>
      </c>
      <c r="D99" s="3" t="s">
        <v>387</v>
      </c>
      <c r="E99" s="3" t="s">
        <v>691</v>
      </c>
      <c r="F99" s="3" t="s">
        <v>692</v>
      </c>
      <c r="G99" s="3" t="s">
        <v>693</v>
      </c>
    </row>
    <row r="100" customFormat="false" ht="15" hidden="false" customHeight="false" outlineLevel="0" collapsed="false">
      <c r="A100" s="3" t="s">
        <v>546</v>
      </c>
      <c r="B100" s="3" t="s">
        <v>614</v>
      </c>
      <c r="C100" s="12" t="n">
        <v>-19999</v>
      </c>
      <c r="D100" s="3" t="s">
        <v>387</v>
      </c>
      <c r="E100" s="3" t="s">
        <v>700</v>
      </c>
      <c r="F100" s="3" t="s">
        <v>692</v>
      </c>
      <c r="G100" s="3" t="s">
        <v>701</v>
      </c>
    </row>
    <row r="101" customFormat="false" ht="15" hidden="false" customHeight="false" outlineLevel="0" collapsed="false">
      <c r="A101" s="3" t="s">
        <v>546</v>
      </c>
      <c r="B101" s="3" t="s">
        <v>390</v>
      </c>
      <c r="C101" s="12" t="n">
        <v>-20000</v>
      </c>
      <c r="D101" s="3" t="s">
        <v>387</v>
      </c>
      <c r="E101" s="38" t="s">
        <v>694</v>
      </c>
      <c r="F101" s="3" t="s">
        <v>688</v>
      </c>
      <c r="G101" s="38" t="s">
        <v>695</v>
      </c>
    </row>
    <row r="102" customFormat="false" ht="15" hidden="false" customHeight="false" outlineLevel="0" collapsed="false">
      <c r="A102" s="3" t="s">
        <v>546</v>
      </c>
      <c r="B102" s="3" t="s">
        <v>393</v>
      </c>
      <c r="C102" s="12" t="n">
        <v>-20000</v>
      </c>
      <c r="D102" s="3" t="s">
        <v>387</v>
      </c>
      <c r="E102" s="38" t="s">
        <v>694</v>
      </c>
      <c r="F102" s="3" t="s">
        <v>688</v>
      </c>
      <c r="G102" s="38" t="s">
        <v>695</v>
      </c>
    </row>
    <row r="103" customFormat="false" ht="15" hidden="false" customHeight="false" outlineLevel="0" collapsed="false">
      <c r="A103" s="3" t="s">
        <v>546</v>
      </c>
      <c r="B103" s="3" t="s">
        <v>614</v>
      </c>
      <c r="C103" s="12" t="n">
        <v>-19781</v>
      </c>
      <c r="D103" s="3" t="s">
        <v>387</v>
      </c>
      <c r="E103" s="3" t="s">
        <v>700</v>
      </c>
      <c r="F103" s="3" t="s">
        <v>692</v>
      </c>
      <c r="G103" s="3" t="s">
        <v>701</v>
      </c>
    </row>
    <row r="104" customFormat="false" ht="15" hidden="false" customHeight="false" outlineLevel="0" collapsed="false">
      <c r="A104" s="3" t="s">
        <v>546</v>
      </c>
      <c r="B104" s="3" t="s">
        <v>394</v>
      </c>
      <c r="C104" s="12" t="n">
        <v>-29000</v>
      </c>
      <c r="D104" s="3" t="s">
        <v>387</v>
      </c>
      <c r="E104" s="38" t="s">
        <v>694</v>
      </c>
      <c r="F104" s="3" t="s">
        <v>688</v>
      </c>
      <c r="G104" s="38" t="s">
        <v>695</v>
      </c>
    </row>
    <row r="105" customFormat="false" ht="15" hidden="false" customHeight="false" outlineLevel="0" collapsed="false">
      <c r="A105" s="3" t="s">
        <v>546</v>
      </c>
      <c r="B105" s="3" t="s">
        <v>621</v>
      </c>
      <c r="C105" s="12" t="n">
        <v>357000</v>
      </c>
      <c r="D105" s="3" t="s">
        <v>382</v>
      </c>
      <c r="E105" s="38" t="s">
        <v>697</v>
      </c>
      <c r="F105" s="3" t="s">
        <v>688</v>
      </c>
      <c r="G105" s="38" t="s">
        <v>698</v>
      </c>
    </row>
    <row r="106" customFormat="false" ht="15" hidden="false" customHeight="false" outlineLevel="0" collapsed="false">
      <c r="A106" s="3" t="s">
        <v>546</v>
      </c>
      <c r="B106" s="3" t="s">
        <v>389</v>
      </c>
      <c r="C106" s="12" t="n">
        <v>-20000</v>
      </c>
      <c r="D106" s="3" t="s">
        <v>387</v>
      </c>
      <c r="E106" s="38" t="s">
        <v>694</v>
      </c>
      <c r="F106" s="3" t="s">
        <v>688</v>
      </c>
      <c r="G106" s="38" t="s">
        <v>695</v>
      </c>
    </row>
    <row r="107" customFormat="false" ht="15" hidden="false" customHeight="false" outlineLevel="0" collapsed="false">
      <c r="A107" s="3" t="s">
        <v>559</v>
      </c>
      <c r="B107" s="3" t="s">
        <v>390</v>
      </c>
      <c r="C107" s="12" t="n">
        <v>-25000</v>
      </c>
      <c r="D107" s="3" t="s">
        <v>387</v>
      </c>
      <c r="E107" s="38" t="s">
        <v>694</v>
      </c>
      <c r="F107" s="3" t="s">
        <v>688</v>
      </c>
      <c r="G107" s="38" t="s">
        <v>695</v>
      </c>
    </row>
    <row r="108" customFormat="false" ht="15" hidden="false" customHeight="false" outlineLevel="0" collapsed="false">
      <c r="A108" s="3" t="s">
        <v>559</v>
      </c>
      <c r="B108" s="3" t="s">
        <v>623</v>
      </c>
      <c r="C108" s="12" t="n">
        <v>-4200</v>
      </c>
      <c r="D108" s="3" t="s">
        <v>387</v>
      </c>
      <c r="E108" s="3" t="s">
        <v>700</v>
      </c>
      <c r="F108" s="3" t="s">
        <v>692</v>
      </c>
      <c r="G108" s="3" t="s">
        <v>701</v>
      </c>
    </row>
    <row r="109" customFormat="false" ht="15" hidden="false" customHeight="false" outlineLevel="0" collapsed="false">
      <c r="A109" s="3" t="s">
        <v>559</v>
      </c>
      <c r="B109" s="3" t="s">
        <v>623</v>
      </c>
      <c r="C109" s="12" t="n">
        <v>-6700</v>
      </c>
      <c r="D109" s="3" t="s">
        <v>387</v>
      </c>
      <c r="E109" s="3" t="s">
        <v>700</v>
      </c>
      <c r="F109" s="3" t="s">
        <v>692</v>
      </c>
      <c r="G109" s="3" t="s">
        <v>701</v>
      </c>
    </row>
    <row r="110" customFormat="false" ht="15" hidden="false" customHeight="false" outlineLevel="0" collapsed="false">
      <c r="A110" s="3" t="s">
        <v>559</v>
      </c>
      <c r="B110" s="3" t="s">
        <v>724</v>
      </c>
      <c r="C110" s="12" t="n">
        <v>-6950</v>
      </c>
      <c r="D110" s="3" t="s">
        <v>387</v>
      </c>
      <c r="E110" s="38" t="s">
        <v>697</v>
      </c>
      <c r="F110" s="3" t="s">
        <v>688</v>
      </c>
      <c r="G110" s="38" t="s">
        <v>698</v>
      </c>
    </row>
    <row r="111" customFormat="false" ht="15" hidden="false" customHeight="false" outlineLevel="0" collapsed="false">
      <c r="A111" s="3" t="s">
        <v>559</v>
      </c>
      <c r="B111" s="3" t="s">
        <v>389</v>
      </c>
      <c r="C111" s="12" t="n">
        <v>-12000</v>
      </c>
      <c r="D111" s="3" t="s">
        <v>387</v>
      </c>
      <c r="E111" s="38" t="s">
        <v>707</v>
      </c>
      <c r="F111" s="3" t="s">
        <v>692</v>
      </c>
      <c r="G111" s="38" t="s">
        <v>708</v>
      </c>
    </row>
    <row r="112" customFormat="false" ht="15" hidden="false" customHeight="false" outlineLevel="0" collapsed="false">
      <c r="A112" s="3" t="s">
        <v>559</v>
      </c>
      <c r="B112" s="3" t="s">
        <v>393</v>
      </c>
      <c r="C112" s="12" t="n">
        <v>-15000</v>
      </c>
      <c r="D112" s="3" t="s">
        <v>387</v>
      </c>
      <c r="E112" s="38" t="s">
        <v>694</v>
      </c>
      <c r="F112" s="3" t="s">
        <v>688</v>
      </c>
      <c r="G112" s="38" t="s">
        <v>695</v>
      </c>
    </row>
    <row r="113" customFormat="false" ht="15" hidden="false" customHeight="false" outlineLevel="0" collapsed="false">
      <c r="A113" s="3" t="s">
        <v>559</v>
      </c>
      <c r="B113" s="3" t="s">
        <v>623</v>
      </c>
      <c r="C113" s="12" t="n">
        <v>-16500</v>
      </c>
      <c r="D113" s="3" t="s">
        <v>387</v>
      </c>
      <c r="E113" s="3" t="s">
        <v>700</v>
      </c>
      <c r="F113" s="3" t="s">
        <v>692</v>
      </c>
      <c r="G113" s="3" t="s">
        <v>701</v>
      </c>
    </row>
    <row r="114" customFormat="false" ht="15" hidden="false" customHeight="false" outlineLevel="0" collapsed="false">
      <c r="A114" s="3" t="s">
        <v>559</v>
      </c>
      <c r="B114" s="3" t="s">
        <v>389</v>
      </c>
      <c r="C114" s="12" t="n">
        <v>-3000</v>
      </c>
      <c r="D114" s="3" t="s">
        <v>387</v>
      </c>
      <c r="E114" s="38" t="s">
        <v>694</v>
      </c>
      <c r="F114" s="3" t="s">
        <v>688</v>
      </c>
      <c r="G114" s="38" t="s">
        <v>695</v>
      </c>
    </row>
    <row r="115" customFormat="false" ht="15" hidden="false" customHeight="false" outlineLevel="0" collapsed="false">
      <c r="A115" s="3" t="s">
        <v>559</v>
      </c>
      <c r="B115" s="3" t="s">
        <v>406</v>
      </c>
      <c r="C115" s="12" t="n">
        <v>-18000</v>
      </c>
      <c r="D115" s="3" t="s">
        <v>387</v>
      </c>
      <c r="E115" s="38" t="s">
        <v>694</v>
      </c>
      <c r="F115" s="3" t="s">
        <v>688</v>
      </c>
      <c r="G115" s="38" t="s">
        <v>695</v>
      </c>
    </row>
    <row r="116" customFormat="false" ht="15" hidden="false" customHeight="false" outlineLevel="0" collapsed="false">
      <c r="A116" s="3" t="s">
        <v>559</v>
      </c>
      <c r="B116" s="3" t="s">
        <v>725</v>
      </c>
      <c r="C116" s="12" t="n">
        <v>-38000</v>
      </c>
      <c r="D116" s="3" t="s">
        <v>387</v>
      </c>
      <c r="E116" s="3" t="s">
        <v>700</v>
      </c>
      <c r="F116" s="3" t="s">
        <v>692</v>
      </c>
      <c r="G116" s="3" t="s">
        <v>701</v>
      </c>
    </row>
    <row r="117" customFormat="false" ht="15" hidden="false" customHeight="false" outlineLevel="0" collapsed="false">
      <c r="A117" s="3" t="s">
        <v>559</v>
      </c>
      <c r="B117" s="3" t="s">
        <v>393</v>
      </c>
      <c r="C117" s="12" t="n">
        <v>-70000</v>
      </c>
      <c r="D117" s="3" t="s">
        <v>387</v>
      </c>
      <c r="E117" s="38" t="s">
        <v>694</v>
      </c>
      <c r="F117" s="3" t="s">
        <v>688</v>
      </c>
      <c r="G117" s="38" t="s">
        <v>695</v>
      </c>
    </row>
    <row r="118" customFormat="false" ht="15" hidden="false" customHeight="false" outlineLevel="0" collapsed="false">
      <c r="A118" s="3" t="s">
        <v>559</v>
      </c>
      <c r="B118" s="3" t="s">
        <v>419</v>
      </c>
      <c r="C118" s="12" t="n">
        <v>-60000</v>
      </c>
      <c r="D118" s="3" t="s">
        <v>387</v>
      </c>
      <c r="E118" s="38" t="s">
        <v>707</v>
      </c>
      <c r="F118" s="3" t="s">
        <v>692</v>
      </c>
      <c r="G118" s="38" t="s">
        <v>708</v>
      </c>
    </row>
    <row r="119" customFormat="false" ht="15" hidden="false" customHeight="false" outlineLevel="0" collapsed="false">
      <c r="A119" s="3" t="s">
        <v>559</v>
      </c>
      <c r="B119" s="3" t="s">
        <v>726</v>
      </c>
      <c r="C119" s="12" t="n">
        <v>-66878</v>
      </c>
      <c r="D119" s="3" t="s">
        <v>387</v>
      </c>
      <c r="E119" s="38" t="s">
        <v>697</v>
      </c>
      <c r="F119" s="3" t="s">
        <v>688</v>
      </c>
      <c r="G119" s="38" t="s">
        <v>698</v>
      </c>
    </row>
    <row r="120" customFormat="false" ht="15" hidden="false" customHeight="false" outlineLevel="0" collapsed="false">
      <c r="A120" s="3" t="s">
        <v>559</v>
      </c>
      <c r="B120" s="3" t="s">
        <v>419</v>
      </c>
      <c r="C120" s="12" t="n">
        <v>-80000</v>
      </c>
      <c r="D120" s="3" t="s">
        <v>387</v>
      </c>
      <c r="E120" s="38" t="s">
        <v>694</v>
      </c>
      <c r="F120" s="3" t="s">
        <v>688</v>
      </c>
      <c r="G120" s="38" t="s">
        <v>695</v>
      </c>
    </row>
    <row r="121" customFormat="false" ht="15" hidden="false" customHeight="false" outlineLevel="0" collapsed="false">
      <c r="A121" s="3" t="s">
        <v>559</v>
      </c>
      <c r="B121" s="3" t="s">
        <v>389</v>
      </c>
      <c r="C121" s="12" t="n">
        <v>-120000</v>
      </c>
      <c r="D121" s="3" t="s">
        <v>387</v>
      </c>
      <c r="E121" s="38" t="s">
        <v>707</v>
      </c>
      <c r="F121" s="3" t="s">
        <v>692</v>
      </c>
      <c r="G121" s="38" t="s">
        <v>708</v>
      </c>
    </row>
    <row r="122" customFormat="false" ht="15" hidden="false" customHeight="false" outlineLevel="0" collapsed="false">
      <c r="A122" s="3" t="s">
        <v>559</v>
      </c>
      <c r="B122" s="3" t="s">
        <v>727</v>
      </c>
      <c r="C122" s="12" t="n">
        <v>-296037</v>
      </c>
      <c r="D122" s="3" t="s">
        <v>387</v>
      </c>
      <c r="E122" s="3" t="s">
        <v>700</v>
      </c>
      <c r="F122" s="3" t="s">
        <v>692</v>
      </c>
      <c r="G122" s="3" t="s">
        <v>701</v>
      </c>
    </row>
    <row r="123" customFormat="false" ht="15" hidden="false" customHeight="false" outlineLevel="0" collapsed="false">
      <c r="A123" s="3" t="s">
        <v>559</v>
      </c>
      <c r="B123" s="3" t="s">
        <v>622</v>
      </c>
      <c r="C123" s="12" t="n">
        <v>200000</v>
      </c>
      <c r="D123" s="3" t="s">
        <v>382</v>
      </c>
      <c r="E123" s="38" t="s">
        <v>697</v>
      </c>
      <c r="F123" s="3" t="s">
        <v>688</v>
      </c>
      <c r="G123" s="38" t="s">
        <v>698</v>
      </c>
    </row>
    <row r="124" customFormat="false" ht="15" hidden="false" customHeight="false" outlineLevel="0" collapsed="false">
      <c r="A124" s="3" t="s">
        <v>559</v>
      </c>
      <c r="B124" s="3" t="s">
        <v>622</v>
      </c>
      <c r="C124" s="12" t="n">
        <v>490200</v>
      </c>
      <c r="D124" s="3" t="s">
        <v>382</v>
      </c>
      <c r="E124" s="38" t="s">
        <v>697</v>
      </c>
      <c r="F124" s="3" t="s">
        <v>688</v>
      </c>
      <c r="G124" s="38" t="s">
        <v>698</v>
      </c>
    </row>
    <row r="125" customFormat="false" ht="15" hidden="false" customHeight="false" outlineLevel="0" collapsed="false">
      <c r="A125" s="3" t="s">
        <v>559</v>
      </c>
      <c r="B125" s="3" t="s">
        <v>410</v>
      </c>
      <c r="C125" s="12" t="n">
        <v>1000000</v>
      </c>
      <c r="D125" s="3" t="s">
        <v>382</v>
      </c>
      <c r="E125" s="38" t="s">
        <v>706</v>
      </c>
      <c r="F125" s="3" t="s">
        <v>688</v>
      </c>
      <c r="G125" s="38" t="s">
        <v>689</v>
      </c>
    </row>
    <row r="126" customFormat="false" ht="15" hidden="false" customHeight="false" outlineLevel="0" collapsed="false">
      <c r="A126" s="3" t="s">
        <v>559</v>
      </c>
      <c r="B126" s="3" t="s">
        <v>728</v>
      </c>
      <c r="C126" s="12" t="n">
        <v>-58001</v>
      </c>
      <c r="D126" s="3" t="s">
        <v>387</v>
      </c>
      <c r="E126" s="38" t="s">
        <v>697</v>
      </c>
      <c r="F126" s="3" t="s">
        <v>688</v>
      </c>
      <c r="G126" s="38" t="s">
        <v>698</v>
      </c>
    </row>
    <row r="127" customFormat="false" ht="15" hidden="false" customHeight="false" outlineLevel="0" collapsed="false">
      <c r="A127" s="3" t="s">
        <v>572</v>
      </c>
      <c r="B127" s="3" t="s">
        <v>393</v>
      </c>
      <c r="C127" s="12" t="n">
        <v>-15000</v>
      </c>
      <c r="D127" s="3" t="s">
        <v>387</v>
      </c>
      <c r="E127" s="38" t="s">
        <v>694</v>
      </c>
      <c r="F127" s="3" t="s">
        <v>688</v>
      </c>
      <c r="G127" s="38" t="s">
        <v>695</v>
      </c>
    </row>
    <row r="128" customFormat="false" ht="15" hidden="false" customHeight="false" outlineLevel="0" collapsed="false">
      <c r="A128" s="3" t="s">
        <v>572</v>
      </c>
      <c r="B128" s="3" t="s">
        <v>389</v>
      </c>
      <c r="C128" s="12" t="n">
        <v>-20000</v>
      </c>
      <c r="D128" s="3" t="s">
        <v>387</v>
      </c>
      <c r="E128" s="38" t="s">
        <v>694</v>
      </c>
      <c r="F128" s="3" t="s">
        <v>688</v>
      </c>
      <c r="G128" s="38" t="s">
        <v>695</v>
      </c>
    </row>
    <row r="129" customFormat="false" ht="15" hidden="false" customHeight="false" outlineLevel="0" collapsed="false">
      <c r="A129" s="3" t="s">
        <v>572</v>
      </c>
      <c r="B129" s="3" t="s">
        <v>729</v>
      </c>
      <c r="C129" s="12" t="n">
        <v>-97000</v>
      </c>
      <c r="D129" s="3" t="s">
        <v>387</v>
      </c>
      <c r="E129" s="38" t="s">
        <v>694</v>
      </c>
      <c r="F129" s="3" t="s">
        <v>688</v>
      </c>
      <c r="G129" s="38" t="s">
        <v>695</v>
      </c>
    </row>
    <row r="130" customFormat="false" ht="15" hidden="false" customHeight="false" outlineLevel="0" collapsed="false">
      <c r="A130" s="3" t="s">
        <v>572</v>
      </c>
      <c r="B130" s="3" t="s">
        <v>690</v>
      </c>
      <c r="C130" s="12" t="n">
        <v>-800000</v>
      </c>
      <c r="D130" s="3" t="s">
        <v>387</v>
      </c>
      <c r="E130" s="3" t="s">
        <v>691</v>
      </c>
      <c r="F130" s="3" t="s">
        <v>692</v>
      </c>
      <c r="G130" s="3" t="s">
        <v>693</v>
      </c>
    </row>
    <row r="131" customFormat="false" ht="15" hidden="false" customHeight="false" outlineLevel="0" collapsed="false">
      <c r="A131" s="3" t="s">
        <v>572</v>
      </c>
      <c r="B131" s="3" t="s">
        <v>390</v>
      </c>
      <c r="C131" s="12" t="n">
        <v>-170000</v>
      </c>
      <c r="D131" s="3" t="s">
        <v>387</v>
      </c>
      <c r="E131" s="38" t="s">
        <v>694</v>
      </c>
      <c r="F131" s="3" t="s">
        <v>688</v>
      </c>
      <c r="G131" s="38" t="s">
        <v>695</v>
      </c>
    </row>
    <row r="132" customFormat="false" ht="15" hidden="false" customHeight="false" outlineLevel="0" collapsed="false">
      <c r="A132" s="3" t="s">
        <v>572</v>
      </c>
      <c r="B132" s="3" t="s">
        <v>419</v>
      </c>
      <c r="C132" s="12" t="n">
        <v>-100000</v>
      </c>
      <c r="D132" s="3" t="s">
        <v>387</v>
      </c>
      <c r="E132" s="38" t="s">
        <v>694</v>
      </c>
      <c r="F132" s="3" t="s">
        <v>688</v>
      </c>
      <c r="G132" s="38" t="s">
        <v>695</v>
      </c>
    </row>
    <row r="133" customFormat="false" ht="15" hidden="false" customHeight="false" outlineLevel="0" collapsed="false">
      <c r="A133" s="3" t="s">
        <v>445</v>
      </c>
      <c r="B133" s="3" t="s">
        <v>419</v>
      </c>
      <c r="C133" s="12" t="n">
        <v>-50000</v>
      </c>
      <c r="D133" s="3" t="s">
        <v>387</v>
      </c>
      <c r="E133" s="38" t="s">
        <v>694</v>
      </c>
      <c r="F133" s="3" t="s">
        <v>688</v>
      </c>
      <c r="G133" s="38" t="s">
        <v>695</v>
      </c>
    </row>
    <row r="134" customFormat="false" ht="15" hidden="false" customHeight="false" outlineLevel="0" collapsed="false">
      <c r="A134" s="3" t="s">
        <v>445</v>
      </c>
      <c r="B134" s="3" t="s">
        <v>393</v>
      </c>
      <c r="C134" s="12" t="n">
        <v>-12000</v>
      </c>
      <c r="D134" s="3" t="s">
        <v>387</v>
      </c>
      <c r="E134" s="38" t="s">
        <v>707</v>
      </c>
      <c r="F134" s="3" t="s">
        <v>692</v>
      </c>
      <c r="G134" s="38" t="s">
        <v>708</v>
      </c>
    </row>
    <row r="135" customFormat="false" ht="15" hidden="false" customHeight="false" outlineLevel="0" collapsed="false">
      <c r="A135" s="3" t="s">
        <v>445</v>
      </c>
      <c r="B135" s="3" t="s">
        <v>389</v>
      </c>
      <c r="C135" s="12" t="n">
        <v>-12000</v>
      </c>
      <c r="D135" s="3" t="s">
        <v>387</v>
      </c>
      <c r="E135" s="38" t="s">
        <v>707</v>
      </c>
      <c r="F135" s="3" t="s">
        <v>692</v>
      </c>
      <c r="G135" s="38" t="s">
        <v>708</v>
      </c>
    </row>
    <row r="136" customFormat="false" ht="15" hidden="false" customHeight="false" outlineLevel="0" collapsed="false">
      <c r="A136" s="3" t="s">
        <v>445</v>
      </c>
      <c r="B136" s="3" t="s">
        <v>394</v>
      </c>
      <c r="C136" s="12" t="n">
        <v>-39000</v>
      </c>
      <c r="D136" s="3" t="s">
        <v>387</v>
      </c>
      <c r="E136" s="38" t="s">
        <v>694</v>
      </c>
      <c r="F136" s="3" t="s">
        <v>688</v>
      </c>
      <c r="G136" s="38" t="s">
        <v>695</v>
      </c>
    </row>
    <row r="137" customFormat="false" ht="15" hidden="false" customHeight="false" outlineLevel="0" collapsed="false">
      <c r="A137" s="3" t="s">
        <v>445</v>
      </c>
      <c r="B137" s="3" t="s">
        <v>389</v>
      </c>
      <c r="C137" s="12" t="n">
        <v>-53000</v>
      </c>
      <c r="D137" s="3" t="s">
        <v>387</v>
      </c>
      <c r="E137" s="38" t="s">
        <v>694</v>
      </c>
      <c r="F137" s="3" t="s">
        <v>688</v>
      </c>
      <c r="G137" s="38" t="s">
        <v>695</v>
      </c>
    </row>
    <row r="138" customFormat="false" ht="15" hidden="false" customHeight="false" outlineLevel="0" collapsed="false">
      <c r="A138" s="3" t="s">
        <v>445</v>
      </c>
      <c r="B138" s="3" t="s">
        <v>381</v>
      </c>
      <c r="C138" s="12" t="n">
        <v>500000</v>
      </c>
      <c r="D138" s="3" t="s">
        <v>382</v>
      </c>
      <c r="E138" s="38" t="s">
        <v>687</v>
      </c>
      <c r="F138" s="3" t="s">
        <v>688</v>
      </c>
      <c r="G138" s="38" t="s">
        <v>689</v>
      </c>
    </row>
    <row r="139" customFormat="false" ht="15" hidden="false" customHeight="false" outlineLevel="0" collapsed="false">
      <c r="A139" s="3" t="s">
        <v>445</v>
      </c>
      <c r="B139" s="3" t="s">
        <v>389</v>
      </c>
      <c r="C139" s="12" t="n">
        <v>-100000</v>
      </c>
      <c r="D139" s="3" t="s">
        <v>387</v>
      </c>
      <c r="E139" s="38" t="s">
        <v>694</v>
      </c>
      <c r="F139" s="3" t="s">
        <v>688</v>
      </c>
      <c r="G139" s="38" t="s">
        <v>695</v>
      </c>
    </row>
    <row r="140" customFormat="false" ht="15" hidden="false" customHeight="false" outlineLevel="0" collapsed="false">
      <c r="A140" s="3" t="s">
        <v>445</v>
      </c>
      <c r="B140" s="3" t="s">
        <v>690</v>
      </c>
      <c r="C140" s="12" t="n">
        <v>-700000</v>
      </c>
      <c r="D140" s="3" t="s">
        <v>387</v>
      </c>
      <c r="E140" s="3" t="s">
        <v>691</v>
      </c>
      <c r="F140" s="3" t="s">
        <v>692</v>
      </c>
      <c r="G140" s="3" t="s">
        <v>693</v>
      </c>
    </row>
    <row r="141" customFormat="false" ht="15" hidden="false" customHeight="false" outlineLevel="0" collapsed="false">
      <c r="A141" s="3" t="s">
        <v>445</v>
      </c>
      <c r="B141" s="3" t="s">
        <v>410</v>
      </c>
      <c r="C141" s="12" t="n">
        <v>500000</v>
      </c>
      <c r="D141" s="3" t="s">
        <v>382</v>
      </c>
      <c r="E141" s="38" t="s">
        <v>706</v>
      </c>
      <c r="F141" s="3" t="s">
        <v>688</v>
      </c>
      <c r="G141" s="38" t="s">
        <v>689</v>
      </c>
    </row>
    <row r="142" customFormat="false" ht="15" hidden="false" customHeight="false" outlineLevel="0" collapsed="false">
      <c r="A142" s="3" t="s">
        <v>445</v>
      </c>
      <c r="B142" s="3" t="s">
        <v>614</v>
      </c>
      <c r="C142" s="12" t="n">
        <v>-76668</v>
      </c>
      <c r="D142" s="3" t="s">
        <v>387</v>
      </c>
      <c r="E142" s="3" t="s">
        <v>700</v>
      </c>
      <c r="F142" s="3" t="s">
        <v>692</v>
      </c>
      <c r="G142" s="3" t="s">
        <v>701</v>
      </c>
    </row>
    <row r="143" customFormat="false" ht="15" hidden="false" customHeight="false" outlineLevel="0" collapsed="false">
      <c r="A143" s="3" t="s">
        <v>448</v>
      </c>
      <c r="B143" s="3" t="s">
        <v>389</v>
      </c>
      <c r="C143" s="12" t="n">
        <v>-20000</v>
      </c>
      <c r="D143" s="3" t="s">
        <v>387</v>
      </c>
      <c r="E143" s="38" t="s">
        <v>694</v>
      </c>
      <c r="F143" s="3" t="s">
        <v>688</v>
      </c>
      <c r="G143" s="38" t="s">
        <v>695</v>
      </c>
    </row>
    <row r="144" customFormat="false" ht="15" hidden="false" customHeight="false" outlineLevel="0" collapsed="false">
      <c r="A144" s="3" t="s">
        <v>448</v>
      </c>
      <c r="B144" s="3" t="s">
        <v>393</v>
      </c>
      <c r="C144" s="12" t="n">
        <v>-20000</v>
      </c>
      <c r="D144" s="3" t="s">
        <v>387</v>
      </c>
      <c r="E144" s="38" t="s">
        <v>694</v>
      </c>
      <c r="F144" s="3" t="s">
        <v>688</v>
      </c>
      <c r="G144" s="38" t="s">
        <v>695</v>
      </c>
    </row>
    <row r="145" customFormat="false" ht="15" hidden="false" customHeight="false" outlineLevel="0" collapsed="false">
      <c r="A145" s="3" t="s">
        <v>450</v>
      </c>
      <c r="B145" s="3" t="s">
        <v>406</v>
      </c>
      <c r="C145" s="12" t="n">
        <v>-24000</v>
      </c>
      <c r="D145" s="3" t="s">
        <v>387</v>
      </c>
      <c r="E145" s="38" t="s">
        <v>707</v>
      </c>
      <c r="F145" s="3" t="s">
        <v>692</v>
      </c>
      <c r="G145" s="38" t="s">
        <v>708</v>
      </c>
    </row>
    <row r="146" customFormat="false" ht="15" hidden="false" customHeight="false" outlineLevel="0" collapsed="false">
      <c r="A146" s="3" t="s">
        <v>450</v>
      </c>
      <c r="B146" s="3" t="s">
        <v>391</v>
      </c>
      <c r="C146" s="12" t="n">
        <v>4625470</v>
      </c>
      <c r="D146" s="3" t="s">
        <v>382</v>
      </c>
      <c r="E146" s="3" t="s">
        <v>717</v>
      </c>
      <c r="F146" s="3" t="s">
        <v>688</v>
      </c>
      <c r="G146" s="3" t="s">
        <v>718</v>
      </c>
    </row>
    <row r="147" customFormat="false" ht="15" hidden="false" customHeight="false" outlineLevel="0" collapsed="false">
      <c r="A147" s="3" t="s">
        <v>450</v>
      </c>
      <c r="B147" s="3" t="s">
        <v>393</v>
      </c>
      <c r="C147" s="12" t="n">
        <v>-250000</v>
      </c>
      <c r="D147" s="3" t="s">
        <v>387</v>
      </c>
      <c r="E147" s="38" t="s">
        <v>694</v>
      </c>
      <c r="F147" s="3" t="s">
        <v>688</v>
      </c>
      <c r="G147" s="38" t="s">
        <v>695</v>
      </c>
    </row>
    <row r="148" customFormat="false" ht="15" hidden="false" customHeight="false" outlineLevel="0" collapsed="false">
      <c r="A148" s="3" t="s">
        <v>450</v>
      </c>
      <c r="B148" s="3" t="s">
        <v>614</v>
      </c>
      <c r="C148" s="12" t="n">
        <v>-71822</v>
      </c>
      <c r="D148" s="3" t="s">
        <v>387</v>
      </c>
      <c r="E148" s="3" t="s">
        <v>700</v>
      </c>
      <c r="F148" s="3" t="s">
        <v>692</v>
      </c>
      <c r="G148" s="3" t="s">
        <v>701</v>
      </c>
    </row>
    <row r="149" customFormat="false" ht="15" hidden="false" customHeight="false" outlineLevel="0" collapsed="false">
      <c r="A149" s="3" t="s">
        <v>450</v>
      </c>
      <c r="B149" s="3" t="s">
        <v>730</v>
      </c>
      <c r="C149" s="12" t="n">
        <v>-46550</v>
      </c>
      <c r="D149" s="3" t="s">
        <v>387</v>
      </c>
      <c r="E149" s="3" t="s">
        <v>700</v>
      </c>
      <c r="F149" s="3" t="s">
        <v>692</v>
      </c>
      <c r="G149" s="3" t="s">
        <v>701</v>
      </c>
    </row>
    <row r="150" customFormat="false" ht="15" hidden="false" customHeight="false" outlineLevel="0" collapsed="false">
      <c r="A150" s="3" t="s">
        <v>450</v>
      </c>
      <c r="B150" s="3" t="s">
        <v>389</v>
      </c>
      <c r="C150" s="12" t="n">
        <v>-30000</v>
      </c>
      <c r="D150" s="3" t="s">
        <v>387</v>
      </c>
      <c r="E150" s="38" t="s">
        <v>694</v>
      </c>
      <c r="F150" s="3" t="s">
        <v>688</v>
      </c>
      <c r="G150" s="38" t="s">
        <v>695</v>
      </c>
    </row>
    <row r="151" customFormat="false" ht="15" hidden="false" customHeight="false" outlineLevel="0" collapsed="false">
      <c r="A151" s="3" t="s">
        <v>450</v>
      </c>
      <c r="B151" s="3" t="s">
        <v>389</v>
      </c>
      <c r="C151" s="12" t="n">
        <v>-6000</v>
      </c>
      <c r="D151" s="3" t="s">
        <v>387</v>
      </c>
      <c r="E151" s="38" t="s">
        <v>694</v>
      </c>
      <c r="F151" s="3" t="s">
        <v>688</v>
      </c>
      <c r="G151" s="38" t="s">
        <v>695</v>
      </c>
    </row>
    <row r="153" customFormat="false" ht="15" hidden="false" customHeight="false" outlineLevel="0" collapsed="false">
      <c r="A153" s="2" t="s">
        <v>731</v>
      </c>
      <c r="B153" s="2"/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9" t="s">
        <v>732</v>
      </c>
      <c r="B154" s="9" t="s">
        <v>733</v>
      </c>
      <c r="C154" s="9" t="s">
        <v>734</v>
      </c>
    </row>
    <row r="155" customFormat="false" ht="15" hidden="false" customHeight="false" outlineLevel="0" collapsed="false">
      <c r="A155" s="3" t="s">
        <v>694</v>
      </c>
      <c r="B155" s="3" t="n">
        <v>72</v>
      </c>
      <c r="C155" s="12" t="n">
        <v>-6656800</v>
      </c>
    </row>
    <row r="156" customFormat="false" ht="15" hidden="false" customHeight="false" outlineLevel="0" collapsed="false">
      <c r="A156" s="3" t="s">
        <v>691</v>
      </c>
      <c r="B156" s="3" t="n">
        <v>10</v>
      </c>
      <c r="C156" s="12" t="n">
        <v>-6159145</v>
      </c>
    </row>
    <row r="157" customFormat="false" ht="15" hidden="false" customHeight="false" outlineLevel="0" collapsed="false">
      <c r="A157" s="3" t="s">
        <v>700</v>
      </c>
      <c r="B157" s="3" t="n">
        <v>20</v>
      </c>
      <c r="C157" s="12" t="n">
        <v>-1385644</v>
      </c>
    </row>
    <row r="158" customFormat="false" ht="15" hidden="false" customHeight="false" outlineLevel="0" collapsed="false">
      <c r="A158" s="3" t="s">
        <v>707</v>
      </c>
      <c r="B158" s="3" t="n">
        <v>15</v>
      </c>
      <c r="C158" s="12" t="n">
        <v>-1200000</v>
      </c>
    </row>
    <row r="159" customFormat="false" ht="15" hidden="false" customHeight="false" outlineLevel="0" collapsed="false">
      <c r="A159" s="3" t="s">
        <v>722</v>
      </c>
      <c r="B159" s="3" t="n">
        <v>1</v>
      </c>
      <c r="C159" s="12" t="n">
        <v>-405600</v>
      </c>
    </row>
    <row r="160" customFormat="false" ht="15" hidden="false" customHeight="false" outlineLevel="0" collapsed="false">
      <c r="A160" s="3" t="s">
        <v>714</v>
      </c>
      <c r="B160" s="3" t="n">
        <v>1</v>
      </c>
      <c r="C160" s="12" t="n">
        <v>-31955</v>
      </c>
    </row>
    <row r="161" customFormat="false" ht="15" hidden="false" customHeight="false" outlineLevel="0" collapsed="false">
      <c r="A161" s="3" t="s">
        <v>720</v>
      </c>
      <c r="B161" s="3" t="n">
        <v>1</v>
      </c>
      <c r="C161" s="12" t="n">
        <v>-9471</v>
      </c>
    </row>
    <row r="162" customFormat="false" ht="15" hidden="false" customHeight="false" outlineLevel="0" collapsed="false">
      <c r="A162" s="3" t="s">
        <v>703</v>
      </c>
      <c r="B162" s="3" t="n">
        <v>2</v>
      </c>
      <c r="C162" s="12" t="n">
        <v>523400</v>
      </c>
    </row>
    <row r="163" customFormat="false" ht="15" hidden="false" customHeight="false" outlineLevel="0" collapsed="false">
      <c r="A163" s="3" t="s">
        <v>697</v>
      </c>
      <c r="B163" s="3" t="n">
        <v>14</v>
      </c>
      <c r="C163" s="12" t="n">
        <v>2190302</v>
      </c>
    </row>
    <row r="164" customFormat="false" ht="15" hidden="false" customHeight="false" outlineLevel="0" collapsed="false">
      <c r="A164" s="3" t="s">
        <v>706</v>
      </c>
      <c r="B164" s="3" t="n">
        <v>4</v>
      </c>
      <c r="C164" s="12" t="n">
        <v>2900000</v>
      </c>
    </row>
    <row r="165" customFormat="false" ht="15" hidden="false" customHeight="false" outlineLevel="0" collapsed="false">
      <c r="A165" s="3" t="s">
        <v>687</v>
      </c>
      <c r="B165" s="3" t="n">
        <v>4</v>
      </c>
      <c r="C165" s="12" t="n">
        <v>4674721</v>
      </c>
    </row>
    <row r="166" customFormat="false" ht="15" hidden="false" customHeight="false" outlineLevel="0" collapsed="false">
      <c r="A166" s="3" t="s">
        <v>717</v>
      </c>
      <c r="B166" s="3" t="n">
        <v>3</v>
      </c>
      <c r="C166" s="12" t="n">
        <v>9673787</v>
      </c>
    </row>
  </sheetData>
  <mergeCells count="3">
    <mergeCell ref="A1:G1"/>
    <mergeCell ref="A2:G2"/>
    <mergeCell ref="A153:G1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735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736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737</v>
      </c>
      <c r="C4" s="9" t="s">
        <v>738</v>
      </c>
      <c r="D4" s="9" t="s">
        <v>739</v>
      </c>
      <c r="E4" s="9" t="s">
        <v>740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741</v>
      </c>
      <c r="D5" s="37"/>
      <c r="E5" s="37"/>
      <c r="F5" s="3" t="s">
        <v>742</v>
      </c>
    </row>
    <row r="6" customFormat="false" ht="15" hidden="false" customHeight="false" outlineLevel="0" collapsed="false">
      <c r="A6" s="3" t="s">
        <v>743</v>
      </c>
      <c r="B6" s="12" t="n">
        <v>1275801</v>
      </c>
      <c r="C6" s="3" t="s">
        <v>744</v>
      </c>
      <c r="D6" s="34"/>
      <c r="E6" s="12" t="str">
        <f aca="false">IF(D6="","",B6-D6)</f>
        <v/>
      </c>
      <c r="F6" s="3" t="s">
        <v>745</v>
      </c>
    </row>
    <row r="7" customFormat="false" ht="15" hidden="false" customHeight="false" outlineLevel="0" collapsed="false">
      <c r="A7" s="39"/>
      <c r="B7" s="34"/>
      <c r="C7" s="39"/>
      <c r="D7" s="34"/>
      <c r="E7" s="12" t="str">
        <f aca="false">IF(OR(B7="",D7=""),"",B7-D7)</f>
        <v/>
      </c>
      <c r="F7" s="39"/>
    </row>
    <row r="8" customFormat="false" ht="15" hidden="false" customHeight="false" outlineLevel="0" collapsed="false">
      <c r="A8" s="39"/>
      <c r="B8" s="34"/>
      <c r="C8" s="39"/>
      <c r="D8" s="34"/>
      <c r="E8" s="12" t="str">
        <f aca="false">IF(OR(B8="",D8=""),"",B8-D8)</f>
        <v/>
      </c>
      <c r="F8" s="39"/>
    </row>
    <row r="9" customFormat="false" ht="15" hidden="false" customHeight="false" outlineLevel="0" collapsed="false">
      <c r="A9" s="39"/>
      <c r="B9" s="34"/>
      <c r="C9" s="39"/>
      <c r="D9" s="34"/>
      <c r="E9" s="12" t="str">
        <f aca="false">IF(OR(B9="",D9=""),"",B9-D9)</f>
        <v/>
      </c>
      <c r="F9" s="39"/>
    </row>
    <row r="10" customFormat="false" ht="15" hidden="false" customHeight="false" outlineLevel="0" collapsed="false">
      <c r="A10" s="39"/>
      <c r="B10" s="34"/>
      <c r="C10" s="39"/>
      <c r="D10" s="34"/>
      <c r="E10" s="12" t="str">
        <f aca="false">IF(OR(B10="",D10=""),"",B10-D10)</f>
        <v/>
      </c>
      <c r="F10" s="39"/>
    </row>
    <row r="11" customFormat="false" ht="15" hidden="false" customHeight="false" outlineLevel="0" collapsed="false">
      <c r="A11" s="39"/>
      <c r="B11" s="34"/>
      <c r="C11" s="39"/>
      <c r="D11" s="34"/>
      <c r="E11" s="12" t="str">
        <f aca="false">IF(OR(B11="",D11=""),"",B11-D11)</f>
        <v/>
      </c>
      <c r="F11" s="39"/>
    </row>
    <row r="12" customFormat="false" ht="15" hidden="false" customHeight="false" outlineLevel="0" collapsed="false">
      <c r="A12" s="39"/>
      <c r="B12" s="34"/>
      <c r="C12" s="39"/>
      <c r="D12" s="34"/>
      <c r="E12" s="12" t="str">
        <f aca="false">IF(OR(B12="",D12=""),"",B12-D12)</f>
        <v/>
      </c>
      <c r="F12" s="39"/>
    </row>
    <row r="13" customFormat="false" ht="15" hidden="false" customHeight="false" outlineLevel="0" collapsed="false">
      <c r="A13" s="39"/>
      <c r="B13" s="34"/>
      <c r="C13" s="39"/>
      <c r="D13" s="34"/>
      <c r="E13" s="12" t="str">
        <f aca="false">IF(OR(B13="",D13=""),"",B13-D13)</f>
        <v/>
      </c>
      <c r="F13" s="39"/>
    </row>
    <row r="14" customFormat="false" ht="15" hidden="false" customHeight="false" outlineLevel="0" collapsed="false">
      <c r="A14" s="39"/>
      <c r="B14" s="34"/>
      <c r="C14" s="39"/>
      <c r="D14" s="34"/>
      <c r="E14" s="12" t="str">
        <f aca="false">IF(OR(B14="",D14=""),"",B14-D14)</f>
        <v/>
      </c>
      <c r="F14" s="39"/>
    </row>
    <row r="15" customFormat="false" ht="15" hidden="false" customHeight="false" outlineLevel="0" collapsed="false">
      <c r="A15" s="39"/>
      <c r="B15" s="34"/>
      <c r="C15" s="39"/>
      <c r="D15" s="34"/>
      <c r="E15" s="12" t="str">
        <f aca="false">IF(OR(B15="",D15=""),"",B15-D15)</f>
        <v/>
      </c>
      <c r="F15" s="39"/>
    </row>
    <row r="16" customFormat="false" ht="15" hidden="false" customHeight="false" outlineLevel="0" collapsed="false">
      <c r="A16" s="39"/>
      <c r="B16" s="34"/>
      <c r="C16" s="39"/>
      <c r="D16" s="34"/>
      <c r="E16" s="12" t="str">
        <f aca="false">IF(OR(B16="",D16=""),"",B16-D16)</f>
        <v/>
      </c>
      <c r="F16" s="39"/>
    </row>
    <row r="17" customFormat="false" ht="15" hidden="false" customHeight="false" outlineLevel="0" collapsed="false">
      <c r="A17" s="39"/>
      <c r="B17" s="34"/>
      <c r="C17" s="39"/>
      <c r="D17" s="34"/>
      <c r="E17" s="12" t="str">
        <f aca="false">IF(OR(B17="",D17=""),"",B17-D17)</f>
        <v/>
      </c>
      <c r="F17" s="39"/>
    </row>
    <row r="18" customFormat="false" ht="15" hidden="false" customHeight="false" outlineLevel="0" collapsed="false">
      <c r="A18" s="39"/>
      <c r="B18" s="34"/>
      <c r="C18" s="39"/>
      <c r="D18" s="34"/>
      <c r="E18" s="12" t="str">
        <f aca="false">IF(OR(B18="",D18=""),"",B18-D18)</f>
        <v/>
      </c>
      <c r="F18" s="39"/>
    </row>
    <row r="19" customFormat="false" ht="15" hidden="false" customHeight="false" outlineLevel="0" collapsed="false">
      <c r="A19" s="39"/>
      <c r="B19" s="34"/>
      <c r="C19" s="39"/>
      <c r="D19" s="34"/>
      <c r="E19" s="12" t="str">
        <f aca="false">IF(OR(B19="",D19=""),"",B19-D19)</f>
        <v/>
      </c>
      <c r="F19" s="39"/>
    </row>
    <row r="20" customFormat="false" ht="15" hidden="false" customHeight="false" outlineLevel="0" collapsed="false">
      <c r="A20" s="39"/>
      <c r="B20" s="34"/>
      <c r="C20" s="39"/>
      <c r="D20" s="34"/>
      <c r="E20" s="12" t="str">
        <f aca="false">IF(OR(B20="",D20=""),"",B20-D20)</f>
        <v/>
      </c>
      <c r="F20" s="39"/>
    </row>
    <row r="21" customFormat="false" ht="15" hidden="false" customHeight="false" outlineLevel="0" collapsed="false">
      <c r="A21" s="39"/>
      <c r="B21" s="34"/>
      <c r="C21" s="39"/>
      <c r="D21" s="34"/>
      <c r="E21" s="12" t="str">
        <f aca="false">IF(OR(B21="",D21=""),"",B21-D21)</f>
        <v/>
      </c>
      <c r="F21" s="39"/>
    </row>
    <row r="22" customFormat="false" ht="15" hidden="false" customHeight="false" outlineLevel="0" collapsed="false">
      <c r="A22" s="39"/>
      <c r="B22" s="34"/>
      <c r="C22" s="39"/>
      <c r="D22" s="34"/>
      <c r="E22" s="12" t="str">
        <f aca="false">IF(OR(B22="",D22=""),"",B22-D22)</f>
        <v/>
      </c>
      <c r="F22" s="39"/>
    </row>
    <row r="23" customFormat="false" ht="15" hidden="false" customHeight="false" outlineLevel="0" collapsed="false">
      <c r="A23" s="39"/>
      <c r="B23" s="34"/>
      <c r="C23" s="39"/>
      <c r="D23" s="34"/>
      <c r="E23" s="12" t="str">
        <f aca="false">IF(OR(B23="",D23=""),"",B23-D23)</f>
        <v/>
      </c>
      <c r="F23" s="39"/>
    </row>
    <row r="24" customFormat="false" ht="15" hidden="false" customHeight="false" outlineLevel="0" collapsed="false">
      <c r="A24" s="39"/>
      <c r="B24" s="34"/>
      <c r="C24" s="39"/>
      <c r="D24" s="34"/>
      <c r="E24" s="12" t="str">
        <f aca="false">IF(OR(B24="",D24=""),"",B24-D24)</f>
        <v/>
      </c>
      <c r="F24" s="39"/>
    </row>
    <row r="25" customFormat="false" ht="15" hidden="false" customHeight="false" outlineLevel="0" collapsed="false">
      <c r="A25" s="39"/>
      <c r="B25" s="34"/>
      <c r="C25" s="39"/>
      <c r="D25" s="34"/>
      <c r="E25" s="12" t="str">
        <f aca="false">IF(OR(B25="",D25=""),"",B25-D25)</f>
        <v/>
      </c>
      <c r="F25" s="39"/>
    </row>
    <row r="26" customFormat="false" ht="15" hidden="false" customHeight="false" outlineLevel="0" collapsed="false">
      <c r="A26" s="39"/>
      <c r="B26" s="34"/>
      <c r="C26" s="39"/>
      <c r="D26" s="34"/>
      <c r="E26" s="12" t="str">
        <f aca="false">IF(OR(B26="",D26=""),"",B26-D26)</f>
        <v/>
      </c>
      <c r="F26" s="39"/>
    </row>
    <row r="27" customFormat="false" ht="15" hidden="false" customHeight="false" outlineLevel="0" collapsed="false">
      <c r="A27" s="39"/>
      <c r="B27" s="34"/>
      <c r="C27" s="39"/>
      <c r="D27" s="34"/>
      <c r="E27" s="12" t="str">
        <f aca="false">IF(OR(B27="",D27=""),"",B27-D27)</f>
        <v/>
      </c>
      <c r="F27" s="39"/>
    </row>
    <row r="28" customFormat="false" ht="15" hidden="false" customHeight="false" outlineLevel="0" collapsed="false">
      <c r="A28" s="39"/>
      <c r="B28" s="34"/>
      <c r="C28" s="39"/>
      <c r="D28" s="34"/>
      <c r="E28" s="12" t="str">
        <f aca="false">IF(OR(B28="",D28=""),"",B28-D28)</f>
        <v/>
      </c>
      <c r="F28" s="39"/>
    </row>
    <row r="29" customFormat="false" ht="15" hidden="false" customHeight="false" outlineLevel="0" collapsed="false">
      <c r="A29" s="39"/>
      <c r="B29" s="34"/>
      <c r="C29" s="39"/>
      <c r="D29" s="34"/>
      <c r="E29" s="12" t="str">
        <f aca="false">IF(OR(B29="",D29=""),"",B29-D29)</f>
        <v/>
      </c>
      <c r="F29" s="39"/>
    </row>
    <row r="30" customFormat="false" ht="15" hidden="false" customHeight="false" outlineLevel="0" collapsed="false">
      <c r="A30" s="39"/>
      <c r="B30" s="34"/>
      <c r="C30" s="39"/>
      <c r="D30" s="34"/>
      <c r="E30" s="12" t="str">
        <f aca="false">IF(OR(B30="",D30=""),"",B30-D30)</f>
        <v/>
      </c>
      <c r="F30" s="39"/>
    </row>
    <row r="31" customFormat="false" ht="15" hidden="false" customHeight="false" outlineLevel="0" collapsed="false">
      <c r="A31" s="39"/>
      <c r="B31" s="34"/>
      <c r="C31" s="39"/>
      <c r="D31" s="34"/>
      <c r="E31" s="12" t="str">
        <f aca="false">IF(OR(B31="",D31=""),"",B31-D31)</f>
        <v/>
      </c>
      <c r="F31" s="39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2026-08-02T04:18:39Z</dcterms:created>
  <dc:creator>openpyxl</dc:creator>
  <dc:description/>
  <dc:language>en-US</dc:language>
  <cp:lastModifiedBy/>
  <dcterms:modified xsi:type="dcterms:W3CDTF">2026-08-02T04:18:40Z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