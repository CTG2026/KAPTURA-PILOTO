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rme Financiero Semanal" sheetId="1" state="visible" r:id="rId3"/>
    <sheet name="Memoria de Cálcul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<sst xmlns="http://schemas.openxmlformats.org/spreadsheetml/2006/main" count="100" uniqueCount="78">
  <si>
    <t xml:space="preserve">INFORME FINANCIERO SEMANAL</t>
  </si>
  <si>
    <t xml:space="preserve">GLOBAL SOLUTIONS SPA — AL 7 AGO 2026</t>
  </si>
  <si>
    <t xml:space="preserve">1. SALDO DE CAJA HOY</t>
  </si>
  <si>
    <t xml:space="preserve">Concepto</t>
  </si>
  <si>
    <t xml:space="preserve">Monto</t>
  </si>
  <si>
    <t xml:space="preserve">Banco Santander</t>
  </si>
  <si>
    <t xml:space="preserve">Aramco (real: $4.977 gasolina + $91.430 diésel)</t>
  </si>
  <si>
    <t xml:space="preserve">TOTAL SALDO DISPONIBLE</t>
  </si>
  <si>
    <t xml:space="preserve">2. VENTAS C/IVA POR SERVICIOS — AGOSTO al 07-08-2026</t>
  </si>
  <si>
    <t xml:space="preserve">Cliente</t>
  </si>
  <si>
    <t xml:space="preserve">Ejecutado según sistema</t>
  </si>
  <si>
    <t xml:space="preserve">(GPS confirma actividad real)</t>
  </si>
  <si>
    <t xml:space="preserve">Sollem SpA</t>
  </si>
  <si>
    <t xml:space="preserve">Citrus Agro</t>
  </si>
  <si>
    <t xml:space="preserve">Presmita</t>
  </si>
  <si>
    <t xml:space="preserve">Trans Luciano</t>
  </si>
  <si>
    <t xml:space="preserve">TOTAL VENTAS REALES AGOSTO</t>
  </si>
  <si>
    <t xml:space="preserve">TOTAL GENERAL</t>
  </si>
  <si>
    <t xml:space="preserve">3. EGRESOS CARTOLA SANTANDER — AGOSTO (01 al 07-08-2026, caja real)</t>
  </si>
  <si>
    <t xml:space="preserve">Categoría</t>
  </si>
  <si>
    <t xml:space="preserve">Combustible (Aramco+Copec vía cartola)</t>
  </si>
  <si>
    <t xml:space="preserve">Remuneraciones</t>
  </si>
  <si>
    <t xml:space="preserve">Repuestos / Mantención</t>
  </si>
  <si>
    <t xml:space="preserve">Viáticos y Peajes</t>
  </si>
  <si>
    <t xml:space="preserve">Otros sin clasificar</t>
  </si>
  <si>
    <t xml:space="preserve">Transferencia interna</t>
  </si>
  <si>
    <t xml:space="preserve">TOTAL EGRESOS</t>
  </si>
  <si>
    <t xml:space="preserve">4. FACTURAS — AGOSTO 2026</t>
  </si>
  <si>
    <t xml:space="preserve">Facturas emitidas (folio 30, Sollem, bruto)</t>
  </si>
  <si>
    <t xml:space="preserve">Facturas pagadas en cuenta (neto, factoring INCOFIN 04-08)</t>
  </si>
  <si>
    <t xml:space="preserve">Facturas emitidas pendientes de pago</t>
  </si>
  <si>
    <t xml:space="preserve">Facturas por emitir (= Total Ventas Agosto — folio 30 es cierre de JULIO, no se resta)</t>
  </si>
  <si>
    <t xml:space="preserve"> - Sollem SpA</t>
  </si>
  <si>
    <t xml:space="preserve"> - Citrus Agro</t>
  </si>
  <si>
    <t xml:space="preserve"> - Presmita</t>
  </si>
  <si>
    <t xml:space="preserve"> - Trans Luciano</t>
  </si>
  <si>
    <t xml:space="preserve">5. FACTURAS EMITIDAS JULIO, SIN PAGO EN CARTOLA (julio ni agosto)</t>
  </si>
  <si>
    <t xml:space="preserve">Fecha Emisión</t>
  </si>
  <si>
    <t xml:space="preserve">Monto (con IVA)</t>
  </si>
  <si>
    <t xml:space="preserve">Danilo Enrique Núñez Osorio - Factura 24</t>
  </si>
  <si>
    <t xml:space="preserve">25-07-2026</t>
  </si>
  <si>
    <t xml:space="preserve">Presmita - Factura 27</t>
  </si>
  <si>
    <t xml:space="preserve">30-07-2026</t>
  </si>
  <si>
    <t xml:space="preserve">TOTAL SIN PAGAR</t>
  </si>
  <si>
    <t xml:space="preserve">NOTA IMPORTANTE</t>
  </si>
  <si>
    <t xml:space="preserve">Todas las Ventas de esta hoja se muestran CON IVA (bruto) — son ingresos que alimentan el Flujo de Caja. Los valores netos (base de cálculo) están documentados en la hoja "Memoria de Cálculo". Folio 30 ($624.512) es un cierre de JULIO facturado el 03-08-2026 (confirmado con la factura PDF, GDs 24342-24343) — no se resta de las Ventas de Agosto.</t>
  </si>
  <si>
    <t xml:space="preserve">MEMORIA DE CÁLCULO — Informe Financiero Semanal al 07-08-2026</t>
  </si>
  <si>
    <t xml:space="preserve">SUPUESTO GENERAL</t>
  </si>
  <si>
    <t xml:space="preserve">Tasa IVA</t>
  </si>
  <si>
    <t xml:space="preserve">SALDO DE CAJA (real)</t>
  </si>
  <si>
    <t xml:space="preserve">Cartola N°4, saldo final al 07-08-2026</t>
  </si>
  <si>
    <t xml:space="preserve">Aramco</t>
  </si>
  <si>
    <t xml:space="preserve">Portal Esmax: $4.977 gasolina + $91.430 diésel, real 07-08-2026</t>
  </si>
  <si>
    <t xml:space="preserve">VENTAS NETAS POR SERVICIO — AGOSTO (servicios_piloto, sin IVA)</t>
  </si>
  <si>
    <t xml:space="preserve">Sollem SpA — Ejecutado (neto)</t>
  </si>
  <si>
    <t xml:space="preserve">servicios_piloto, estado=ejecutado</t>
  </si>
  <si>
    <t xml:space="preserve">Sollem SpA — Asignado (neto, GPS confirma actividad real)</t>
  </si>
  <si>
    <t xml:space="preserve">servicios_piloto estado=asignado, validado con export GPS</t>
  </si>
  <si>
    <t xml:space="preserve">Citrus Agro — Ejecutado (neto)</t>
  </si>
  <si>
    <t xml:space="preserve">Citrus Agro — Asignado (neto, GPS confirma actividad real)</t>
  </si>
  <si>
    <t xml:space="preserve">Presmita — Ejecutado (neto)</t>
  </si>
  <si>
    <t xml:space="preserve">Presmita — Asignado (neto, GPS confirma actividad real)</t>
  </si>
  <si>
    <t xml:space="preserve">Trans Luciano — Ejecutado (neto)</t>
  </si>
  <si>
    <t xml:space="preserve">Trans Luciano — Asignado (neto, GPS confirma actividad real)</t>
  </si>
  <si>
    <t xml:space="preserve">EGRESOS CARTOLA SANTANDER — AGOSTO (01 al 07-08-2026, real, kaptura_caja)</t>
  </si>
  <si>
    <t xml:space="preserve">kaptura_caja, categorización real cruzada RCV</t>
  </si>
  <si>
    <t xml:space="preserve">FACTURAS — AGOSTO 2026</t>
  </si>
  <si>
    <t xml:space="preserve">Facturas emitidas — folio 30 Sollem (bruto)</t>
  </si>
  <si>
    <t xml:space="preserve">RCV Venta agosto. CONFIRMADO con factura PDF: es cierre de JULIO (GDs 24342,24343), no venta de agosto — no se resta de Ventas Agosto</t>
  </si>
  <si>
    <t xml:space="preserve">Facturas pagadas en cuenta (neto, factoring)</t>
  </si>
  <si>
    <t xml:space="preserve">INCOFIN S.A., cartola 04-08-2026</t>
  </si>
  <si>
    <t xml:space="preserve">Facturas emitidas pendientes de pago (agosto)</t>
  </si>
  <si>
    <t xml:space="preserve">Folio 30 quedó 100% liquidado vía factoring — el descuento de factoring es costo financiero, no saldo impago</t>
  </si>
  <si>
    <t xml:space="preserve">FACTURAS EMITIDAS JULIO, SIN PAGO EN CARTOLA (julio ni agosto)</t>
  </si>
  <si>
    <t xml:space="preserve">Danilo Enrique Núñez Osorio — Factura 24 (con IVA)</t>
  </si>
  <si>
    <t xml:space="preserve">RCV Venta junio, folio 24, emitida 25-07-2026. Sin match en kaptura_caja jul/ago</t>
  </si>
  <si>
    <t xml:space="preserve">Presmita — Factura 27 (con IVA)</t>
  </si>
  <si>
    <t xml:space="preserve">RCV Venta julio, folio 27, emitida 30-07-2026. Sin match en kaptura_caja jul/ago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</si>
</sst>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20"/>
    <col collapsed="false" customWidth="true" hidden="false" outlineLevel="0" max="3" min="3" style="0" width="2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4" t="s">
        <v>3</v>
      </c>
      <c r="B5" s="4" t="s">
        <v>4</v>
      </c>
    </row>
    <row r="6" customFormat="false" ht="15" hidden="false" customHeight="false" outlineLevel="0" collapsed="false">
      <c r="A6" s="5" t="s">
        <v>5</v>
      </c>
      <c r="B6" s="6" t="n">
        <f aca="false">'Memoria de Cálculo'!$B$7</f>
        <v>303760</v>
      </c>
      <c r="C6" s="6"/>
    </row>
    <row r="7" customFormat="false" ht="15" hidden="false" customHeight="false" outlineLevel="0" collapsed="false">
      <c r="A7" s="5" t="s">
        <v>6</v>
      </c>
      <c r="B7" s="6" t="n">
        <f aca="false">'Memoria de Cálculo'!$B$8</f>
        <v>96407</v>
      </c>
      <c r="C7" s="6"/>
    </row>
    <row r="8" customFormat="false" ht="15" hidden="false" customHeight="false" outlineLevel="0" collapsed="false">
      <c r="A8" s="7" t="s">
        <v>7</v>
      </c>
      <c r="B8" s="8" t="n">
        <f aca="false">B6+B7</f>
        <v>400167</v>
      </c>
      <c r="C8" s="8"/>
    </row>
    <row r="10" customFormat="false" ht="15" hidden="false" customHeight="false" outlineLevel="0" collapsed="false">
      <c r="A10" s="3" t="s">
        <v>8</v>
      </c>
      <c r="B10" s="3"/>
      <c r="C10" s="3"/>
    </row>
    <row r="11" customFormat="false" ht="26.85" hidden="false" customHeight="false" outlineLevel="0" collapsed="false">
      <c r="A11" s="4" t="s">
        <v>9</v>
      </c>
      <c r="B11" s="4" t="s">
        <v>10</v>
      </c>
      <c r="C11" s="4" t="s">
        <v>11</v>
      </c>
    </row>
    <row r="12" customFormat="false" ht="15" hidden="false" customHeight="false" outlineLevel="0" collapsed="false">
      <c r="A12" s="5" t="s">
        <v>12</v>
      </c>
      <c r="B12" s="6" t="n">
        <f aca="false">'Memoria de Cálculo'!$B$11*(1+'Memoria de Cálculo'!$B$4)</f>
        <v>4578590.45</v>
      </c>
      <c r="C12" s="6" t="n">
        <f aca="false">'Memoria de Cálculo'!$B$12*(1+'Memoria de Cálculo'!$B$4)</f>
        <v>1989493.17</v>
      </c>
    </row>
    <row r="13" customFormat="false" ht="15" hidden="false" customHeight="false" outlineLevel="0" collapsed="false">
      <c r="A13" s="5" t="s">
        <v>13</v>
      </c>
      <c r="B13" s="6" t="n">
        <f aca="false">'Memoria de Cálculo'!$B$13*(1+'Memoria de Cálculo'!$B$4)</f>
        <v>573144.46</v>
      </c>
      <c r="C13" s="6" t="n">
        <f aca="false">'Memoria de Cálculo'!$B$14*(1+'Memoria de Cálculo'!$B$4)</f>
        <v>685484.03</v>
      </c>
    </row>
    <row r="14" customFormat="false" ht="15" hidden="false" customHeight="false" outlineLevel="0" collapsed="false">
      <c r="A14" s="5" t="s">
        <v>14</v>
      </c>
      <c r="B14" s="6" t="n">
        <f aca="false">'Memoria de Cálculo'!$B$15*(1+'Memoria de Cálculo'!$B$4)</f>
        <v>535500</v>
      </c>
      <c r="C14" s="6" t="n">
        <f aca="false">'Memoria de Cálculo'!$B$16*(1+'Memoria de Cálculo'!$B$4)</f>
        <v>535500</v>
      </c>
    </row>
    <row r="15" customFormat="false" ht="15" hidden="false" customHeight="false" outlineLevel="0" collapsed="false">
      <c r="A15" s="5" t="s">
        <v>15</v>
      </c>
      <c r="B15" s="6" t="n">
        <f aca="false">'Memoria de Cálculo'!$B$17*(1+'Memoria de Cálculo'!$B$4)</f>
        <v>499800</v>
      </c>
      <c r="C15" s="6" t="n">
        <f aca="false">'Memoria de Cálculo'!$B$18*(1+'Memoria de Cálculo'!$B$4)</f>
        <v>0</v>
      </c>
    </row>
    <row r="16" customFormat="false" ht="15" hidden="false" customHeight="false" outlineLevel="0" collapsed="false">
      <c r="A16" s="9" t="s">
        <v>16</v>
      </c>
      <c r="B16" s="10" t="n">
        <f aca="false">SUM(B12:B15)</f>
        <v>6187034.91</v>
      </c>
      <c r="C16" s="10" t="n">
        <f aca="false">SUM(C12:C15)</f>
        <v>3210477.2</v>
      </c>
    </row>
    <row r="17" customFormat="false" ht="15" hidden="false" customHeight="false" outlineLevel="0" collapsed="false">
      <c r="A17" s="11" t="s">
        <v>17</v>
      </c>
      <c r="B17" s="12" t="n">
        <f aca="false">B16+C16</f>
        <v>9397512.11</v>
      </c>
      <c r="C17" s="12"/>
    </row>
    <row r="19" customFormat="false" ht="15" hidden="false" customHeight="false" outlineLevel="0" collapsed="false">
      <c r="A19" s="3" t="s">
        <v>18</v>
      </c>
      <c r="B19" s="3"/>
      <c r="C19" s="3"/>
    </row>
    <row r="20" customFormat="false" ht="15" hidden="false" customHeight="false" outlineLevel="0" collapsed="false">
      <c r="A20" s="4" t="s">
        <v>19</v>
      </c>
      <c r="B20" s="4" t="s">
        <v>4</v>
      </c>
    </row>
    <row r="21" customFormat="false" ht="15" hidden="false" customHeight="false" outlineLevel="0" collapsed="false">
      <c r="A21" s="5" t="s">
        <v>20</v>
      </c>
      <c r="B21" s="6" t="n">
        <f aca="false">'Memoria de Cálculo'!$B$21</f>
        <v>2600000</v>
      </c>
      <c r="C21" s="6"/>
    </row>
    <row r="22" customFormat="false" ht="15" hidden="false" customHeight="false" outlineLevel="0" collapsed="false">
      <c r="A22" s="5" t="s">
        <v>21</v>
      </c>
      <c r="B22" s="6" t="n">
        <f aca="false">'Memoria de Cálculo'!$B$22</f>
        <v>4193196</v>
      </c>
      <c r="C22" s="6"/>
    </row>
    <row r="23" customFormat="false" ht="15" hidden="false" customHeight="false" outlineLevel="0" collapsed="false">
      <c r="A23" s="5" t="s">
        <v>22</v>
      </c>
      <c r="B23" s="6" t="n">
        <f aca="false">'Memoria de Cálculo'!$B$23</f>
        <v>87453</v>
      </c>
      <c r="C23" s="6"/>
    </row>
    <row r="24" customFormat="false" ht="15" hidden="false" customHeight="false" outlineLevel="0" collapsed="false">
      <c r="A24" s="5" t="s">
        <v>23</v>
      </c>
      <c r="B24" s="6" t="n">
        <f aca="false">'Memoria de Cálculo'!$B$24</f>
        <v>0</v>
      </c>
      <c r="C24" s="6"/>
    </row>
    <row r="25" customFormat="false" ht="15" hidden="false" customHeight="false" outlineLevel="0" collapsed="false">
      <c r="A25" s="5" t="s">
        <v>24</v>
      </c>
      <c r="B25" s="6" t="n">
        <f aca="false">'Memoria de Cálculo'!$B$25</f>
        <v>1257072</v>
      </c>
      <c r="C25" s="6"/>
    </row>
    <row r="26" customFormat="false" ht="15" hidden="false" customHeight="false" outlineLevel="0" collapsed="false">
      <c r="A26" s="5" t="s">
        <v>25</v>
      </c>
      <c r="B26" s="6" t="n">
        <f aca="false">'Memoria de Cálculo'!$B$26</f>
        <v>50000</v>
      </c>
      <c r="C26" s="6"/>
    </row>
    <row r="27" customFormat="false" ht="15" hidden="false" customHeight="false" outlineLevel="0" collapsed="false">
      <c r="A27" s="9" t="s">
        <v>26</v>
      </c>
      <c r="B27" s="10" t="n">
        <f aca="false">SUM(B21:B26)</f>
        <v>8187721</v>
      </c>
      <c r="C27" s="10"/>
    </row>
    <row r="29" customFormat="false" ht="15" hidden="false" customHeight="false" outlineLevel="0" collapsed="false">
      <c r="A29" s="3" t="s">
        <v>27</v>
      </c>
      <c r="B29" s="3"/>
      <c r="C29" s="3"/>
    </row>
    <row r="30" customFormat="false" ht="15" hidden="false" customHeight="false" outlineLevel="0" collapsed="false">
      <c r="A30" s="4" t="s">
        <v>3</v>
      </c>
      <c r="B30" s="4" t="s">
        <v>4</v>
      </c>
    </row>
    <row r="31" customFormat="false" ht="15" hidden="false" customHeight="false" outlineLevel="0" collapsed="false">
      <c r="A31" s="5" t="s">
        <v>28</v>
      </c>
      <c r="B31" s="6" t="n">
        <f aca="false">'Memoria de Cálculo'!$B$29</f>
        <v>624512</v>
      </c>
      <c r="C31" s="6"/>
    </row>
    <row r="32" customFormat="false" ht="15" hidden="false" customHeight="false" outlineLevel="0" collapsed="false">
      <c r="A32" s="5" t="s">
        <v>29</v>
      </c>
      <c r="B32" s="6" t="n">
        <f aca="false">'Memoria de Cálculo'!$B$30</f>
        <v>605464</v>
      </c>
      <c r="C32" s="6"/>
    </row>
    <row r="33" customFormat="false" ht="15" hidden="false" customHeight="false" outlineLevel="0" collapsed="false">
      <c r="A33" s="5" t="s">
        <v>30</v>
      </c>
      <c r="B33" s="6" t="n">
        <f aca="false">'Memoria de Cálculo'!$B$31</f>
        <v>0</v>
      </c>
      <c r="C33" s="6"/>
    </row>
    <row r="34" customFormat="false" ht="23.85" hidden="false" customHeight="false" outlineLevel="0" collapsed="false">
      <c r="A34" s="13" t="s">
        <v>31</v>
      </c>
      <c r="B34" s="10" t="n">
        <f aca="false">B17</f>
        <v>9397512.11</v>
      </c>
      <c r="C34" s="10"/>
    </row>
    <row r="35" customFormat="false" ht="15" hidden="false" customHeight="false" outlineLevel="0" collapsed="false">
      <c r="A35" s="5" t="s">
        <v>32</v>
      </c>
      <c r="B35" s="6" t="n">
        <f aca="false">('Memoria de Cálculo'!$B$11+'Memoria de Cálculo'!$B$12)*(1+'Memoria de Cálculo'!$B$4)</f>
        <v>6568083.62</v>
      </c>
      <c r="C35" s="6"/>
    </row>
    <row r="36" customFormat="false" ht="15" hidden="false" customHeight="false" outlineLevel="0" collapsed="false">
      <c r="A36" s="5" t="s">
        <v>33</v>
      </c>
      <c r="B36" s="6" t="n">
        <f aca="false">('Memoria de Cálculo'!$B$13+'Memoria de Cálculo'!$B$14)*(1+'Memoria de Cálculo'!$B$4)</f>
        <v>1258628.49</v>
      </c>
      <c r="C36" s="6"/>
    </row>
    <row r="37" customFormat="false" ht="15" hidden="false" customHeight="false" outlineLevel="0" collapsed="false">
      <c r="A37" s="5" t="s">
        <v>34</v>
      </c>
      <c r="B37" s="6" t="n">
        <f aca="false">('Memoria de Cálculo'!$B$15+'Memoria de Cálculo'!$B$16)*(1+'Memoria de Cálculo'!$B$4)</f>
        <v>1071000</v>
      </c>
      <c r="C37" s="6"/>
    </row>
    <row r="38" customFormat="false" ht="15" hidden="false" customHeight="false" outlineLevel="0" collapsed="false">
      <c r="A38" s="5" t="s">
        <v>35</v>
      </c>
      <c r="B38" s="6" t="n">
        <f aca="false">('Memoria de Cálculo'!$B$17+'Memoria de Cálculo'!$B$18)*(1+'Memoria de Cálculo'!$B$4)</f>
        <v>499800</v>
      </c>
      <c r="C38" s="6"/>
    </row>
    <row r="40" customFormat="false" ht="15" hidden="false" customHeight="false" outlineLevel="0" collapsed="false">
      <c r="A40" s="3" t="s">
        <v>36</v>
      </c>
      <c r="B40" s="3"/>
      <c r="C40" s="3"/>
    </row>
    <row r="41" customFormat="false" ht="15" hidden="false" customHeight="false" outlineLevel="0" collapsed="false">
      <c r="A41" s="4" t="s">
        <v>9</v>
      </c>
      <c r="B41" s="4" t="s">
        <v>37</v>
      </c>
      <c r="C41" s="4" t="s">
        <v>38</v>
      </c>
    </row>
    <row r="42" customFormat="false" ht="15" hidden="false" customHeight="false" outlineLevel="0" collapsed="false">
      <c r="A42" s="5" t="s">
        <v>39</v>
      </c>
      <c r="B42" s="5" t="s">
        <v>40</v>
      </c>
      <c r="C42" s="14" t="n">
        <f aca="false">'Memoria de Cálculo'!$B$34</f>
        <v>690200</v>
      </c>
    </row>
    <row r="43" customFormat="false" ht="15" hidden="false" customHeight="false" outlineLevel="0" collapsed="false">
      <c r="A43" s="5" t="s">
        <v>41</v>
      </c>
      <c r="B43" s="5" t="s">
        <v>42</v>
      </c>
      <c r="C43" s="14" t="n">
        <f aca="false">'Memoria de Cálculo'!$B$35</f>
        <v>1428000</v>
      </c>
    </row>
    <row r="44" customFormat="false" ht="15" hidden="false" customHeight="false" outlineLevel="0" collapsed="false">
      <c r="A44" s="9" t="s">
        <v>43</v>
      </c>
      <c r="B44" s="15"/>
      <c r="C44" s="10" t="n">
        <f aca="false">C42+C43</f>
        <v>2118200</v>
      </c>
    </row>
    <row r="46" customFormat="false" ht="15" hidden="false" customHeight="false" outlineLevel="0" collapsed="false">
      <c r="A46" s="3" t="s">
        <v>44</v>
      </c>
      <c r="B46" s="3"/>
      <c r="C46" s="3"/>
    </row>
    <row r="47" customFormat="false" ht="39.75" hidden="false" customHeight="true" outlineLevel="0" collapsed="false">
      <c r="A47" s="16" t="s">
        <v>45</v>
      </c>
      <c r="B47" s="16"/>
      <c r="C47" s="16"/>
    </row>
  </sheetData>
  <mergeCells count="26">
    <mergeCell ref="A4:C4"/>
    <mergeCell ref="B6:C6"/>
    <mergeCell ref="B7:C7"/>
    <mergeCell ref="B8:C8"/>
    <mergeCell ref="A10:C10"/>
    <mergeCell ref="B17:C17"/>
    <mergeCell ref="A19:C19"/>
    <mergeCell ref="B21:C21"/>
    <mergeCell ref="B22:C22"/>
    <mergeCell ref="B23:C23"/>
    <mergeCell ref="B24:C24"/>
    <mergeCell ref="B25:C25"/>
    <mergeCell ref="B26:C26"/>
    <mergeCell ref="B27:C27"/>
    <mergeCell ref="A29:C29"/>
    <mergeCell ref="B31:C31"/>
    <mergeCell ref="B32:C32"/>
    <mergeCell ref="B33:C33"/>
    <mergeCell ref="B34:C34"/>
    <mergeCell ref="B35:C35"/>
    <mergeCell ref="B36:C36"/>
    <mergeCell ref="B37:C37"/>
    <mergeCell ref="B38:C38"/>
    <mergeCell ref="A40:C40"/>
    <mergeCell ref="A46:C46"/>
    <mergeCell ref="A47:C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8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7" t="s">
        <v>46</v>
      </c>
      <c r="B1" s="17"/>
      <c r="C1" s="17"/>
    </row>
    <row r="3" customFormat="false" ht="15" hidden="false" customHeight="false" outlineLevel="0" collapsed="false">
      <c r="A3" s="3" t="s">
        <v>47</v>
      </c>
      <c r="B3" s="3"/>
      <c r="C3" s="3"/>
    </row>
    <row r="4" customFormat="false" ht="15" hidden="false" customHeight="false" outlineLevel="0" collapsed="false">
      <c r="A4" s="5" t="s">
        <v>48</v>
      </c>
      <c r="B4" s="18" t="n">
        <v>0.19</v>
      </c>
    </row>
    <row r="6" customFormat="false" ht="15" hidden="false" customHeight="false" outlineLevel="0" collapsed="false">
      <c r="A6" s="3" t="s">
        <v>49</v>
      </c>
      <c r="B6" s="3"/>
      <c r="C6" s="3"/>
    </row>
    <row r="7" customFormat="false" ht="15" hidden="false" customHeight="false" outlineLevel="0" collapsed="false">
      <c r="A7" s="5" t="s">
        <v>5</v>
      </c>
      <c r="B7" s="19" t="n">
        <v>303760</v>
      </c>
      <c r="C7" s="20" t="s">
        <v>50</v>
      </c>
    </row>
    <row r="8" customFormat="false" ht="15" hidden="false" customHeight="false" outlineLevel="0" collapsed="false">
      <c r="A8" s="5" t="s">
        <v>51</v>
      </c>
      <c r="B8" s="19" t="n">
        <v>96407</v>
      </c>
      <c r="C8" s="20" t="s">
        <v>52</v>
      </c>
    </row>
    <row r="10" customFormat="false" ht="15" hidden="false" customHeight="false" outlineLevel="0" collapsed="false">
      <c r="A10" s="3" t="s">
        <v>53</v>
      </c>
      <c r="B10" s="3"/>
      <c r="C10" s="3"/>
    </row>
    <row r="11" customFormat="false" ht="15" hidden="false" customHeight="false" outlineLevel="0" collapsed="false">
      <c r="A11" s="5" t="s">
        <v>54</v>
      </c>
      <c r="B11" s="19" t="n">
        <v>3847555</v>
      </c>
      <c r="C11" s="20" t="s">
        <v>55</v>
      </c>
    </row>
    <row r="12" customFormat="false" ht="15" hidden="false" customHeight="false" outlineLevel="0" collapsed="false">
      <c r="A12" s="5" t="s">
        <v>56</v>
      </c>
      <c r="B12" s="19" t="n">
        <v>1671843</v>
      </c>
      <c r="C12" s="20" t="s">
        <v>57</v>
      </c>
    </row>
    <row r="13" customFormat="false" ht="15" hidden="false" customHeight="false" outlineLevel="0" collapsed="false">
      <c r="A13" s="5" t="s">
        <v>58</v>
      </c>
      <c r="B13" s="19" t="n">
        <v>481634</v>
      </c>
      <c r="C13" s="20" t="s">
        <v>55</v>
      </c>
    </row>
    <row r="14" customFormat="false" ht="15" hidden="false" customHeight="false" outlineLevel="0" collapsed="false">
      <c r="A14" s="5" t="s">
        <v>59</v>
      </c>
      <c r="B14" s="19" t="n">
        <v>576037</v>
      </c>
      <c r="C14" s="20" t="s">
        <v>57</v>
      </c>
    </row>
    <row r="15" customFormat="false" ht="15" hidden="false" customHeight="false" outlineLevel="0" collapsed="false">
      <c r="A15" s="5" t="s">
        <v>60</v>
      </c>
      <c r="B15" s="19" t="n">
        <v>450000</v>
      </c>
      <c r="C15" s="20" t="s">
        <v>55</v>
      </c>
    </row>
    <row r="16" customFormat="false" ht="15" hidden="false" customHeight="false" outlineLevel="0" collapsed="false">
      <c r="A16" s="5" t="s">
        <v>61</v>
      </c>
      <c r="B16" s="19" t="n">
        <v>450000</v>
      </c>
      <c r="C16" s="20" t="s">
        <v>57</v>
      </c>
    </row>
    <row r="17" customFormat="false" ht="15" hidden="false" customHeight="false" outlineLevel="0" collapsed="false">
      <c r="A17" s="5" t="s">
        <v>62</v>
      </c>
      <c r="B17" s="19" t="n">
        <v>420000</v>
      </c>
      <c r="C17" s="20" t="s">
        <v>55</v>
      </c>
    </row>
    <row r="18" customFormat="false" ht="15" hidden="false" customHeight="false" outlineLevel="0" collapsed="false">
      <c r="A18" s="5" t="s">
        <v>63</v>
      </c>
      <c r="B18" s="18" t="n">
        <v>0</v>
      </c>
      <c r="C18" s="20" t="s">
        <v>57</v>
      </c>
    </row>
    <row r="20" customFormat="false" ht="15" hidden="false" customHeight="false" outlineLevel="0" collapsed="false">
      <c r="A20" s="3" t="s">
        <v>64</v>
      </c>
      <c r="B20" s="3"/>
      <c r="C20" s="3"/>
    </row>
    <row r="21" customFormat="false" ht="15" hidden="false" customHeight="false" outlineLevel="0" collapsed="false">
      <c r="A21" s="5" t="s">
        <v>20</v>
      </c>
      <c r="B21" s="19" t="n">
        <v>2600000</v>
      </c>
      <c r="C21" s="20" t="s">
        <v>65</v>
      </c>
    </row>
    <row r="22" customFormat="false" ht="15" hidden="false" customHeight="false" outlineLevel="0" collapsed="false">
      <c r="A22" s="5" t="s">
        <v>21</v>
      </c>
      <c r="B22" s="19" t="n">
        <v>4193196</v>
      </c>
      <c r="C22" s="20" t="s">
        <v>65</v>
      </c>
    </row>
    <row r="23" customFormat="false" ht="15" hidden="false" customHeight="false" outlineLevel="0" collapsed="false">
      <c r="A23" s="5" t="s">
        <v>22</v>
      </c>
      <c r="B23" s="19" t="n">
        <v>87453</v>
      </c>
      <c r="C23" s="20" t="s">
        <v>65</v>
      </c>
    </row>
    <row r="24" customFormat="false" ht="15" hidden="false" customHeight="false" outlineLevel="0" collapsed="false">
      <c r="A24" s="5" t="s">
        <v>23</v>
      </c>
      <c r="B24" s="18" t="n">
        <v>0</v>
      </c>
      <c r="C24" s="20" t="s">
        <v>65</v>
      </c>
    </row>
    <row r="25" customFormat="false" ht="15" hidden="false" customHeight="false" outlineLevel="0" collapsed="false">
      <c r="A25" s="5" t="s">
        <v>24</v>
      </c>
      <c r="B25" s="19" t="n">
        <v>1257072</v>
      </c>
      <c r="C25" s="20" t="s">
        <v>65</v>
      </c>
    </row>
    <row r="26" customFormat="false" ht="15" hidden="false" customHeight="false" outlineLevel="0" collapsed="false">
      <c r="A26" s="5" t="s">
        <v>25</v>
      </c>
      <c r="B26" s="19" t="n">
        <v>50000</v>
      </c>
      <c r="C26" s="20" t="s">
        <v>65</v>
      </c>
    </row>
    <row r="28" customFormat="false" ht="15" hidden="false" customHeight="false" outlineLevel="0" collapsed="false">
      <c r="A28" s="3" t="s">
        <v>66</v>
      </c>
      <c r="B28" s="3"/>
      <c r="C28" s="3"/>
    </row>
    <row r="29" customFormat="false" ht="15" hidden="false" customHeight="false" outlineLevel="0" collapsed="false">
      <c r="A29" s="5" t="s">
        <v>67</v>
      </c>
      <c r="B29" s="19" t="n">
        <v>624512</v>
      </c>
      <c r="C29" s="20" t="s">
        <v>68</v>
      </c>
    </row>
    <row r="30" customFormat="false" ht="15" hidden="false" customHeight="false" outlineLevel="0" collapsed="false">
      <c r="A30" s="5" t="s">
        <v>69</v>
      </c>
      <c r="B30" s="19" t="n">
        <v>605464</v>
      </c>
      <c r="C30" s="20" t="s">
        <v>70</v>
      </c>
    </row>
    <row r="31" customFormat="false" ht="15" hidden="false" customHeight="false" outlineLevel="0" collapsed="false">
      <c r="A31" s="5" t="s">
        <v>71</v>
      </c>
      <c r="B31" s="18" t="n">
        <v>0</v>
      </c>
      <c r="C31" s="20" t="s">
        <v>72</v>
      </c>
    </row>
    <row r="33" customFormat="false" ht="15" hidden="false" customHeight="false" outlineLevel="0" collapsed="false">
      <c r="A33" s="3" t="s">
        <v>73</v>
      </c>
      <c r="B33" s="3"/>
      <c r="C33" s="3"/>
    </row>
    <row r="34" customFormat="false" ht="15" hidden="false" customHeight="false" outlineLevel="0" collapsed="false">
      <c r="A34" s="5" t="s">
        <v>74</v>
      </c>
      <c r="B34" s="19" t="n">
        <v>690200</v>
      </c>
      <c r="C34" s="20" t="s">
        <v>75</v>
      </c>
    </row>
    <row r="35" customFormat="false" ht="15" hidden="false" customHeight="false" outlineLevel="0" collapsed="false">
      <c r="A35" s="5" t="s">
        <v>76</v>
      </c>
      <c r="B35" s="19" t="n">
        <v>1428000</v>
      </c>
      <c r="C35" s="20" t="s">
        <v>77</v>
      </c>
    </row>
  </sheetData>
  <mergeCells count="7">
    <mergeCell ref="A1:C1"/>
    <mergeCell ref="A3:C3"/>
    <mergeCell ref="A6:C6"/>
    <mergeCell ref="A10:C10"/>
    <mergeCell ref="A20:C20"/>
    <mergeCell ref="A28:C28"/>
    <mergeCell ref="A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2026-08-07T23:03:16Z</dcterms:created>
  <dc:creator>openpyxl</dc:creator>
  <dc:description/>
  <dc:language>en-US</dc:language>
  <cp:lastModifiedBy/>
  <dcterms:modified xsi:type="dcterms:W3CDTF">2026-08-07T23:03:16Z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