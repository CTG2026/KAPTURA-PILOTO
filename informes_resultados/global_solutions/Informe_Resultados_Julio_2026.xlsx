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esupuesto" sheetId="1" state="visible" r:id="rId3"/>
    <sheet name="Financiero" sheetId="2" state="visible" r:id="rId4"/>
    <sheet name="Comercial" sheetId="3" state="visible" r:id="rId5"/>
    <sheet name="Operacional" sheetId="4" state="visible" r:id="rId6"/>
    <sheet name="Datos - Servicios Jul" sheetId="5" state="visible" r:id="rId7"/>
    <sheet name="Datos - Cartola Jul" sheetId="6" state="visible" r:id="rId8"/>
    <sheet name="Datos - Combustible y GPS" sheetId="7" state="visible" r:id="rId9"/>
    <sheet name="Datos - GPS Dia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2" authorId="0">
      <text>
        <r>
          <rPr>
            <sz val="10"/>
            <rFont val="Arial"/>
            <family val="2"/>
          </rPr>
          <t xml:space="preserve">carlos:
VARIABLES (se restan de Ventas para sacar el Margen Bruto 45,1%):
Combustible (neto IVA, neto devolución impuesto específico)
Comisión conductor (8% sobre ventas, los 4 conductores + Vega)
Viático conductor ($12.000 × día confirmado por GPS)
Peajes (real concesionarias + reembolso cartola)
Mantención programada ($40/km × 13.748,6 km reales — estimada, no real)
Gasto Financiero Factoring (3% Sollem + 3% Serlogin, sobre facturación real)
FIJOS (Costo Fijo Estructural, $6.140.000):
7. Coordinador Operaciones — $1.500.000
8. Ayudante Operaciones — $900.000
9. Administrativo / Control de Gestión — $500.000
10. Arriendo — $450.000
11. Contabilidad — $50.000
12. Gastos comunes — $100.000
13. Sueldo base de los 4 conductores regulares (Madariaga, Mancilla, Madrid, Vidal) — $660.000 c/u = $2.640.000</t>
        </r>
      </text>
    </comment>
  </commentList>
</comments>
</file>

<file path=xl/sharedStrings.xml><?xml version="1.0" encoding="utf-8"?>
<sst xmlns="http://schemas.openxmlformats.org/spreadsheetml/2006/main" count="1338" uniqueCount="351">
  <si>
    <t xml:space="preserve">PRESUPUESTO — PARAMETROS FIJOS (editar aqui, se usan en todo el informe)</t>
  </si>
  <si>
    <t xml:space="preserve">Cambia un valor aca y se recalcula en Financiero y Operacional automaticamente. No hay numeros sueltos en otras hojas.</t>
  </si>
  <si>
    <t xml:space="preserve">Parametro</t>
  </si>
  <si>
    <t xml:space="preserve">Valor</t>
  </si>
  <si>
    <t xml:space="preserve">Nota</t>
  </si>
  <si>
    <t xml:space="preserve">SueldoConductorMes</t>
  </si>
  <si>
    <t xml:space="preserve">Sueldo fijo mensual bruto por conductor, con contrato desde agosto</t>
  </si>
  <si>
    <t xml:space="preserve">ComisionConductorPct</t>
  </si>
  <si>
    <t xml:space="preserve">% sobre ventas netas del conductor</t>
  </si>
  <si>
    <t xml:space="preserve">ViaticoDia</t>
  </si>
  <si>
    <t xml:space="preserve">Por dia confirmado con GPS real</t>
  </si>
  <si>
    <t xml:space="preserve">CoordinadorOperaciones</t>
  </si>
  <si>
    <t xml:space="preserve">Pablo Riquelme, valor fijo</t>
  </si>
  <si>
    <t xml:space="preserve">AyudanteOperaciones</t>
  </si>
  <si>
    <t xml:space="preserve">Sebastian Zuniga, valor fijo</t>
  </si>
  <si>
    <t xml:space="preserve">AdministrativoControlGestion</t>
  </si>
  <si>
    <t xml:space="preserve">Carlos Torres, valor fijo</t>
  </si>
  <si>
    <t xml:space="preserve">Arriendo</t>
  </si>
  <si>
    <t xml:space="preserve">Contabilidad</t>
  </si>
  <si>
    <t xml:space="preserve">GastosComunes</t>
  </si>
  <si>
    <t xml:space="preserve">Permisos</t>
  </si>
  <si>
    <t xml:space="preserve">ProvisionFiniquitos</t>
  </si>
  <si>
    <t xml:space="preserve">UFVigente</t>
  </si>
  <si>
    <t xml:space="preserve">Editar cada mes</t>
  </si>
  <si>
    <t xml:space="preserve">UmbralB_UF</t>
  </si>
  <si>
    <t xml:space="preserve">Tramo devolucion imp. especifico diesel, confirmar con contador</t>
  </si>
  <si>
    <t xml:space="preserve">UmbralC_UF</t>
  </si>
  <si>
    <t xml:space="preserve">Tramo devolucion imp. especifico diesel</t>
  </si>
  <si>
    <t xml:space="preserve">ImpEspecificoPorLitro</t>
  </si>
  <si>
    <t xml:space="preserve">Componente base, $/lt</t>
  </si>
  <si>
    <t xml:space="preserve">DiasHabilesMes</t>
  </si>
  <si>
    <t xml:space="preserve">FactorIVA</t>
  </si>
  <si>
    <t xml:space="preserve">INFORME EJECUTIVO — AMBITO FINANCIERO — JULIO 2026</t>
  </si>
  <si>
    <t xml:space="preserve">Formulas vivas. Usa los botones +/- (arriba a la izquierda) para expandir cada item y ver su desglose real.</t>
  </si>
  <si>
    <t xml:space="preserve">Concepto</t>
  </si>
  <si>
    <t xml:space="preserve">Monto</t>
  </si>
  <si>
    <t xml:space="preserve">RENTABILIDAD</t>
  </si>
  <si>
    <t xml:space="preserve">Ventas netas reales</t>
  </si>
  <si>
    <t xml:space="preserve">    Ventas por equipo:</t>
  </si>
  <si>
    <t xml:space="preserve">        DVDS36</t>
  </si>
  <si>
    <t xml:space="preserve">        GCFF12</t>
  </si>
  <si>
    <t xml:space="preserve">        GKFD84</t>
  </si>
  <si>
    <t xml:space="preserve">        WR9192</t>
  </si>
  <si>
    <t xml:space="preserve">        XR8555</t>
  </si>
  <si>
    <t xml:space="preserve">        BPLB35</t>
  </si>
  <si>
    <t xml:space="preserve">Costos de operacion</t>
  </si>
  <si>
    <t xml:space="preserve">    1. Combustible y costos de ruta</t>
  </si>
  <si>
    <t xml:space="preserve">        Combustible bruto (con IVA, Aramco)</t>
  </si>
  <si>
    <t xml:space="preserve">        Combustible neto IVA (÷1,19)</t>
  </si>
  <si>
    <t xml:space="preserve">        Venta anual proyectada (mes x 12)</t>
  </si>
  <si>
    <t xml:space="preserve">        UF vigente (editar c/mes)</t>
  </si>
  <si>
    <t xml:space="preserve">        Venta anual proyectada en UF</t>
  </si>
  <si>
    <t xml:space="preserve">        Umbral B UF/año (editar segun SII, hoy &lt;=70%)</t>
  </si>
  <si>
    <t xml:space="preserve">        Umbral C UF/año (editar segun SII, hoy &lt;=52,5%)</t>
  </si>
  <si>
    <t xml:space="preserve">        % Devolucion imp. especifico (dinamico segun tramo)</t>
  </si>
  <si>
    <t xml:space="preserve">        Componente base imp. especifico ($/lt, editar)</t>
  </si>
  <si>
    <t xml:space="preserve">        Litros julio (camiones+camioneta)</t>
  </si>
  <si>
    <t xml:space="preserve">        Devolucion impuesto especifico diesel</t>
  </si>
  <si>
    <t xml:space="preserve">        Peajes (real concesionarias GKFD84+KSRC78 + reembolso resto flota)</t>
  </si>
  <si>
    <t xml:space="preserve">    2. Remuneraciones</t>
  </si>
  <si>
    <t xml:space="preserve">        2.1 Felipe Madariaga (conductor)</t>
  </si>
  <si>
    <t xml:space="preserve">            Sueldo</t>
  </si>
  <si>
    <t xml:space="preserve">            Comision 8% sobre sus ventas netas</t>
  </si>
  <si>
    <t xml:space="preserve">            Viatico ($12.000 x dias con servicio)</t>
  </si>
  <si>
    <t xml:space="preserve">        2.2 Francisco Mancilla (conductor)</t>
  </si>
  <si>
    <t xml:space="preserve">        2.3 Manuel Madrid (conductor)</t>
  </si>
  <si>
    <t xml:space="preserve">        2.4 Felipe Vidal (conductor)</t>
  </si>
  <si>
    <t xml:space="preserve">        2.5 Nicolas Vega (conductor reemplazo)</t>
  </si>
  <si>
    <t xml:space="preserve">            Sueldo proporcional (Presupuesto/20 x dias GPS)</t>
  </si>
  <si>
    <t xml:space="preserve">    3. Mantencion</t>
  </si>
  <si>
    <t xml:space="preserve">        3.1 DVDS36</t>
  </si>
  <si>
    <t xml:space="preserve">        3.2 GCFF12</t>
  </si>
  <si>
    <t xml:space="preserve">        3.3 GKFD84</t>
  </si>
  <si>
    <t xml:space="preserve">        3.4 WR9192</t>
  </si>
  <si>
    <t xml:space="preserve">        3.5 XR8555</t>
  </si>
  <si>
    <t xml:space="preserve">        Ref. camionetas (no suman al total "solo camiones"): KSRC78</t>
  </si>
  <si>
    <t xml:space="preserve">    4. Otros costos operacionales</t>
  </si>
  <si>
    <t xml:space="preserve">        Gastos de representacion</t>
  </si>
  <si>
    <t xml:space="preserve">        Otro / sin clasificar (ver concepto real en Datos-Cartola col. G)</t>
  </si>
  <si>
    <t xml:space="preserve">        IVA menor pagado</t>
  </si>
  <si>
    <t xml:space="preserve">MARGEN OPERACIONAL ($)</t>
  </si>
  <si>
    <t xml:space="preserve">MARGEN OPERACIONAL (%)</t>
  </si>
  <si>
    <t xml:space="preserve">Margen Bruto ($) [Ventas - Combustible - Comision - Viatico - Peajes]</t>
  </si>
  <si>
    <t xml:space="preserve">Margen Bruto (%)</t>
  </si>
  <si>
    <t xml:space="preserve">Gasto Financiero Factoring (3% Sollem + 3% Serlogin, sobre facturado real RCV)</t>
  </si>
  <si>
    <t xml:space="preserve">MARGEN NETO ($)</t>
  </si>
  <si>
    <t xml:space="preserve">MARGEN NETO (%)</t>
  </si>
  <si>
    <t xml:space="preserve">EBITDA ($) [= Margen Operacional, no hay depreciacion calculada aun]</t>
  </si>
  <si>
    <t xml:space="preserve">EBITDA (%)</t>
  </si>
  <si>
    <t xml:space="preserve">        Mantencion programada ($40/km x 13.748,6 km reales, mantencion real=$0)</t>
  </si>
  <si>
    <t xml:space="preserve">5. Costo Fijo Estructural (acumulable, fuera del margen del mes)</t>
  </si>
  <si>
    <t xml:space="preserve">        Coordinador Operaciones</t>
  </si>
  <si>
    <t xml:space="preserve">        Ayudante Operaciones</t>
  </si>
  <si>
    <t xml:space="preserve">        Administrativo / Control de Gestion</t>
  </si>
  <si>
    <t xml:space="preserve">        Arriendo</t>
  </si>
  <si>
    <t xml:space="preserve">        Contabilidad</t>
  </si>
  <si>
    <t xml:space="preserve">        Permisos</t>
  </si>
  <si>
    <t xml:space="preserve">        Gastos comunes</t>
  </si>
  <si>
    <t xml:space="preserve">        Provision finiquitos</t>
  </si>
  <si>
    <t xml:space="preserve">        Sueldo base conductor (Madariaga)</t>
  </si>
  <si>
    <t xml:space="preserve">        Sueldo base conductor (Mancilla)</t>
  </si>
  <si>
    <t xml:space="preserve">        Sueldo base conductor (Madrid)</t>
  </si>
  <si>
    <t xml:space="preserve">        Sueldo base conductor (Vidal)</t>
  </si>
  <si>
    <t xml:space="preserve">    TOTAL Costo Fijo (para punto de equilibrio)</t>
  </si>
  <si>
    <t xml:space="preserve">LIQUIDEZ</t>
  </si>
  <si>
    <t xml:space="preserve">Ingresos reales a caja</t>
  </si>
  <si>
    <t xml:space="preserve">Egresos reales (incl. capex/retiros)</t>
  </si>
  <si>
    <t xml:space="preserve">FLUJO NETO DEL MES</t>
  </si>
  <si>
    <t xml:space="preserve">CxC — Mora Sollem a recuperar (no es costo)</t>
  </si>
  <si>
    <t xml:space="preserve">SOLVENCIA: Global no tiene deudas vigentes a julio 2026 (confirmado por Carlos).</t>
  </si>
  <si>
    <t xml:space="preserve">UNIDAD DE NEGOCIO POR EQUIPO</t>
  </si>
  <si>
    <t xml:space="preserve">Sueldo/Viatico por equipo = dias que ESE equipo opero segun GPS. Comision por equipo = 8% de la venta de ESE equipo. Costo Fijo Estructural se reparte en partes iguales entre los 6 camiones (existe se use o no el equipo).</t>
  </si>
  <si>
    <t xml:space="preserve">Patente</t>
  </si>
  <si>
    <t xml:space="preserve">Ventas</t>
  </si>
  <si>
    <t xml:space="preserve">Combustible</t>
  </si>
  <si>
    <t xml:space="preserve">Km GPS</t>
  </si>
  <si>
    <t xml:space="preserve">Mantencion</t>
  </si>
  <si>
    <t xml:space="preserve">Sueldo conductor</t>
  </si>
  <si>
    <t xml:space="preserve">Comision</t>
  </si>
  <si>
    <t xml:space="preserve">Viatico</t>
  </si>
  <si>
    <t xml:space="preserve">Costo Fijo (1/6)</t>
  </si>
  <si>
    <t xml:space="preserve">Utilidad Operacional</t>
  </si>
  <si>
    <t xml:space="preserve">$/km</t>
  </si>
  <si>
    <t xml:space="preserve">Utilidad/dia</t>
  </si>
  <si>
    <t xml:space="preserve">Margen Bruto %</t>
  </si>
  <si>
    <t xml:space="preserve">Margen Operacional %</t>
  </si>
  <si>
    <t xml:space="preserve">Gasto Financiero (prop. Sollem)</t>
  </si>
  <si>
    <t xml:space="preserve">Margen Neto</t>
  </si>
  <si>
    <t xml:space="preserve">Margen Neto %</t>
  </si>
  <si>
    <t xml:space="preserve">DVDS36</t>
  </si>
  <si>
    <t xml:space="preserve">GCFF12</t>
  </si>
  <si>
    <t xml:space="preserve">GKFD84</t>
  </si>
  <si>
    <t xml:space="preserve">WR9192</t>
  </si>
  <si>
    <t xml:space="preserve">XR8555</t>
  </si>
  <si>
    <t xml:space="preserve">BPLB35</t>
  </si>
  <si>
    <t xml:space="preserve">TOTAL</t>
  </si>
  <si>
    <t xml:space="preserve">PUNTO DE EQUILIBRIO</t>
  </si>
  <si>
    <t xml:space="preserve">    Listado de costos considerados:</t>
  </si>
  <si>
    <t xml:space="preserve">        Variables: Combustible, Comision, Viatico, Peajes, Mantencion programada, Gasto Financiero</t>
  </si>
  <si>
    <t xml:space="preserve">        Fijos: Coordinador, Ayudante, Administrativo, Arriendo, Contabilidad, Gastos comunes, Permisos, Provision, Sueldo base x4 conductores</t>
  </si>
  <si>
    <t xml:space="preserve">Costo Fijo Total</t>
  </si>
  <si>
    <t xml:space="preserve">PUNTO DE EQUILIBRIO ($)</t>
  </si>
  <si>
    <t xml:space="preserve">Colchon real (Ventas - Punto de Equilibrio)</t>
  </si>
  <si>
    <t xml:space="preserve">INFORME EJECUTIVO — AMBITO COMERCIAL — JULIO 2026</t>
  </si>
  <si>
    <t xml:space="preserve">Fuente: hoja de servicios de Pablo (julio) + historico real de servicios_piloto (Supabase) para Fidelizacion.</t>
  </si>
  <si>
    <t xml:space="preserve">PILAR 1 — DISTRIBUCION / CONCENTRACION DE CARTERA (reemplaza participacion de mercado)</t>
  </si>
  <si>
    <t xml:space="preserve">Cliente</t>
  </si>
  <si>
    <t xml:space="preserve">Ventas julio</t>
  </si>
  <si>
    <t xml:space="preserve">% de la cartera</t>
  </si>
  <si>
    <t xml:space="preserve">Sollem</t>
  </si>
  <si>
    <t xml:space="preserve">Nano Presmita</t>
  </si>
  <si>
    <t xml:space="preserve">Serlogin</t>
  </si>
  <si>
    <t xml:space="preserve">Trans Luciano</t>
  </si>
  <si>
    <t xml:space="preserve">Andrea Alacon</t>
  </si>
  <si>
    <t xml:space="preserve">Rata</t>
  </si>
  <si>
    <t xml:space="preserve">Victor Frutillero</t>
  </si>
  <si>
    <t xml:space="preserve">PILAR 2 — FIDELIZACION (sin contratos firmados)</t>
  </si>
  <si>
    <t xml:space="preserve">Antiguedad (desde)</t>
  </si>
  <si>
    <t xml:space="preserve">Meses con actividad</t>
  </si>
  <si>
    <t xml:space="preserve">Consistencia</t>
  </si>
  <si>
    <t xml:space="preserve">Valor de vida acumulado</t>
  </si>
  <si>
    <t xml:space="preserve">Clientes con 1 solo mes de actividad (recien incorporados, aun sin antiguedad real): Danilo Nunez, Serlogin, Agricola Don Hugo, TRAST Logistics, Kapital Box, Rucaray.</t>
  </si>
  <si>
    <t xml:space="preserve">PILAR 3 — DIVERSIFICACION</t>
  </si>
  <si>
    <t xml:space="preserve">Clientes activos en julio</t>
  </si>
  <si>
    <t xml:space="preserve">Clientes nuevos incorporados en julio (vs. meses previos)</t>
  </si>
  <si>
    <t xml:space="preserve">% dependencia del cliente principal (Sollem)</t>
  </si>
  <si>
    <t xml:space="preserve">INFORME EJECUTIVO — AMBITO OPERACIONAL — JULIO 2026</t>
  </si>
  <si>
    <t xml:space="preserve">Formulas vivas. Mantencion por equipo requiere que completes la columna Patente en Datos-Cartola Jul.</t>
  </si>
  <si>
    <t xml:space="preserve">COMBUSTIBLE — camiones + camionetas (Aramco+Copec)</t>
  </si>
  <si>
    <t xml:space="preserve">Tipo</t>
  </si>
  <si>
    <t xml:space="preserve">Litros</t>
  </si>
  <si>
    <t xml:space="preserve">Monto $</t>
  </si>
  <si>
    <t xml:space="preserve">% del total</t>
  </si>
  <si>
    <t xml:space="preserve">RENDIMIENTO km/lt — SOLO CAMIONES (excluye camionetas KSRC78, JYJV21)</t>
  </si>
  <si>
    <t xml:space="preserve">Rendimiento (km/lt)</t>
  </si>
  <si>
    <t xml:space="preserve">MANTENCION — SOLO CAMIONES, desglose por equipo (neto IVA)</t>
  </si>
  <si>
    <t xml:space="preserve">Completa la columna Patente en Datos-Cartola Jul para que esto se llene solo.</t>
  </si>
  <si>
    <t xml:space="preserve">Patente (camión)</t>
  </si>
  <si>
    <t xml:space="preserve">Mantencion neta IVA</t>
  </si>
  <si>
    <t xml:space="preserve">TOTAL mantencion camiones</t>
  </si>
  <si>
    <t xml:space="preserve">Mantencion $/km (flota camiones) -- solo referencia, NO se usa en el informe de resultados</t>
  </si>
  <si>
    <t xml:space="preserve">OCUPACION POR EQUIPO — fuente: GPS real (dias con trip)</t>
  </si>
  <si>
    <t xml:space="preserve">Dias habiles del mes (editar c/mes)</t>
  </si>
  <si>
    <t xml:space="preserve">Dias con GPS real (trip)</t>
  </si>
  <si>
    <t xml:space="preserve">% Ocupacion (sobre dias habiles)</t>
  </si>
  <si>
    <t xml:space="preserve">CALIDAD: sin fuente de datos disponible -- pendiente definir indicador y origen.</t>
  </si>
  <si>
    <t xml:space="preserve">SERVICIOS REALIZADOS — JULIO 2026 (fuente: planilla de control de Pablo)</t>
  </si>
  <si>
    <t xml:space="preserve">Fecha (Fecha GD real)</t>
  </si>
  <si>
    <t xml:space="preserve">Origen</t>
  </si>
  <si>
    <t xml:space="preserve">Destino</t>
  </si>
  <si>
    <t xml:space="preserve">Flete Total (bruto)</t>
  </si>
  <si>
    <t xml:space="preserve">Flete Neto (=Bruto/1.19)</t>
  </si>
  <si>
    <t xml:space="preserve">Estado Pago</t>
  </si>
  <si>
    <t xml:space="preserve">Conductor</t>
  </si>
  <si>
    <t xml:space="preserve">Patente normalizada</t>
  </si>
  <si>
    <t xml:space="preserve">GPS confirma ese dia</t>
  </si>
  <si>
    <t xml:space="preserve">Dia unico conf. GPS x conductor</t>
  </si>
  <si>
    <t xml:space="preserve">DSDV36</t>
  </si>
  <si>
    <t xml:space="preserve">2026-07-02</t>
  </si>
  <si>
    <t xml:space="preserve">Coltauco </t>
  </si>
  <si>
    <t xml:space="preserve">Valparaiso</t>
  </si>
  <si>
    <t xml:space="preserve">Pendiente</t>
  </si>
  <si>
    <t xml:space="preserve">Felipe Madariaga</t>
  </si>
  <si>
    <t xml:space="preserve">Molino </t>
  </si>
  <si>
    <t xml:space="preserve">Coltauco</t>
  </si>
  <si>
    <t xml:space="preserve">Peumo</t>
  </si>
  <si>
    <t xml:space="preserve">Talca</t>
  </si>
  <si>
    <t xml:space="preserve">Pagado</t>
  </si>
  <si>
    <t xml:space="preserve">Nicolas Vega</t>
  </si>
  <si>
    <t xml:space="preserve">Casa Blanca</t>
  </si>
  <si>
    <t xml:space="preserve">Placilla - Chepica</t>
  </si>
  <si>
    <t xml:space="preserve">2026-07-06</t>
  </si>
  <si>
    <t xml:space="preserve">Placilla </t>
  </si>
  <si>
    <t xml:space="preserve">Manuel Madrid</t>
  </si>
  <si>
    <t xml:space="preserve">2026-07-07</t>
  </si>
  <si>
    <t xml:space="preserve">Peumo </t>
  </si>
  <si>
    <t xml:space="preserve">2026-07-09</t>
  </si>
  <si>
    <t xml:space="preserve">2026-07-12</t>
  </si>
  <si>
    <t xml:space="preserve">2026-07-13</t>
  </si>
  <si>
    <t xml:space="preserve">Placilla -  Santa Cruz - Marchigue</t>
  </si>
  <si>
    <t xml:space="preserve">2026-07-14</t>
  </si>
  <si>
    <t xml:space="preserve">Casa Blanca </t>
  </si>
  <si>
    <t xml:space="preserve">Requinoa - Chimbarongo - San Fernando</t>
  </si>
  <si>
    <t xml:space="preserve">Francisco Mancilla</t>
  </si>
  <si>
    <t xml:space="preserve">Requinoa</t>
  </si>
  <si>
    <t xml:space="preserve">2026-07-20</t>
  </si>
  <si>
    <t xml:space="preserve">2026-07-21</t>
  </si>
  <si>
    <t xml:space="preserve">Paine</t>
  </si>
  <si>
    <t xml:space="preserve">2026-07-22</t>
  </si>
  <si>
    <t xml:space="preserve">2026-07-23</t>
  </si>
  <si>
    <t xml:space="preserve">2026-07-27</t>
  </si>
  <si>
    <t xml:space="preserve">Quilicura</t>
  </si>
  <si>
    <t xml:space="preserve">Malloa - Marchihue</t>
  </si>
  <si>
    <t xml:space="preserve">2026-07-24</t>
  </si>
  <si>
    <t xml:space="preserve">Olivar </t>
  </si>
  <si>
    <t xml:space="preserve">Serlog</t>
  </si>
  <si>
    <t xml:space="preserve">Curacavi</t>
  </si>
  <si>
    <t xml:space="preserve">Padre Hurtado - Buin - Paine</t>
  </si>
  <si>
    <t xml:space="preserve">Rancagua - Requinoas</t>
  </si>
  <si>
    <t xml:space="preserve">2026-07-28</t>
  </si>
  <si>
    <t xml:space="preserve">Requinoa - Malloa</t>
  </si>
  <si>
    <t xml:space="preserve">Codegua</t>
  </si>
  <si>
    <t xml:space="preserve">2026-07-29</t>
  </si>
  <si>
    <t xml:space="preserve">San Fernando</t>
  </si>
  <si>
    <t xml:space="preserve">2026-07-30</t>
  </si>
  <si>
    <t xml:space="preserve">Maria Pinto - Buin - Rancagua</t>
  </si>
  <si>
    <t xml:space="preserve">Rengo</t>
  </si>
  <si>
    <t xml:space="preserve">San Felipe</t>
  </si>
  <si>
    <t xml:space="preserve">CARTOLA BANCARIA REAL — JULIO 2026 (Banco Santander)</t>
  </si>
  <si>
    <t xml:space="preserve">Columnas F y G son EDITABLES (fondo amarillo): completa la patente (para Mantencion/Combustible) y/o el concepto real cuando la categoria sea "otro_por_clasificar".</t>
  </si>
  <si>
    <t xml:space="preserve">Fecha</t>
  </si>
  <si>
    <t xml:space="preserve">Categoria</t>
  </si>
  <si>
    <t xml:space="preserve">Referencia</t>
  </si>
  <si>
    <t xml:space="preserve">Patente (si aplica)</t>
  </si>
  <si>
    <t xml:space="preserve">Concepto real (si es otro_por_clasificar)</t>
  </si>
  <si>
    <t xml:space="preserve">2026-07-01</t>
  </si>
  <si>
    <t xml:space="preserve">egreso</t>
  </si>
  <si>
    <t xml:space="preserve">viatico</t>
  </si>
  <si>
    <t xml:space="preserve">Transf a Felipe Vidal</t>
  </si>
  <si>
    <t xml:space="preserve">combustible</t>
  </si>
  <si>
    <t xml:space="preserve">PAGO EN LINEA ESMAX</t>
  </si>
  <si>
    <t xml:space="preserve">ingreso</t>
  </si>
  <si>
    <t xml:space="preserve">factoring</t>
  </si>
  <si>
    <t xml:space="preserve">Transf GLOBAL SOLUTIONS SPA</t>
  </si>
  <si>
    <t xml:space="preserve">peajes</t>
  </si>
  <si>
    <t xml:space="preserve">aporte_retiro_socio</t>
  </si>
  <si>
    <t xml:space="preserve">Transf a RIQUELME OLEA PABLO</t>
  </si>
  <si>
    <t xml:space="preserve">otro_por_clasificar</t>
  </si>
  <si>
    <t xml:space="preserve">Transf a Jose Acevedo</t>
  </si>
  <si>
    <t xml:space="preserve">remuneracion_administrativa</t>
  </si>
  <si>
    <t xml:space="preserve">Transf a Sebastian Zuniga</t>
  </si>
  <si>
    <t xml:space="preserve">TUU Comercial Escorpio</t>
  </si>
  <si>
    <t xml:space="preserve">Transf a Nicolas Carvallo</t>
  </si>
  <si>
    <t xml:space="preserve">Transf a Servicios integrales FYR</t>
  </si>
  <si>
    <t xml:space="preserve">2026-07-03</t>
  </si>
  <si>
    <t xml:space="preserve">mantencion</t>
  </si>
  <si>
    <t xml:space="preserve">COMERCIAL RIHE LTDA</t>
  </si>
  <si>
    <t xml:space="preserve">Transf de PABLO RIQUELME</t>
  </si>
  <si>
    <t xml:space="preserve">Transf a Felipe Madariaga</t>
  </si>
  <si>
    <t xml:space="preserve">VALPAR LTDA</t>
  </si>
  <si>
    <t xml:space="preserve">Transf a Felipe Tapia Diez</t>
  </si>
  <si>
    <t xml:space="preserve">Transf COMERCIALIZADORA</t>
  </si>
  <si>
    <t xml:space="preserve">IMPLEMENTOS S.A.</t>
  </si>
  <si>
    <t xml:space="preserve">cobro_cliente</t>
  </si>
  <si>
    <t xml:space="preserve">Transf SERVICIOS EL ENANO SPA</t>
  </si>
  <si>
    <t xml:space="preserve">Transf Nicolas Matias Vega</t>
  </si>
  <si>
    <t xml:space="preserve">sueldo_conductor</t>
  </si>
  <si>
    <t xml:space="preserve">Transf a Francisco Mancilla</t>
  </si>
  <si>
    <t xml:space="preserve">Transf a Marcelo Lira</t>
  </si>
  <si>
    <t xml:space="preserve">Transf a RIQUELME OLEA</t>
  </si>
  <si>
    <t xml:space="preserve">Transf a Manuel Madrid</t>
  </si>
  <si>
    <t xml:space="preserve">TUU comercialEscorpion</t>
  </si>
  <si>
    <t xml:space="preserve">2026-07-08</t>
  </si>
  <si>
    <t xml:space="preserve">SBX ROSARIO 100</t>
  </si>
  <si>
    <t xml:space="preserve">Transf LOGISTICA ALFA JAM SPA</t>
  </si>
  <si>
    <t xml:space="preserve">gastos_representacion</t>
  </si>
  <si>
    <t xml:space="preserve">EL PALACIO DEL POROTO</t>
  </si>
  <si>
    <t xml:space="preserve">TTP S.A RANCAGUA</t>
  </si>
  <si>
    <t xml:space="preserve">COMERCIAL ECUADOR SPA</t>
  </si>
  <si>
    <t xml:space="preserve">2026-07-10</t>
  </si>
  <si>
    <t xml:space="preserve">IMPLEMENTOS S.A</t>
  </si>
  <si>
    <t xml:space="preserve">transferencia_interna_por_confirmar</t>
  </si>
  <si>
    <t xml:space="preserve">Transf a Fijasur</t>
  </si>
  <si>
    <t xml:space="preserve">ARAMCO</t>
  </si>
  <si>
    <t xml:space="preserve">TUU COMERCIAL ESCORPIO</t>
  </si>
  <si>
    <t xml:space="preserve">2026-07-15</t>
  </si>
  <si>
    <t xml:space="preserve">2026-07-17</t>
  </si>
  <si>
    <t xml:space="preserve">Transf Financia Capital</t>
  </si>
  <si>
    <t xml:space="preserve">capex_equipo</t>
  </si>
  <si>
    <t xml:space="preserve">Transf a Multiaceros SA</t>
  </si>
  <si>
    <t xml:space="preserve">Transf Andoni Luciano Sandoval</t>
  </si>
  <si>
    <t xml:space="preserve">TRANSAGRO RANCAGUA</t>
  </si>
  <si>
    <t xml:space="preserve">iva</t>
  </si>
  <si>
    <t xml:space="preserve">PAGO EN LINEA S.I.I.</t>
  </si>
  <si>
    <t xml:space="preserve">RedGloba PCY LTDA</t>
  </si>
  <si>
    <t xml:space="preserve">VULKO</t>
  </si>
  <si>
    <t xml:space="preserve">COMERCIAL RIHE</t>
  </si>
  <si>
    <t xml:space="preserve">PAGO PROVEEDOR Agricola</t>
  </si>
  <si>
    <t xml:space="preserve">sueldo_coordinador</t>
  </si>
  <si>
    <t xml:space="preserve">GUILLERMO TOBIA</t>
  </si>
  <si>
    <t xml:space="preserve">otro</t>
  </si>
  <si>
    <t xml:space="preserve">MERCADOPAGO</t>
  </si>
  <si>
    <t xml:space="preserve">SOLMET SPA</t>
  </si>
  <si>
    <t xml:space="preserve">Transf ANDREA CLEMENTI</t>
  </si>
  <si>
    <t xml:space="preserve">CONSTRU-MART</t>
  </si>
  <si>
    <t xml:space="preserve">transferencia_interna</t>
  </si>
  <si>
    <t xml:space="preserve">Transf a Global Solutions</t>
  </si>
  <si>
    <t xml:space="preserve">APRO</t>
  </si>
  <si>
    <t xml:space="preserve">FEDICAR</t>
  </si>
  <si>
    <t xml:space="preserve">Transf a VALDES CORNEJO</t>
  </si>
  <si>
    <t xml:space="preserve">Transf GLOBAL SOLUTIONS</t>
  </si>
  <si>
    <t xml:space="preserve">2026-07-31</t>
  </si>
  <si>
    <t xml:space="preserve">Transf INCOFIN S A</t>
  </si>
  <si>
    <t xml:space="preserve">CARDANICA PACIFICO</t>
  </si>
  <si>
    <t xml:space="preserve">COMBUSTIBLE REAL (ARAMCO + COPEC) Y KM GPS POR EQUIPO — JULIO 2026</t>
  </si>
  <si>
    <t xml:space="preserve">Tipo equipo</t>
  </si>
  <si>
    <t xml:space="preserve">Litros (Aramco)</t>
  </si>
  <si>
    <t xml:space="preserve">Monto $ (Aramco, con IVA)</t>
  </si>
  <si>
    <t xml:space="preserve">Km recorridos (GPS, evento=trip)</t>
  </si>
  <si>
    <t xml:space="preserve">Camión</t>
  </si>
  <si>
    <t xml:space="preserve">KSRC78</t>
  </si>
  <si>
    <t xml:space="preserve">Camioneta</t>
  </si>
  <si>
    <t xml:space="preserve">SIN GPS EN JULIO</t>
  </si>
  <si>
    <t xml:space="preserve">JYJV21</t>
  </si>
  <si>
    <t xml:space="preserve">Fuente: Aramco + Copec combinados.</t>
  </si>
  <si>
    <t xml:space="preserve">DIAS REALES CON MOVIMIENTO GPS (evento=trip) POR EQUIPO — JULIO 2026</t>
  </si>
  <si>
    <t xml:space="preserve">DVDS36 = DSDV36 (mismo equipo, confirmado). Fuente de verdad para Ocupacion y Viatico.</t>
  </si>
  <si>
    <t xml:space="preserve">2026-07-04</t>
  </si>
  <si>
    <t xml:space="preserve">2026-07-11</t>
  </si>
  <si>
    <t xml:space="preserve">2026-07-05</t>
  </si>
  <si>
    <t xml:space="preserve">2026-07-26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</si>
</sst>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#,##0.00"/>
    <numFmt numFmtId="168" formatCode="#,##0.0"/>
    <numFmt numFmtId="169" formatCode="0.00"/>
    <numFmt numFmtId="170" formatCode="yyyy\-mm\-dd"/>
  </numFmts>
  <fonts count="1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.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2"/>
    </font>
    <font>
      <b val="true"/>
      <i val="true"/>
      <sz val="9"/>
      <color rgb="FFC00000"/>
      <name val="Arial"/>
      <family val="0"/>
      <charset val="1"/>
    </font>
    <font>
      <i val="true"/>
      <sz val="9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9E2F3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4.2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48.27"/>
    <col collapsed="false" customWidth="true" hidden="false" outlineLevel="0" max="3" min="3" style="1" width="55"/>
  </cols>
  <sheetData>
    <row r="1" customFormat="false" ht="17.25" hidden="false" customHeight="true" outlineLevel="0" collapsed="false">
      <c r="A1" s="2" t="s">
        <v>0</v>
      </c>
      <c r="B1" s="2"/>
      <c r="C1" s="2"/>
    </row>
    <row r="2" customFormat="false" ht="15" hidden="false" customHeight="true" outlineLevel="0" collapsed="false">
      <c r="A2" s="3" t="s">
        <v>1</v>
      </c>
      <c r="B2" s="3"/>
      <c r="C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</row>
    <row r="5" customFormat="false" ht="15" hidden="false" customHeight="true" outlineLevel="0" collapsed="false">
      <c r="A5" s="5" t="s">
        <v>5</v>
      </c>
      <c r="B5" s="6" t="n">
        <v>660000</v>
      </c>
      <c r="C5" s="7" t="s">
        <v>6</v>
      </c>
    </row>
    <row r="6" customFormat="false" ht="15" hidden="false" customHeight="true" outlineLevel="0" collapsed="false">
      <c r="A6" s="5" t="s">
        <v>7</v>
      </c>
      <c r="B6" s="8" t="n">
        <v>0.08</v>
      </c>
      <c r="C6" s="7" t="s">
        <v>8</v>
      </c>
    </row>
    <row r="7" customFormat="false" ht="15" hidden="false" customHeight="true" outlineLevel="0" collapsed="false">
      <c r="A7" s="5" t="s">
        <v>9</v>
      </c>
      <c r="B7" s="6" t="n">
        <v>12000</v>
      </c>
      <c r="C7" s="7" t="s">
        <v>10</v>
      </c>
    </row>
    <row r="8" customFormat="false" ht="15" hidden="false" customHeight="true" outlineLevel="0" collapsed="false">
      <c r="A8" s="5" t="s">
        <v>11</v>
      </c>
      <c r="B8" s="6" t="n">
        <v>1500000</v>
      </c>
      <c r="C8" s="7" t="s">
        <v>12</v>
      </c>
    </row>
    <row r="9" customFormat="false" ht="15" hidden="false" customHeight="true" outlineLevel="0" collapsed="false">
      <c r="A9" s="5" t="s">
        <v>13</v>
      </c>
      <c r="B9" s="6" t="n">
        <v>900000</v>
      </c>
      <c r="C9" s="7" t="s">
        <v>14</v>
      </c>
    </row>
    <row r="10" customFormat="false" ht="15" hidden="false" customHeight="true" outlineLevel="0" collapsed="false">
      <c r="A10" s="5" t="s">
        <v>15</v>
      </c>
      <c r="B10" s="6" t="n">
        <v>500000</v>
      </c>
      <c r="C10" s="7" t="s">
        <v>16</v>
      </c>
    </row>
    <row r="11" customFormat="false" ht="15" hidden="false" customHeight="true" outlineLevel="0" collapsed="false">
      <c r="A11" s="5" t="s">
        <v>17</v>
      </c>
      <c r="B11" s="6" t="n">
        <v>450000</v>
      </c>
      <c r="C11" s="7"/>
    </row>
    <row r="12" customFormat="false" ht="15" hidden="false" customHeight="true" outlineLevel="0" collapsed="false">
      <c r="A12" s="5" t="s">
        <v>18</v>
      </c>
      <c r="B12" s="6" t="n">
        <v>50000</v>
      </c>
      <c r="C12" s="7"/>
    </row>
    <row r="13" customFormat="false" ht="15" hidden="false" customHeight="true" outlineLevel="0" collapsed="false">
      <c r="A13" s="5" t="s">
        <v>19</v>
      </c>
      <c r="B13" s="6" t="n">
        <v>100000</v>
      </c>
      <c r="C13" s="7"/>
    </row>
    <row r="14" customFormat="false" ht="15" hidden="false" customHeight="true" outlineLevel="0" collapsed="false">
      <c r="A14" s="5" t="s">
        <v>20</v>
      </c>
      <c r="B14" s="6" t="n">
        <v>0</v>
      </c>
      <c r="C14" s="7"/>
    </row>
    <row r="15" customFormat="false" ht="15" hidden="false" customHeight="true" outlineLevel="0" collapsed="false">
      <c r="A15" s="5" t="s">
        <v>21</v>
      </c>
      <c r="B15" s="6" t="n">
        <v>0</v>
      </c>
      <c r="C15" s="7"/>
    </row>
    <row r="16" customFormat="false" ht="15" hidden="false" customHeight="true" outlineLevel="0" collapsed="false">
      <c r="A16" s="5" t="s">
        <v>22</v>
      </c>
      <c r="B16" s="6" t="n">
        <v>41074</v>
      </c>
      <c r="C16" s="7" t="s">
        <v>23</v>
      </c>
    </row>
    <row r="17" customFormat="false" ht="15" hidden="false" customHeight="true" outlineLevel="0" collapsed="false">
      <c r="A17" s="5" t="s">
        <v>24</v>
      </c>
      <c r="B17" s="6" t="n">
        <v>8000</v>
      </c>
      <c r="C17" s="7" t="s">
        <v>25</v>
      </c>
    </row>
    <row r="18" customFormat="false" ht="15" hidden="false" customHeight="true" outlineLevel="0" collapsed="false">
      <c r="A18" s="5" t="s">
        <v>26</v>
      </c>
      <c r="B18" s="6" t="n">
        <v>20000</v>
      </c>
      <c r="C18" s="7" t="s">
        <v>27</v>
      </c>
    </row>
    <row r="19" customFormat="false" ht="15" hidden="false" customHeight="true" outlineLevel="0" collapsed="false">
      <c r="A19" s="5" t="s">
        <v>28</v>
      </c>
      <c r="B19" s="6" t="n">
        <v>102</v>
      </c>
      <c r="C19" s="7" t="s">
        <v>29</v>
      </c>
    </row>
    <row r="20" customFormat="false" ht="15" hidden="false" customHeight="true" outlineLevel="0" collapsed="false">
      <c r="A20" s="5" t="s">
        <v>30</v>
      </c>
      <c r="B20" s="6" t="n">
        <v>23</v>
      </c>
      <c r="C20" s="7" t="s">
        <v>23</v>
      </c>
    </row>
    <row r="21" customFormat="false" ht="15" hidden="false" customHeight="true" outlineLevel="0" collapsed="false">
      <c r="A21" s="5" t="s">
        <v>31</v>
      </c>
      <c r="B21" s="9" t="n">
        <v>1.19</v>
      </c>
      <c r="C21" s="7"/>
    </row>
    <row r="97" customFormat="false" ht="14.25" hidden="false" customHeight="true" outlineLevel="0" collapsed="false">
      <c r="I97" s="1" t="n">
        <f aca="false">(Presupuesto!$B$8+Presupuesto!$B$9+Presupuesto!$B$10+Presupuesto!$B$11+Presupuesto!$B$12+Presupuesto!$B$13+Presupuesto!$B$14+Presupuesto!$B$15)/5</f>
        <v>700000</v>
      </c>
    </row>
    <row r="98" customFormat="false" ht="14.25" hidden="false" customHeight="true" outlineLevel="0" collapsed="false">
      <c r="I98" s="1" t="n">
        <f aca="false">(Presupuesto!$B$8+Presupuesto!$B$9+Presupuesto!$B$10+Presupuesto!$B$11+Presupuesto!$B$12+Presupuesto!$B$13+Presupuesto!$B$14+Presupuesto!$B$15)/5</f>
        <v>700000</v>
      </c>
    </row>
    <row r="99" customFormat="false" ht="14.25" hidden="false" customHeight="true" outlineLevel="0" collapsed="false">
      <c r="I99" s="1" t="n">
        <f aca="false">(Presupuesto!$B$8+Presupuesto!$B$9+Presupuesto!$B$10+Presupuesto!$B$11+Presupuesto!$B$12+Presupuesto!$B$13+Presupuesto!$B$14+Presupuesto!$B$15)/5</f>
        <v>700000</v>
      </c>
    </row>
    <row r="100" customFormat="false" ht="14.25" hidden="false" customHeight="true" outlineLevel="0" collapsed="false">
      <c r="I100" s="1" t="n">
        <f aca="false">(Presupuesto!$B$8+Presupuesto!$B$9+Presupuesto!$B$10+Presupuesto!$B$11+Presupuesto!$B$12+Presupuesto!$B$13+Presupuesto!$B$14+Presupuesto!$B$15)/5</f>
        <v>700000</v>
      </c>
    </row>
    <row r="101" customFormat="false" ht="14.25" hidden="false" customHeight="true" outlineLevel="0" collapsed="false">
      <c r="I101" s="1" t="n">
        <f aca="false">(Presupuesto!$B$8+Presupuesto!$B$9+Presupuesto!$B$10+Presupuesto!$B$11+Presupuesto!$B$12+Presupuesto!$B$13+Presupuesto!$B$14+Presupuesto!$B$15)/5</f>
        <v>700000</v>
      </c>
    </row>
    <row r="102" customFormat="false" ht="14.25" hidden="false" customHeight="true" outlineLevel="0" collapsed="false">
      <c r="I102" s="1" t="n">
        <f aca="false">(Presupuesto!$B$8+Presupuesto!$B$9+Presupuesto!$B$10+Presupuesto!$B$11+Presupuesto!$B$12+Presupuesto!$B$13+Presupuesto!$B$14+Presupuesto!$B$15)/5</f>
        <v>700000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7"/>
  <sheetViews>
    <sheetView showFormulas="false" showGridLines="tru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G62" activeCellId="0" sqref="G62"/>
    </sheetView>
  </sheetViews>
  <sheetFormatPr defaultColWidth="8.6875" defaultRowHeight="14.25" zeroHeight="false" outlineLevelRow="3" outlineLevelCol="0"/>
  <cols>
    <col collapsed="false" customWidth="true" hidden="false" outlineLevel="0" max="1" min="1" style="1" width="12"/>
    <col collapsed="false" customWidth="true" hidden="false" outlineLevel="0" max="2" min="2" style="1" width="48.27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8" min="7" style="1" width="12"/>
    <col collapsed="false" customWidth="true" hidden="false" outlineLevel="0" max="9" min="9" style="1" width="13"/>
    <col collapsed="false" customWidth="true" hidden="false" outlineLevel="0" max="10" min="10" style="1" width="15"/>
    <col collapsed="false" customWidth="true" hidden="false" outlineLevel="0" max="11" min="11" style="1" width="8"/>
    <col collapsed="false" customWidth="true" hidden="false" outlineLevel="0" max="12" min="12" style="1" width="11"/>
    <col collapsed="false" customWidth="true" hidden="false" outlineLevel="0" max="14" min="13" style="1" width="13"/>
    <col collapsed="false" customWidth="true" hidden="false" outlineLevel="0" max="15" min="15" style="1" width="20"/>
    <col collapsed="false" customWidth="true" hidden="false" outlineLevel="0" max="17" min="16" style="1" width="13"/>
  </cols>
  <sheetData>
    <row r="1" customFormat="false" ht="17.25" hidden="false" customHeight="true" outlineLevel="0" collapsed="false">
      <c r="A1" s="2" t="s">
        <v>32</v>
      </c>
      <c r="B1" s="2"/>
      <c r="C1" s="2"/>
    </row>
    <row r="2" customFormat="false" ht="15" hidden="false" customHeight="true" outlineLevel="0" collapsed="false">
      <c r="A2" s="3" t="s">
        <v>33</v>
      </c>
      <c r="B2" s="3"/>
      <c r="C2" s="3"/>
    </row>
    <row r="4" customFormat="false" ht="15" hidden="false" customHeight="true" outlineLevel="0" collapsed="false">
      <c r="A4" s="4" t="s">
        <v>34</v>
      </c>
      <c r="B4" s="4" t="s">
        <v>35</v>
      </c>
    </row>
    <row r="5" customFormat="false" ht="15" hidden="false" customHeight="true" outlineLevel="0" collapsed="false">
      <c r="A5" s="10" t="s">
        <v>36</v>
      </c>
      <c r="B5" s="10"/>
      <c r="C5" s="10"/>
    </row>
    <row r="6" customFormat="false" ht="15" hidden="false" customHeight="true" outlineLevel="0" collapsed="false">
      <c r="A6" s="11" t="s">
        <v>37</v>
      </c>
      <c r="B6" s="12" t="n">
        <f aca="false">'Datos - Servicios Jul'!G45</f>
        <v>16728893.7563025</v>
      </c>
    </row>
    <row r="7" customFormat="false" ht="15" hidden="true" customHeight="true" outlineLevel="1" collapsed="false">
      <c r="A7" s="13" t="s">
        <v>38</v>
      </c>
    </row>
    <row r="8" customFormat="false" ht="15" hidden="true" customHeight="true" outlineLevel="2" collapsed="false">
      <c r="A8" s="14" t="s">
        <v>39</v>
      </c>
      <c r="B8" s="15" t="n">
        <f aca="false">SUMIFS('Datos - Servicios Jul'!$G$4:$G$44,'Datos - Servicios Jul'!$J$4:$J$44,"DVDS36")</f>
        <v>2766807.20168067</v>
      </c>
    </row>
    <row r="9" customFormat="false" ht="15" hidden="true" customHeight="true" outlineLevel="2" collapsed="false">
      <c r="A9" s="14" t="s">
        <v>40</v>
      </c>
      <c r="B9" s="15" t="n">
        <f aca="false">SUMIFS('Datos - Servicios Jul'!$G$4:$G$44,'Datos - Servicios Jul'!$J$4:$J$44,"GCFF12")</f>
        <v>4349600</v>
      </c>
    </row>
    <row r="10" customFormat="false" ht="15" hidden="true" customHeight="true" outlineLevel="2" collapsed="false">
      <c r="A10" s="14" t="s">
        <v>41</v>
      </c>
      <c r="B10" s="15" t="n">
        <f aca="false">SUMIFS('Datos - Servicios Jul'!$G$4:$G$44,'Datos - Servicios Jul'!$J$4:$J$44,"GKFD84")</f>
        <v>7313185.71428572</v>
      </c>
    </row>
    <row r="11" customFormat="false" ht="15" hidden="true" customHeight="true" outlineLevel="2" collapsed="false">
      <c r="A11" s="14" t="s">
        <v>42</v>
      </c>
      <c r="B11" s="15" t="n">
        <f aca="false">SUMIFS('Datos - Servicios Jul'!$G$4:$G$44,'Datos - Servicios Jul'!$J$4:$J$44,"WR9192")</f>
        <v>747200</v>
      </c>
    </row>
    <row r="12" customFormat="false" ht="15" hidden="true" customHeight="true" outlineLevel="2" collapsed="false">
      <c r="A12" s="14" t="s">
        <v>43</v>
      </c>
      <c r="B12" s="15" t="n">
        <f aca="false">SUMIFS('Datos - Servicios Jul'!$G$4:$G$44,'Datos - Servicios Jul'!$J$4:$J$44,"XR8555")</f>
        <v>1552100.84033613</v>
      </c>
    </row>
    <row r="13" customFormat="false" ht="15" hidden="true" customHeight="true" outlineLevel="2" collapsed="false">
      <c r="A13" s="14" t="s">
        <v>44</v>
      </c>
      <c r="B13" s="15" t="n">
        <f aca="false">SUMIFS('Datos - Servicios Jul'!$G$4:$G$44,'Datos - Servicios Jul'!$J$4:$J$44,"BPLB35")</f>
        <v>0</v>
      </c>
    </row>
    <row r="14" customFormat="false" ht="15" hidden="true" customHeight="true" outlineLevel="2" collapsed="false"/>
    <row r="15" customFormat="false" ht="15" hidden="false" customHeight="true" outlineLevel="0" collapsed="false">
      <c r="A15" s="11" t="s">
        <v>45</v>
      </c>
      <c r="B15" s="12" t="n">
        <f aca="false">B16+B29+B50+B57</f>
        <v>11743479.0213445</v>
      </c>
    </row>
    <row r="16" customFormat="false" ht="15" hidden="true" customHeight="true" outlineLevel="1" collapsed="false">
      <c r="A16" s="11" t="s">
        <v>46</v>
      </c>
      <c r="B16" s="12" t="n">
        <f aca="false">B18-B27+B28</f>
        <v>6087990.52084034</v>
      </c>
    </row>
    <row r="17" customFormat="false" ht="15" hidden="true" customHeight="true" outlineLevel="2" collapsed="false">
      <c r="A17" s="16" t="s">
        <v>47</v>
      </c>
      <c r="B17" s="17" t="n">
        <f aca="false">SUMIFS('Datos - Cartola Jul'!$D$5:$D$167,'Datos - Cartola Jul'!$C$5:$C$167,"combustible",'Datos - Cartola Jul'!$B$5:$B$167,"egreso")</f>
        <v>6159145</v>
      </c>
    </row>
    <row r="18" customFormat="false" ht="15" hidden="true" customHeight="true" outlineLevel="2" collapsed="false">
      <c r="A18" s="16" t="s">
        <v>48</v>
      </c>
      <c r="B18" s="17" t="n">
        <f aca="false">B17/Presupuesto!$B$21</f>
        <v>5175752.10084034</v>
      </c>
    </row>
    <row r="19" customFormat="false" ht="15" hidden="true" customHeight="true" outlineLevel="2" collapsed="false">
      <c r="A19" s="16" t="s">
        <v>49</v>
      </c>
      <c r="B19" s="17" t="n">
        <f aca="false">B6*12</f>
        <v>200746725.07563</v>
      </c>
    </row>
    <row r="20" customFormat="false" ht="15" hidden="true" customHeight="true" outlineLevel="2" collapsed="false">
      <c r="A20" s="16" t="s">
        <v>50</v>
      </c>
      <c r="B20" s="18" t="n">
        <f aca="false">Presupuesto!$B$16</f>
        <v>41074</v>
      </c>
    </row>
    <row r="21" customFormat="false" ht="15" hidden="true" customHeight="true" outlineLevel="2" collapsed="false">
      <c r="A21" s="16" t="s">
        <v>51</v>
      </c>
      <c r="B21" s="17" t="n">
        <f aca="false">B19/B20</f>
        <v>4887.44035340192</v>
      </c>
    </row>
    <row r="22" customFormat="false" ht="15" hidden="true" customHeight="true" outlineLevel="2" collapsed="false">
      <c r="A22" s="16" t="s">
        <v>52</v>
      </c>
      <c r="B22" s="18" t="n">
        <f aca="false">Presupuesto!$B$17</f>
        <v>8000</v>
      </c>
    </row>
    <row r="23" customFormat="false" ht="15" hidden="true" customHeight="true" outlineLevel="2" collapsed="false">
      <c r="A23" s="16" t="s">
        <v>53</v>
      </c>
      <c r="B23" s="18" t="n">
        <f aca="false">Presupuesto!$B$18</f>
        <v>20000</v>
      </c>
    </row>
    <row r="24" customFormat="false" ht="15" hidden="true" customHeight="true" outlineLevel="2" collapsed="false">
      <c r="A24" s="16" t="s">
        <v>54</v>
      </c>
      <c r="B24" s="19" t="n">
        <f aca="false">IF(B21&lt;=2400,0.8,IF(B21&lt;=B22,0.7,IF(B21&lt;=B23,0.525,0.31)))</f>
        <v>0.7</v>
      </c>
    </row>
    <row r="25" customFormat="false" ht="15" hidden="true" customHeight="true" outlineLevel="2" collapsed="false">
      <c r="A25" s="16" t="s">
        <v>55</v>
      </c>
      <c r="B25" s="18" t="n">
        <f aca="false">Presupuesto!$B$19</f>
        <v>102</v>
      </c>
    </row>
    <row r="26" customFormat="false" ht="15" hidden="true" customHeight="true" outlineLevel="2" collapsed="false">
      <c r="A26" s="16" t="s">
        <v>56</v>
      </c>
      <c r="B26" s="20" t="n">
        <f aca="false">SUM('Datos - Combustible y GPS'!C4:B18)</f>
        <v>6349.7</v>
      </c>
    </row>
    <row r="27" customFormat="false" ht="15" hidden="true" customHeight="true" outlineLevel="2" collapsed="false">
      <c r="A27" s="16" t="s">
        <v>57</v>
      </c>
      <c r="B27" s="17" t="n">
        <f aca="false">B26*B25*B24</f>
        <v>453368.58</v>
      </c>
    </row>
    <row r="28" customFormat="false" ht="15" hidden="true" customHeight="true" outlineLevel="2" collapsed="false">
      <c r="A28" s="16" t="s">
        <v>58</v>
      </c>
      <c r="B28" s="17" t="n">
        <f aca="false">932332+123275+SUMIFS('Datos - Cartola Jul'!$D$5:$D$167,'Datos - Cartola Jul'!$C$5:$C$167,"peajes",'Datos - Cartola Jul'!$B$5:$B$167,"egreso")</f>
        <v>1365607</v>
      </c>
    </row>
    <row r="29" customFormat="false" ht="15" hidden="true" customHeight="true" outlineLevel="1" collapsed="false">
      <c r="A29" s="11" t="s">
        <v>59</v>
      </c>
      <c r="B29" s="12" t="n">
        <f aca="false">B30+B34+B38+B42+B46</f>
        <v>4428311.5005042</v>
      </c>
    </row>
    <row r="30" customFormat="false" ht="15" hidden="true" customHeight="true" outlineLevel="2" collapsed="false">
      <c r="A30" s="16" t="s">
        <v>60</v>
      </c>
      <c r="B30" s="12" t="n">
        <f aca="false">B31+B32+B33</f>
        <v>1460244.92436975</v>
      </c>
    </row>
    <row r="31" customFormat="false" ht="15" hidden="true" customHeight="true" outlineLevel="3" collapsed="false">
      <c r="A31" s="16" t="s">
        <v>61</v>
      </c>
      <c r="B31" s="17" t="n">
        <f aca="false">Presupuesto!$B$5</f>
        <v>660000</v>
      </c>
    </row>
    <row r="32" customFormat="false" ht="15" hidden="true" customHeight="true" outlineLevel="3" collapsed="false">
      <c r="A32" s="16" t="s">
        <v>62</v>
      </c>
      <c r="B32" s="17" t="n">
        <f aca="false">SUMIFS('Datos - Servicios Jul'!$G$4:$G$44,'Datos - Servicios Jul'!$I$4:$I$44,"*Madariaga*")*Presupuesto!$B$6</f>
        <v>632244.924369748</v>
      </c>
    </row>
    <row r="33" customFormat="false" ht="15" hidden="true" customHeight="true" outlineLevel="3" collapsed="false">
      <c r="A33" s="16" t="s">
        <v>63</v>
      </c>
      <c r="B33" s="17" t="n">
        <f aca="false">Presupuesto!$B$7*SUMIFS('Datos - Servicios Jul'!$L$4:$L$44,'Datos - Servicios Jul'!$I$4:$I$44,"*Madariaga*")</f>
        <v>168000</v>
      </c>
    </row>
    <row r="34" customFormat="false" ht="15" hidden="true" customHeight="true" outlineLevel="2" collapsed="false">
      <c r="A34" s="16" t="s">
        <v>64</v>
      </c>
      <c r="B34" s="12" t="n">
        <f aca="false">B35+B36+B37</f>
        <v>1125280</v>
      </c>
    </row>
    <row r="35" customFormat="false" ht="15" hidden="true" customHeight="true" outlineLevel="3" collapsed="false">
      <c r="A35" s="16" t="s">
        <v>61</v>
      </c>
      <c r="B35" s="17" t="n">
        <f aca="false">Presupuesto!$B$5</f>
        <v>660000</v>
      </c>
    </row>
    <row r="36" customFormat="false" ht="15" hidden="true" customHeight="true" outlineLevel="3" collapsed="false">
      <c r="A36" s="16" t="s">
        <v>62</v>
      </c>
      <c r="B36" s="17" t="n">
        <f aca="false">SUMIFS('Datos - Servicios Jul'!$G$4:$G$44,'Datos - Servicios Jul'!$I$4:$I$44,"*Mancilla*")*Presupuesto!$B$6</f>
        <v>381280</v>
      </c>
    </row>
    <row r="37" customFormat="false" ht="15" hidden="true" customHeight="true" outlineLevel="3" collapsed="false">
      <c r="A37" s="16" t="s">
        <v>63</v>
      </c>
      <c r="B37" s="17" t="n">
        <f aca="false">Presupuesto!$B$7*SUMIFS('Datos - Servicios Jul'!$L$4:$L$44,'Datos - Servicios Jul'!$I$4:$I$44,"*Mancilla*")</f>
        <v>84000</v>
      </c>
    </row>
    <row r="38" customFormat="false" ht="15" hidden="true" customHeight="true" outlineLevel="2" collapsed="false">
      <c r="A38" s="16" t="s">
        <v>65</v>
      </c>
      <c r="B38" s="12" t="n">
        <f aca="false">B39+B40+B41</f>
        <v>1035072.26890756</v>
      </c>
    </row>
    <row r="39" customFormat="false" ht="15" hidden="true" customHeight="true" outlineLevel="3" collapsed="false">
      <c r="A39" s="16" t="s">
        <v>61</v>
      </c>
      <c r="B39" s="17" t="n">
        <f aca="false">Presupuesto!$B$5</f>
        <v>660000</v>
      </c>
    </row>
    <row r="40" customFormat="false" ht="15" hidden="true" customHeight="true" outlineLevel="3" collapsed="false">
      <c r="A40" s="16" t="s">
        <v>62</v>
      </c>
      <c r="B40" s="17" t="n">
        <f aca="false">SUMIFS('Datos - Servicios Jul'!$G$4:$G$44,'Datos - Servicios Jul'!$I$4:$I$44,"*Madrid*")*Presupuesto!$B$6</f>
        <v>267072.268907563</v>
      </c>
    </row>
    <row r="41" customFormat="false" ht="15" hidden="true" customHeight="true" outlineLevel="3" collapsed="false">
      <c r="A41" s="16" t="s">
        <v>63</v>
      </c>
      <c r="B41" s="17" t="n">
        <f aca="false">Presupuesto!$B$7*SUMIFS('Datos - Servicios Jul'!$L$4:$L$44,'Datos - Servicios Jul'!$I$4:$I$44,"*Madrid*")</f>
        <v>108000</v>
      </c>
    </row>
    <row r="42" customFormat="false" ht="15" hidden="true" customHeight="true" outlineLevel="2" collapsed="false">
      <c r="A42" s="16" t="s">
        <v>66</v>
      </c>
      <c r="B42" s="12" t="n">
        <f aca="false">B43+B44+B45</f>
        <v>660000</v>
      </c>
    </row>
    <row r="43" customFormat="false" ht="15" hidden="true" customHeight="true" outlineLevel="3" collapsed="false">
      <c r="A43" s="16" t="s">
        <v>61</v>
      </c>
      <c r="B43" s="17" t="n">
        <f aca="false">Presupuesto!$B$5</f>
        <v>660000</v>
      </c>
    </row>
    <row r="44" customFormat="false" ht="15" hidden="true" customHeight="true" outlineLevel="3" collapsed="false">
      <c r="A44" s="16" t="s">
        <v>62</v>
      </c>
      <c r="B44" s="17" t="n">
        <f aca="false">SUMIFS('Datos - Servicios Jul'!$G$4:$G$44,'Datos - Servicios Jul'!$I$4:$I$44,"*Vidal*")*Presupuesto!$B$6</f>
        <v>0</v>
      </c>
    </row>
    <row r="45" customFormat="false" ht="15" hidden="true" customHeight="true" outlineLevel="3" collapsed="false">
      <c r="A45" s="16" t="s">
        <v>63</v>
      </c>
      <c r="B45" s="17" t="n">
        <f aca="false">Presupuesto!$B$7*SUMIFS('Datos - Servicios Jul'!$L$4:$L$44,'Datos - Servicios Jul'!$I$4:$I$44,"*Vidal*")</f>
        <v>0</v>
      </c>
    </row>
    <row r="46" customFormat="false" ht="15" hidden="true" customHeight="true" outlineLevel="2" collapsed="false">
      <c r="A46" s="16" t="s">
        <v>67</v>
      </c>
      <c r="B46" s="12" t="n">
        <f aca="false">B47+B48+B49</f>
        <v>147714.307226891</v>
      </c>
    </row>
    <row r="47" customFormat="false" ht="15" hidden="true" customHeight="true" outlineLevel="3" collapsed="false">
      <c r="A47" s="16" t="s">
        <v>68</v>
      </c>
      <c r="B47" s="17" t="n">
        <f aca="false">Presupuesto!$B$5/20*SUMIFS('Datos - Servicios Jul'!$L$4:$L$44,'Datos - Servicios Jul'!$I$4:$I$44,"*Vega*")</f>
        <v>66000</v>
      </c>
    </row>
    <row r="48" customFormat="false" ht="15" hidden="true" customHeight="true" outlineLevel="3" collapsed="false">
      <c r="A48" s="16" t="s">
        <v>62</v>
      </c>
      <c r="B48" s="17" t="n">
        <f aca="false">SUMIFS('Datos - Servicios Jul'!$G$4:$G$44,'Datos - Servicios Jul'!$I$4:$I$44,"*Vega*")*Presupuesto!$B$6</f>
        <v>57714.3072268908</v>
      </c>
    </row>
    <row r="49" customFormat="false" ht="15" hidden="true" customHeight="true" outlineLevel="3" collapsed="false">
      <c r="A49" s="16" t="s">
        <v>63</v>
      </c>
      <c r="B49" s="17" t="n">
        <f aca="false">Presupuesto!$B$7*SUMIFS('Datos - Servicios Jul'!$L$4:$L$44,'Datos - Servicios Jul'!$I$4:$I$44,"*Vega*")</f>
        <v>24000</v>
      </c>
    </row>
    <row r="50" customFormat="false" ht="15" hidden="true" customHeight="true" outlineLevel="1" collapsed="false">
      <c r="A50" s="11" t="s">
        <v>69</v>
      </c>
      <c r="B50" s="12" t="n">
        <f aca="false">B51+B52+B53+B54+B55</f>
        <v>0</v>
      </c>
    </row>
    <row r="51" customFormat="false" ht="15" hidden="true" customHeight="true" outlineLevel="2" collapsed="false">
      <c r="A51" s="16" t="s">
        <v>70</v>
      </c>
      <c r="B51" s="17" t="n">
        <f aca="false">SUMIFS('Datos - Cartola Jul'!$D$5:$D$167,'Datos - Cartola Jul'!$C$5:$C$167,"mantencion",'Datos - Cartola Jul'!$B$5:$B$167,"egreso",'Datos - Cartola Jul'!$F$5:$F$167,'Datos - Combustible y GPS'!A4)/Presupuesto!$B$21</f>
        <v>0</v>
      </c>
    </row>
    <row r="52" customFormat="false" ht="15" hidden="true" customHeight="true" outlineLevel="2" collapsed="false">
      <c r="A52" s="16" t="s">
        <v>71</v>
      </c>
      <c r="B52" s="17" t="n">
        <f aca="false">SUMIFS('Datos - Cartola Jul'!$D$5:$D$167,'Datos - Cartola Jul'!$C$5:$C$167,"mantencion",'Datos - Cartola Jul'!$B$5:$B$167,"egreso",'Datos - Cartola Jul'!$F$5:$F$167,'Datos - Combustible y GPS'!A5)/Presupuesto!$B$21</f>
        <v>0</v>
      </c>
    </row>
    <row r="53" customFormat="false" ht="15" hidden="true" customHeight="true" outlineLevel="2" collapsed="false">
      <c r="A53" s="16" t="s">
        <v>72</v>
      </c>
      <c r="B53" s="17" t="n">
        <f aca="false">SUMIFS('Datos - Cartola Jul'!$D$5:$D$167,'Datos - Cartola Jul'!$C$5:$C$167,"mantencion",'Datos - Cartola Jul'!$B$5:$B$167,"egreso",'Datos - Cartola Jul'!$F$5:$F$167,'Datos - Combustible y GPS'!A6)/Presupuesto!$B$21</f>
        <v>0</v>
      </c>
    </row>
    <row r="54" customFormat="false" ht="15" hidden="true" customHeight="true" outlineLevel="2" collapsed="false">
      <c r="A54" s="16" t="s">
        <v>73</v>
      </c>
      <c r="B54" s="17" t="n">
        <f aca="false">SUMIFS('Datos - Cartola Jul'!$D$5:$D$167,'Datos - Cartola Jul'!$C$5:$C$167,"mantencion",'Datos - Cartola Jul'!$B$5:$B$167,"egreso",'Datos - Cartola Jul'!$F$5:$F$167,'Datos - Combustible y GPS'!A8)/Presupuesto!$B$21</f>
        <v>0</v>
      </c>
    </row>
    <row r="55" customFormat="false" ht="15" hidden="true" customHeight="true" outlineLevel="2" collapsed="false">
      <c r="A55" s="16" t="s">
        <v>74</v>
      </c>
      <c r="B55" s="17" t="n">
        <f aca="false">SUMIFS('Datos - Cartola Jul'!$D$5:$D$167,'Datos - Cartola Jul'!$C$5:$C$167,"mantencion",'Datos - Cartola Jul'!$B$5:$B$167,"egreso",'Datos - Cartola Jul'!$F$5:$F$167,'Datos - Combustible y GPS'!A9)/Presupuesto!$B$21</f>
        <v>0</v>
      </c>
    </row>
    <row r="56" customFormat="false" ht="15" hidden="true" customHeight="true" outlineLevel="2" collapsed="false">
      <c r="A56" s="13" t="s">
        <v>75</v>
      </c>
      <c r="B56" s="21" t="n">
        <f aca="false">SUMIFS('Datos - Cartola Jul'!$D$5:$D$167,'Datos - Cartola Jul'!$C$5:$C$167,"mantencion",'Datos - Cartola Jul'!$B$5:$B$167,"egreso",'Datos - Cartola Jul'!$F$5:$F$167,'Datos - Combustible y GPS'!A7)/Presupuesto!$B$21</f>
        <v>0</v>
      </c>
    </row>
    <row r="57" customFormat="false" ht="15" hidden="true" customHeight="true" outlineLevel="1" collapsed="false">
      <c r="A57" s="11" t="s">
        <v>76</v>
      </c>
      <c r="B57" s="12" t="n">
        <f aca="false">B58+B59+B60</f>
        <v>1227177</v>
      </c>
    </row>
    <row r="58" customFormat="false" ht="15" hidden="true" customHeight="true" outlineLevel="2" collapsed="false">
      <c r="A58" s="16" t="s">
        <v>77</v>
      </c>
      <c r="B58" s="17" t="n">
        <f aca="false">SUMIFS('Datos - Cartola Jul'!$D$5:$D$167,'Datos - Cartola Jul'!$C$5:$C$167,"gastos_representacion",'Datos - Cartola Jul'!$B$5:$B$167,"egreso")</f>
        <v>31955</v>
      </c>
    </row>
    <row r="59" customFormat="false" ht="15" hidden="true" customHeight="true" outlineLevel="2" collapsed="false">
      <c r="A59" s="16" t="s">
        <v>78</v>
      </c>
      <c r="B59" s="17" t="n">
        <f aca="false">SUMIFS('Datos - Cartola Jul'!$D$5:$D$167,'Datos - Cartola Jul'!$C$5:$C$167,"otro",'Datos - Cartola Jul'!$B$5:$B$167,"egreso")+SUMIFS('Datos - Cartola Jul'!$D$5:$D$167,'Datos - Cartola Jul'!$C$5:$C$167,"otro_por_clasificar",'Datos - Cartola Jul'!$B$5:$B$167,"egreso")</f>
        <v>1185751</v>
      </c>
    </row>
    <row r="60" customFormat="false" ht="15" hidden="true" customHeight="true" outlineLevel="2" collapsed="false">
      <c r="A60" s="16" t="s">
        <v>79</v>
      </c>
      <c r="B60" s="17" t="n">
        <f aca="false">SUMIFS('Datos - Cartola Jul'!$D$5:$D$167,'Datos - Cartola Jul'!$C$5:$C$167,"iva",'Datos - Cartola Jul'!$B$5:$B$167,"egreso")</f>
        <v>9471</v>
      </c>
    </row>
    <row r="61" customFormat="false" ht="15" hidden="true" customHeight="true" outlineLevel="2" collapsed="false"/>
    <row r="62" customFormat="false" ht="15" hidden="false" customHeight="true" outlineLevel="0" collapsed="false">
      <c r="A62" s="22" t="s">
        <v>80</v>
      </c>
      <c r="B62" s="23" t="n">
        <f aca="false">B6-B15</f>
        <v>4985414.73495798</v>
      </c>
    </row>
    <row r="63" customFormat="false" ht="15" hidden="false" customHeight="true" outlineLevel="0" collapsed="false">
      <c r="A63" s="22" t="s">
        <v>81</v>
      </c>
      <c r="B63" s="24" t="n">
        <f aca="false">B62/B6</f>
        <v>0.298012218116918</v>
      </c>
    </row>
    <row r="64" customFormat="false" ht="15" hidden="false" customHeight="true" outlineLevel="0" collapsed="false">
      <c r="A64" s="25"/>
    </row>
    <row r="65" customFormat="false" ht="15" hidden="false" customHeight="true" outlineLevel="0" collapsed="false">
      <c r="A65" s="25" t="s">
        <v>82</v>
      </c>
      <c r="B65" s="26" t="n">
        <f aca="false">B6-B18-(B32+B36+B40+B44+B48)-(B33+B37+B41+B45+B49)-B28-B73-B67</f>
        <v>7542538.15495798</v>
      </c>
    </row>
    <row r="66" customFormat="false" ht="15" hidden="false" customHeight="true" outlineLevel="0" collapsed="false">
      <c r="A66" s="25" t="s">
        <v>83</v>
      </c>
      <c r="B66" s="27" t="n">
        <f aca="false">B65/B6</f>
        <v>0.450868913679147</v>
      </c>
    </row>
    <row r="67" customFormat="false" ht="15" hidden="false" customHeight="true" outlineLevel="0" collapsed="false">
      <c r="A67" s="25" t="s">
        <v>84</v>
      </c>
      <c r="B67" s="28" t="n">
        <v>372740</v>
      </c>
    </row>
    <row r="68" customFormat="false" ht="15" hidden="false" customHeight="true" outlineLevel="0" collapsed="false">
      <c r="A68" s="22" t="s">
        <v>85</v>
      </c>
      <c r="B68" s="23" t="n">
        <f aca="false">B62-B67</f>
        <v>4612674.73495798</v>
      </c>
    </row>
    <row r="69" customFormat="false" ht="15" hidden="false" customHeight="true" outlineLevel="0" collapsed="false">
      <c r="A69" s="22" t="s">
        <v>86</v>
      </c>
      <c r="B69" s="24" t="n">
        <f aca="false">B68/B6</f>
        <v>0.275731007809179</v>
      </c>
    </row>
    <row r="70" customFormat="false" ht="15" hidden="false" customHeight="true" outlineLevel="0" collapsed="false">
      <c r="A70" s="25" t="s">
        <v>87</v>
      </c>
      <c r="B70" s="26" t="n">
        <f aca="false">B62</f>
        <v>4985414.73495798</v>
      </c>
    </row>
    <row r="71" customFormat="false" ht="15" hidden="false" customHeight="true" outlineLevel="0" collapsed="false">
      <c r="A71" s="25" t="s">
        <v>88</v>
      </c>
      <c r="B71" s="27" t="n">
        <f aca="false">B70/B6</f>
        <v>0.298012218116918</v>
      </c>
    </row>
    <row r="72" customFormat="false" ht="15" hidden="false" customHeight="true" outlineLevel="0" collapsed="false">
      <c r="A72" s="25"/>
      <c r="B72" s="26"/>
    </row>
    <row r="73" customFormat="false" ht="15" hidden="true" customHeight="true" outlineLevel="2" collapsed="false">
      <c r="A73" s="16" t="s">
        <v>89</v>
      </c>
      <c r="B73" s="17" t="n">
        <v>549945</v>
      </c>
    </row>
    <row r="74" customFormat="false" ht="15" hidden="false" customHeight="true" outlineLevel="0" collapsed="false"/>
    <row r="75" customFormat="false" ht="15" hidden="false" customHeight="true" outlineLevel="0" collapsed="false">
      <c r="A75" s="11" t="s">
        <v>90</v>
      </c>
    </row>
    <row r="76" customFormat="false" ht="15" hidden="true" customHeight="true" outlineLevel="2" collapsed="false">
      <c r="A76" s="16" t="s">
        <v>91</v>
      </c>
      <c r="B76" s="17" t="n">
        <f aca="false">Presupuesto!$B$8</f>
        <v>1500000</v>
      </c>
    </row>
    <row r="77" customFormat="false" ht="15" hidden="true" customHeight="true" outlineLevel="2" collapsed="false">
      <c r="A77" s="16" t="s">
        <v>92</v>
      </c>
      <c r="B77" s="17" t="n">
        <f aca="false">Presupuesto!$B$9</f>
        <v>900000</v>
      </c>
    </row>
    <row r="78" customFormat="false" ht="15" hidden="true" customHeight="true" outlineLevel="2" collapsed="false">
      <c r="A78" s="16" t="s">
        <v>93</v>
      </c>
      <c r="B78" s="17" t="n">
        <f aca="false">Presupuesto!$B$10</f>
        <v>500000</v>
      </c>
    </row>
    <row r="79" customFormat="false" ht="15" hidden="true" customHeight="true" outlineLevel="2" collapsed="false">
      <c r="A79" s="16" t="s">
        <v>94</v>
      </c>
      <c r="B79" s="18" t="n">
        <f aca="false">Presupuesto!$B$11</f>
        <v>450000</v>
      </c>
    </row>
    <row r="80" customFormat="false" ht="15" hidden="true" customHeight="true" outlineLevel="2" collapsed="false">
      <c r="A80" s="16" t="s">
        <v>95</v>
      </c>
      <c r="B80" s="18" t="n">
        <f aca="false">Presupuesto!$B$12</f>
        <v>50000</v>
      </c>
    </row>
    <row r="81" customFormat="false" ht="15" hidden="true" customHeight="true" outlineLevel="2" collapsed="false">
      <c r="A81" s="16" t="s">
        <v>96</v>
      </c>
      <c r="B81" s="29" t="n">
        <f aca="false">Presupuesto!$B$14</f>
        <v>0</v>
      </c>
    </row>
    <row r="82" customFormat="false" ht="15" hidden="true" customHeight="true" outlineLevel="2" collapsed="false">
      <c r="A82" s="16" t="s">
        <v>97</v>
      </c>
      <c r="B82" s="18" t="n">
        <f aca="false">Presupuesto!$B$13</f>
        <v>100000</v>
      </c>
    </row>
    <row r="83" customFormat="false" ht="15" hidden="true" customHeight="true" outlineLevel="2" collapsed="false">
      <c r="A83" s="16" t="s">
        <v>98</v>
      </c>
      <c r="B83" s="18" t="n">
        <f aca="false">Presupuesto!$B$15</f>
        <v>0</v>
      </c>
    </row>
    <row r="84" customFormat="false" ht="15" hidden="true" customHeight="true" outlineLevel="2" collapsed="false">
      <c r="A84" s="16" t="s">
        <v>99</v>
      </c>
      <c r="B84" s="29" t="n">
        <f aca="false">Presupuesto!$B$5</f>
        <v>660000</v>
      </c>
    </row>
    <row r="85" customFormat="false" ht="15" hidden="true" customHeight="true" outlineLevel="2" collapsed="false">
      <c r="A85" s="16" t="s">
        <v>100</v>
      </c>
      <c r="B85" s="29" t="n">
        <f aca="false">Presupuesto!$B$5</f>
        <v>660000</v>
      </c>
    </row>
    <row r="86" customFormat="false" ht="21.75" hidden="true" customHeight="true" outlineLevel="2" collapsed="false">
      <c r="A86" s="16" t="s">
        <v>101</v>
      </c>
      <c r="B86" s="17" t="n">
        <f aca="false">Presupuesto!$B$5</f>
        <v>660000</v>
      </c>
    </row>
    <row r="87" customFormat="false" ht="15" hidden="true" customHeight="true" outlineLevel="2" collapsed="false">
      <c r="A87" s="16" t="s">
        <v>102</v>
      </c>
      <c r="B87" s="17" t="n">
        <f aca="false">Presupuesto!$B$5</f>
        <v>660000</v>
      </c>
    </row>
    <row r="88" customFormat="false" ht="15" hidden="true" customHeight="true" outlineLevel="1" collapsed="false">
      <c r="A88" s="11" t="s">
        <v>103</v>
      </c>
      <c r="B88" s="12" t="n">
        <f aca="false">B76+B77+B78+B79+B80+B81+B82+B83+B84+B85+B86+B87</f>
        <v>6140000</v>
      </c>
    </row>
    <row r="89" customFormat="false" ht="15" hidden="false" customHeight="true" outlineLevel="0" collapsed="false"/>
    <row r="90" customFormat="false" ht="15" hidden="false" customHeight="true" outlineLevel="0" collapsed="false">
      <c r="A90" s="30" t="s">
        <v>104</v>
      </c>
    </row>
    <row r="91" customFormat="false" ht="15" hidden="false" customHeight="true" outlineLevel="0" collapsed="false">
      <c r="A91" s="11" t="s">
        <v>105</v>
      </c>
      <c r="B91" s="12" t="n">
        <f aca="false">SUMIFS('Datos - Cartola Jul'!$D$5:$D$167,'Datos - Cartola Jul'!$B$5:$B$167,"ingreso")</f>
        <v>20169108</v>
      </c>
    </row>
    <row r="92" customFormat="false" ht="15" hidden="false" customHeight="true" outlineLevel="0" collapsed="false">
      <c r="A92" s="11" t="s">
        <v>106</v>
      </c>
      <c r="B92" s="12" t="n">
        <f aca="false">SUMIFS('Datos - Cartola Jul'!$D$5:$D$167,'Datos - Cartola Jul'!$B$5:$B$167,"egreso")</f>
        <v>15633743</v>
      </c>
    </row>
    <row r="93" customFormat="false" ht="15" hidden="false" customHeight="true" outlineLevel="0" collapsed="false">
      <c r="A93" s="22" t="s">
        <v>107</v>
      </c>
      <c r="B93" s="23" t="n">
        <f aca="false">B91-B92</f>
        <v>4535365</v>
      </c>
    </row>
    <row r="94" customFormat="false" ht="15" hidden="false" customHeight="true" outlineLevel="0" collapsed="false"/>
    <row r="95" customFormat="false" ht="15" hidden="false" customHeight="true" outlineLevel="0" collapsed="false">
      <c r="A95" s="11" t="s">
        <v>108</v>
      </c>
      <c r="B95" s="28" t="n">
        <v>0</v>
      </c>
    </row>
    <row r="96" customFormat="false" ht="21.75" hidden="false" customHeight="true" outlineLevel="0" collapsed="false"/>
    <row r="97" customFormat="false" ht="15" hidden="false" customHeight="true" outlineLevel="0" collapsed="false">
      <c r="A97" s="31" t="s">
        <v>109</v>
      </c>
    </row>
    <row r="98" customFormat="false" ht="15" hidden="false" customHeight="true" outlineLevel="0" collapsed="false"/>
    <row r="99" customFormat="false" ht="15" hidden="false" customHeight="true" outlineLevel="0" collapsed="false">
      <c r="A99" s="30" t="s">
        <v>110</v>
      </c>
    </row>
    <row r="100" customFormat="false" ht="15" hidden="false" customHeight="true" outlineLevel="0" collapsed="false">
      <c r="A100" s="13" t="s">
        <v>111</v>
      </c>
    </row>
    <row r="101" customFormat="false" ht="15" hidden="false" customHeight="true" outlineLevel="0" collapsed="false">
      <c r="A101" s="32" t="s">
        <v>112</v>
      </c>
      <c r="B101" s="32" t="s">
        <v>113</v>
      </c>
      <c r="C101" s="32" t="s">
        <v>114</v>
      </c>
      <c r="D101" s="32" t="s">
        <v>115</v>
      </c>
      <c r="E101" s="32" t="s">
        <v>116</v>
      </c>
      <c r="F101" s="32" t="s">
        <v>117</v>
      </c>
      <c r="G101" s="32" t="s">
        <v>118</v>
      </c>
      <c r="H101" s="32" t="s">
        <v>119</v>
      </c>
      <c r="I101" s="32" t="s">
        <v>120</v>
      </c>
      <c r="J101" s="32" t="s">
        <v>121</v>
      </c>
      <c r="K101" s="32" t="s">
        <v>122</v>
      </c>
      <c r="L101" s="32" t="s">
        <v>123</v>
      </c>
      <c r="M101" s="32" t="s">
        <v>124</v>
      </c>
      <c r="N101" s="32" t="s">
        <v>125</v>
      </c>
      <c r="O101" s="32" t="s">
        <v>126</v>
      </c>
      <c r="P101" s="32" t="s">
        <v>127</v>
      </c>
      <c r="Q101" s="32" t="s">
        <v>128</v>
      </c>
    </row>
    <row r="102" customFormat="false" ht="15" hidden="false" customHeight="true" outlineLevel="0" collapsed="false">
      <c r="A102" s="33" t="s">
        <v>129</v>
      </c>
      <c r="B102" s="34" t="n">
        <f aca="false">SUMIFS('Datos - Servicios Jul'!$G$4:$G$44,'Datos - Servicios Jul'!$J$4:$J$44,"DVDS36")</f>
        <v>2766807.20168067</v>
      </c>
      <c r="C102" s="34" t="n">
        <f aca="false">'Datos - Combustible y GPS'!D4</f>
        <v>1202490</v>
      </c>
      <c r="D102" s="35" t="n">
        <f aca="false">IF(ISNUMBER('Datos - Combustible y GPS'!E4),'Datos - Combustible y GPS'!E4,0)</f>
        <v>3682.959</v>
      </c>
      <c r="E102" s="34" t="n">
        <f aca="false">SUMIFS('Datos - Cartola Jul'!$D$5:$D$167,'Datos - Cartola Jul'!$C$5:$C$167,"mantencion",'Datos - Cartola Jul'!$B$5:$B$167,"egreso",'Datos - Cartola Jul'!$F$5:$F$167,A102)/Presupuesto!$B$21</f>
        <v>0</v>
      </c>
      <c r="F102" s="34" t="n">
        <f aca="false">Presupuesto!$B$5/20*COUNTIF('Datos - GPS Dias'!$A$5:$A$70,A102)</f>
        <v>561000</v>
      </c>
      <c r="G102" s="34" t="n">
        <f aca="false">B102*Presupuesto!$B$6</f>
        <v>221344.576134454</v>
      </c>
      <c r="H102" s="34" t="n">
        <f aca="false">Presupuesto!$B$7*COUNTIF('Datos - GPS Dias'!$A$5:$A$70,A102)</f>
        <v>204000</v>
      </c>
      <c r="I102" s="34" t="n">
        <f aca="false">(Presupuesto!$B$8+Presupuesto!$B$9+Presupuesto!$B$10+Presupuesto!$B$11+Presupuesto!$B$12+Presupuesto!$B$13+Presupuesto!$B$14+Presupuesto!$B$15)/6</f>
        <v>583333.333333333</v>
      </c>
      <c r="J102" s="36" t="n">
        <f aca="false">B102-C102-E102-F102-G102-H102-I102</f>
        <v>-5360.70778711478</v>
      </c>
      <c r="K102" s="34" t="n">
        <f aca="false">IFERROR(B102/D102,"")</f>
        <v>751.245724343028</v>
      </c>
      <c r="L102" s="34" t="n">
        <f aca="false">IFERROR(J102/COUNTIF('Datos - GPS Dias'!$A$5:$A$70,A102),"")</f>
        <v>-315.335752183222</v>
      </c>
      <c r="M102" s="37" t="n">
        <f aca="false">IFERROR((B102-C102-G102-H102)/B102,"")</f>
        <v>0.411655942219017</v>
      </c>
      <c r="N102" s="37" t="n">
        <f aca="false">IFERROR(J102/B102,"")</f>
        <v>-0.00193750680707296</v>
      </c>
      <c r="O102" s="34" t="n">
        <f aca="false">IFERROR(SUMIFS('Datos - Servicios Jul'!$G$4:$G$44,'Datos - Servicios Jul'!$J$4:$J$44,A102,'Datos - Servicios Jul'!$C$4:$C$44,"Sollem")/SUMIFS('Datos - Servicios Jul'!$G$4:$G$44,'Datos - Servicios Jul'!$C$4:$C$44,"Sollem")*$B$67,0)</f>
        <v>0</v>
      </c>
      <c r="P102" s="36" t="n">
        <f aca="false">J102-O102</f>
        <v>-5360.70778711478</v>
      </c>
      <c r="Q102" s="37" t="n">
        <f aca="false">IFERROR(P102/B102,"")</f>
        <v>-0.00193750680707296</v>
      </c>
    </row>
    <row r="103" customFormat="false" ht="15" hidden="false" customHeight="true" outlineLevel="0" collapsed="false">
      <c r="A103" s="33" t="s">
        <v>130</v>
      </c>
      <c r="B103" s="34" t="n">
        <f aca="false">SUMIFS('Datos - Servicios Jul'!$G$4:$G$44,'Datos - Servicios Jul'!$J$4:$J$44,"GCFF12")</f>
        <v>4349600</v>
      </c>
      <c r="C103" s="34" t="n">
        <f aca="false">'Datos - Combustible y GPS'!D5</f>
        <v>1467626</v>
      </c>
      <c r="D103" s="35" t="n">
        <f aca="false">IF(ISNUMBER('Datos - Combustible y GPS'!E5),'Datos - Combustible y GPS'!E5,0)</f>
        <v>2450.405</v>
      </c>
      <c r="E103" s="34" t="n">
        <f aca="false">SUMIFS('Datos - Cartola Jul'!$D$5:$D$167,'Datos - Cartola Jul'!$C$5:$C$167,"mantencion",'Datos - Cartola Jul'!$B$5:$B$167,"egreso",'Datos - Cartola Jul'!$F$5:$F$167,A103)/Presupuesto!$B$21</f>
        <v>0</v>
      </c>
      <c r="F103" s="34" t="n">
        <f aca="false">Presupuesto!$B$5/20*COUNTIF('Datos - GPS Dias'!$A$5:$A$70,A103)</f>
        <v>330000</v>
      </c>
      <c r="G103" s="34" t="n">
        <f aca="false">B103*Presupuesto!$B$6</f>
        <v>347968</v>
      </c>
      <c r="H103" s="34" t="n">
        <f aca="false">Presupuesto!$B$7*COUNTIF('Datos - GPS Dias'!$A$5:$A$70,A103)</f>
        <v>120000</v>
      </c>
      <c r="I103" s="34" t="n">
        <f aca="false">(Presupuesto!$B$8+Presupuesto!$B$9+Presupuesto!$B$10+Presupuesto!$B$11+Presupuesto!$B$12+Presupuesto!$B$13+Presupuesto!$B$14+Presupuesto!$B$15)/6</f>
        <v>583333.333333333</v>
      </c>
      <c r="J103" s="36" t="n">
        <f aca="false">B103-C103-E103-F103-G103-H103-I103</f>
        <v>1500672.66666667</v>
      </c>
      <c r="K103" s="34" t="n">
        <f aca="false">IFERROR(B103/D103,"")</f>
        <v>1775.05351156237</v>
      </c>
      <c r="L103" s="34" t="n">
        <f aca="false">IFERROR(J103/COUNTIF('Datos - GPS Dias'!$A$5:$A$70,A103),"")</f>
        <v>150067.266666667</v>
      </c>
      <c r="M103" s="37" t="n">
        <f aca="false">IFERROR((B103-C103-G103-H103)/B103,"")</f>
        <v>0.554994942063638</v>
      </c>
      <c r="N103" s="37" t="n">
        <f aca="false">IFERROR(J103/B103,"")</f>
        <v>0.345013947642695</v>
      </c>
      <c r="O103" s="34" t="n">
        <f aca="false">IFERROR(SUMIFS('Datos - Servicios Jul'!$G$4:$G$44,'Datos - Servicios Jul'!$J$4:$J$44,A103,'Datos - Servicios Jul'!$C$4:$C$44,"Sollem")/SUMIFS('Datos - Servicios Jul'!$G$4:$G$44,'Datos - Servicios Jul'!$C$4:$C$44,"Sollem")*$B$67,0)</f>
        <v>77785.495819828</v>
      </c>
      <c r="P103" s="36" t="n">
        <f aca="false">J103-O103</f>
        <v>1422887.17084684</v>
      </c>
      <c r="Q103" s="37" t="n">
        <f aca="false">IFERROR(P103/B103,"")</f>
        <v>0.327130580018125</v>
      </c>
    </row>
    <row r="104" customFormat="false" ht="14.25" hidden="false" customHeight="true" outlineLevel="0" collapsed="false">
      <c r="A104" s="33" t="s">
        <v>131</v>
      </c>
      <c r="B104" s="34" t="n">
        <f aca="false">SUMIFS('Datos - Servicios Jul'!$G$4:$G$44,'Datos - Servicios Jul'!$J$4:$J$44,"GKFD84")</f>
        <v>7313185.71428572</v>
      </c>
      <c r="C104" s="34" t="n">
        <f aca="false">'Datos - Combustible y GPS'!D6</f>
        <v>3114070</v>
      </c>
      <c r="D104" s="35" t="n">
        <f aca="false">IF(ISNUMBER('Datos - Combustible y GPS'!E6),'Datos - Combustible y GPS'!E6,0)</f>
        <v>5277.71</v>
      </c>
      <c r="E104" s="34" t="n">
        <f aca="false">SUMIFS('Datos - Cartola Jul'!$D$5:$D$167,'Datos - Cartola Jul'!$C$5:$C$167,"mantencion",'Datos - Cartola Jul'!$B$5:$B$167,"egreso",'Datos - Cartola Jul'!$F$5:$F$167,A104)/Presupuesto!$B$21</f>
        <v>0</v>
      </c>
      <c r="F104" s="34" t="n">
        <f aca="false">Presupuesto!$B$5/20*COUNTIF('Datos - GPS Dias'!$A$5:$A$70,A104)</f>
        <v>594000</v>
      </c>
      <c r="G104" s="34" t="n">
        <f aca="false">B104*Presupuesto!$B$6</f>
        <v>585054.857142857</v>
      </c>
      <c r="H104" s="34" t="n">
        <f aca="false">Presupuesto!$B$7*COUNTIF('Datos - GPS Dias'!$A$5:$A$70,A104)</f>
        <v>216000</v>
      </c>
      <c r="I104" s="34" t="n">
        <f aca="false">(Presupuesto!$B$8+Presupuesto!$B$9+Presupuesto!$B$10+Presupuesto!$B$11+Presupuesto!$B$12+Presupuesto!$B$13+Presupuesto!$B$14+Presupuesto!$B$15)/6</f>
        <v>583333.333333333</v>
      </c>
      <c r="J104" s="36" t="n">
        <f aca="false">B104-C104-E104-F104-G104-H104-I104</f>
        <v>2220727.52380952</v>
      </c>
      <c r="K104" s="34" t="n">
        <f aca="false">IFERROR(B104/D104,"")</f>
        <v>1385.67403557333</v>
      </c>
      <c r="L104" s="34" t="n">
        <f aca="false">IFERROR(J104/COUNTIF('Datos - GPS Dias'!$A$5:$A$70,A104),"")</f>
        <v>123373.751322751</v>
      </c>
      <c r="M104" s="37" t="n">
        <f aca="false">IFERROR((B104-C104-G104-H104)/B104,"")</f>
        <v>0.464648511592564</v>
      </c>
      <c r="N104" s="37" t="n">
        <f aca="false">IFERROR(J104/B104,"")</f>
        <v>0.303660758877149</v>
      </c>
      <c r="O104" s="34" t="n">
        <f aca="false">IFERROR(SUMIFS('Datos - Servicios Jul'!$G$4:$G$44,'Datos - Servicios Jul'!$J$4:$J$44,A104,'Datos - Servicios Jul'!$C$4:$C$44,"Sollem")/SUMIFS('Datos - Servicios Jul'!$G$4:$G$44,'Datos - Servicios Jul'!$C$4:$C$44,"Sollem")*$B$67,0)</f>
        <v>261643.338157375</v>
      </c>
      <c r="P104" s="36" t="n">
        <f aca="false">J104-O104</f>
        <v>1959084.18565215</v>
      </c>
      <c r="Q104" s="37" t="n">
        <f aca="false">IFERROR(P104/B104,"")</f>
        <v>0.267883828223484</v>
      </c>
    </row>
    <row r="105" customFormat="false" ht="14.25" hidden="false" customHeight="true" outlineLevel="0" collapsed="false">
      <c r="A105" s="33" t="s">
        <v>132</v>
      </c>
      <c r="B105" s="34" t="n">
        <f aca="false">SUMIFS('Datos - Servicios Jul'!$G$4:$G$44,'Datos - Servicios Jul'!$J$4:$J$44,"WR9192")</f>
        <v>747200</v>
      </c>
      <c r="C105" s="34" t="n">
        <f aca="false">'Datos - Combustible y GPS'!D8</f>
        <v>431517</v>
      </c>
      <c r="D105" s="35" t="n">
        <f aca="false">IF(ISNUMBER('Datos - Combustible y GPS'!E8),'Datos - Combustible y GPS'!E8,0)</f>
        <v>933.913</v>
      </c>
      <c r="E105" s="34" t="n">
        <f aca="false">SUMIFS('Datos - Cartola Jul'!$D$5:$D$167,'Datos - Cartola Jul'!$C$5:$C$167,"mantencion",'Datos - Cartola Jul'!$B$5:$B$167,"egreso",'Datos - Cartola Jul'!$F$5:$F$167,A105)/Presupuesto!$B$21</f>
        <v>0</v>
      </c>
      <c r="F105" s="34" t="n">
        <f aca="false">Presupuesto!$B$5/20*COUNTIF('Datos - GPS Dias'!$A$5:$A$70,A105)</f>
        <v>363000</v>
      </c>
      <c r="G105" s="34" t="n">
        <f aca="false">B105*Presupuesto!$B$6</f>
        <v>59776</v>
      </c>
      <c r="H105" s="34" t="n">
        <f aca="false">Presupuesto!$B$7*COUNTIF('Datos - GPS Dias'!$A$5:$A$70,A105)</f>
        <v>132000</v>
      </c>
      <c r="I105" s="34" t="n">
        <f aca="false">(Presupuesto!$B$8+Presupuesto!$B$9+Presupuesto!$B$10+Presupuesto!$B$11+Presupuesto!$B$12+Presupuesto!$B$13+Presupuesto!$B$14+Presupuesto!$B$15)/6</f>
        <v>583333.333333333</v>
      </c>
      <c r="J105" s="36" t="n">
        <f aca="false">B105-C105-E105-F105-G105-H105-I105</f>
        <v>-822426.333333333</v>
      </c>
      <c r="K105" s="34" t="n">
        <f aca="false">IFERROR(B105/D105,"")</f>
        <v>800.074525143134</v>
      </c>
      <c r="L105" s="34" t="n">
        <f aca="false">IFERROR(J105/COUNTIF('Datos - GPS Dias'!$A$5:$A$70,A105),"")</f>
        <v>-74766.0303030303</v>
      </c>
      <c r="M105" s="37" t="n">
        <f aca="false">IFERROR((B105-C105-G105-H105)/B105,"")</f>
        <v>0.165828426124197</v>
      </c>
      <c r="N105" s="37" t="n">
        <f aca="false">IFERROR(J105/B105,"")</f>
        <v>-1.10067764097074</v>
      </c>
      <c r="O105" s="34" t="n">
        <f aca="false">IFERROR(SUMIFS('Datos - Servicios Jul'!$G$4:$G$44,'Datos - Servicios Jul'!$J$4:$J$44,A105,'Datos - Servicios Jul'!$C$4:$C$44,"Sollem")/SUMIFS('Datos - Servicios Jul'!$G$4:$G$44,'Datos - Servicios Jul'!$C$4:$C$44,"Sollem")*$B$67,0)</f>
        <v>33311.1660227966</v>
      </c>
      <c r="P105" s="36" t="n">
        <f aca="false">J105-O105</f>
        <v>-855737.49935613</v>
      </c>
      <c r="Q105" s="37" t="n">
        <f aca="false">IFERROR(P105/B105,"")</f>
        <v>-1.14525896594771</v>
      </c>
    </row>
    <row r="106" customFormat="false" ht="14.25" hidden="false" customHeight="true" outlineLevel="0" collapsed="false">
      <c r="A106" s="33" t="s">
        <v>133</v>
      </c>
      <c r="B106" s="34" t="n">
        <f aca="false">SUMIFS('Datos - Servicios Jul'!$G$4:$G$44,'Datos - Servicios Jul'!$J$4:$J$44,"XR8555")</f>
        <v>1552100.84033613</v>
      </c>
      <c r="C106" s="34" t="n">
        <f aca="false">'Datos - Combustible y GPS'!D9</f>
        <v>734515</v>
      </c>
      <c r="D106" s="35" t="n">
        <f aca="false">IF(ISNUMBER('Datos - Combustible y GPS'!E9),'Datos - Combustible y GPS'!E9,0)</f>
        <v>1403.627</v>
      </c>
      <c r="E106" s="34" t="n">
        <f aca="false">SUMIFS('Datos - Cartola Jul'!$D$5:$D$167,'Datos - Cartola Jul'!$C$5:$C$167,"mantencion",'Datos - Cartola Jul'!$B$5:$B$167,"egreso",'Datos - Cartola Jul'!$F$5:$F$167,A106)/Presupuesto!$B$21</f>
        <v>0</v>
      </c>
      <c r="F106" s="34" t="n">
        <f aca="false">Presupuesto!$B$5/20*COUNTIF('Datos - GPS Dias'!$A$5:$A$70,A106)</f>
        <v>297000</v>
      </c>
      <c r="G106" s="34" t="n">
        <f aca="false">B106*Presupuesto!$B$6</f>
        <v>124168.067226891</v>
      </c>
      <c r="H106" s="34" t="n">
        <f aca="false">Presupuesto!$B$7*COUNTIF('Datos - GPS Dias'!$A$5:$A$70,A106)</f>
        <v>108000</v>
      </c>
      <c r="I106" s="34" t="n">
        <f aca="false">(Presupuesto!$B$8+Presupuesto!$B$9+Presupuesto!$B$10+Presupuesto!$B$11+Presupuesto!$B$12+Presupuesto!$B$13+Presupuesto!$B$14+Presupuesto!$B$15)/6</f>
        <v>583333.333333333</v>
      </c>
      <c r="J106" s="36" t="n">
        <f aca="false">B106-C106-E106-F106-G106-H106-I106</f>
        <v>-294915.56022409</v>
      </c>
      <c r="K106" s="34" t="n">
        <f aca="false">IFERROR(B106/D106,"")</f>
        <v>1105.7787007062</v>
      </c>
      <c r="L106" s="34" t="n">
        <f aca="false">IFERROR(J106/COUNTIF('Datos - GPS Dias'!$A$5:$A$70,A106),"")</f>
        <v>-32768.3955804544</v>
      </c>
      <c r="M106" s="37" t="n">
        <f aca="false">IFERROR((B106-C106-G106-H106)/B106,"")</f>
        <v>0.377177666486194</v>
      </c>
      <c r="N106" s="37" t="n">
        <f aca="false">IFERROR(J106/B106,"")</f>
        <v>-0.190010566684714</v>
      </c>
      <c r="O106" s="34" t="n">
        <f aca="false">IFERROR(SUMIFS('Datos - Servicios Jul'!$G$4:$G$44,'Datos - Servicios Jul'!$J$4:$J$44,A106,'Datos - Servicios Jul'!$C$4:$C$44,"Sollem")/SUMIFS('Datos - Servicios Jul'!$G$4:$G$44,'Datos - Servicios Jul'!$C$4:$C$44,"Sollem")*$B$67,0)</f>
        <v>0</v>
      </c>
      <c r="P106" s="36" t="n">
        <f aca="false">J106-O106</f>
        <v>-294915.56022409</v>
      </c>
      <c r="Q106" s="37" t="n">
        <f aca="false">IFERROR(P106/B106,"")</f>
        <v>-0.190010566684714</v>
      </c>
    </row>
    <row r="107" customFormat="false" ht="14.25" hidden="false" customHeight="true" outlineLevel="0" collapsed="false">
      <c r="A107" s="33" t="s">
        <v>134</v>
      </c>
      <c r="B107" s="34" t="n">
        <f aca="false">SUMIFS('Datos - Servicios Jul'!$G$4:$G$44,'Datos - Servicios Jul'!$J$4:$J$44,"BPLB35")</f>
        <v>0</v>
      </c>
      <c r="C107" s="34" t="n">
        <v>0</v>
      </c>
      <c r="D107" s="35" t="n">
        <v>0.145</v>
      </c>
      <c r="E107" s="34" t="n">
        <f aca="false">SUMIFS('Datos - Cartola Jul'!$D$5:$D$167,'Datos - Cartola Jul'!$C$5:$C$167,"mantencion",'Datos - Cartola Jul'!$B$5:$B$167,"egreso",'Datos - Cartola Jul'!$F$5:$F$167,A107)/Presupuesto!$B$21</f>
        <v>0</v>
      </c>
      <c r="F107" s="34" t="n">
        <f aca="false">Presupuesto!$B$5/20*COUNTIF('Datos - GPS Dias'!$A$5:$A$70,A107)</f>
        <v>33000</v>
      </c>
      <c r="G107" s="34" t="n">
        <f aca="false">B107*Presupuesto!$B$6</f>
        <v>0</v>
      </c>
      <c r="H107" s="34" t="n">
        <f aca="false">Presupuesto!$B$7*COUNTIF('Datos - GPS Dias'!$A$5:$A$70,A107)</f>
        <v>12000</v>
      </c>
      <c r="I107" s="34" t="n">
        <f aca="false">(Presupuesto!$B$8+Presupuesto!$B$9+Presupuesto!$B$10+Presupuesto!$B$11+Presupuesto!$B$12+Presupuesto!$B$13+Presupuesto!$B$14+Presupuesto!$B$15)/6</f>
        <v>583333.333333333</v>
      </c>
      <c r="J107" s="36" t="n">
        <f aca="false">B107-C107-E107-F107-G107-H107-I107</f>
        <v>-628333.333333333</v>
      </c>
      <c r="K107" s="34" t="n">
        <f aca="false">IFERROR(B107/D107,"")</f>
        <v>0</v>
      </c>
      <c r="L107" s="34" t="n">
        <f aca="false">IFERROR(J107/COUNTIF('Datos - GPS Dias'!$A$5:$A$70,A107),"")</f>
        <v>-628333.333333333</v>
      </c>
      <c r="M107" s="37" t="str">
        <f aca="false">IFERROR((B107-C107-G107-H107)/B107,"")</f>
        <v/>
      </c>
      <c r="N107" s="37" t="str">
        <f aca="false">IFERROR(J107/B107,"")</f>
        <v/>
      </c>
      <c r="O107" s="34" t="n">
        <f aca="false">IFERROR(SUMIFS('Datos - Servicios Jul'!$G$4:$G$44,'Datos - Servicios Jul'!$J$4:$J$44,A107,'Datos - Servicios Jul'!$C$4:$C$44,"Sollem")/SUMIFS('Datos - Servicios Jul'!$G$4:$G$44,'Datos - Servicios Jul'!$C$4:$C$44,"Sollem")*$B$73,0)</f>
        <v>0</v>
      </c>
      <c r="P107" s="36" t="n">
        <f aca="false">J107-O107</f>
        <v>-628333.333333333</v>
      </c>
      <c r="Q107" s="37" t="str">
        <f aca="false">IFERROR(P107/B107,"")</f>
        <v/>
      </c>
    </row>
    <row r="108" customFormat="false" ht="14.25" hidden="false" customHeight="true" outlineLevel="0" collapsed="false">
      <c r="A108" s="33" t="s">
        <v>135</v>
      </c>
      <c r="B108" s="36" t="n">
        <f aca="false">B102+B103+B104+B105+B106+B107</f>
        <v>16728893.7563025</v>
      </c>
      <c r="C108" s="36" t="n">
        <f aca="false">C102+C103+C104+C105+C106+C107</f>
        <v>6950218</v>
      </c>
      <c r="D108" s="36"/>
      <c r="E108" s="36" t="n">
        <f aca="false">E102+E103+E104+E105+E106+E107</f>
        <v>0</v>
      </c>
      <c r="F108" s="36" t="n">
        <f aca="false">F102+F103+F104+F105+F106+F107</f>
        <v>2178000</v>
      </c>
      <c r="G108" s="36" t="n">
        <f aca="false">G102+G103+G104+G105+G106+G107</f>
        <v>1338311.5005042</v>
      </c>
      <c r="H108" s="36" t="n">
        <f aca="false">H102+H103+H104+H105+H106+H107</f>
        <v>792000</v>
      </c>
      <c r="I108" s="36" t="n">
        <f aca="false">I102+I103+I104+I105+I106+I107</f>
        <v>3500000</v>
      </c>
      <c r="J108" s="36" t="n">
        <f aca="false">J102+J103+J104+J105+J106+J107</f>
        <v>1970364.25579832</v>
      </c>
      <c r="K108" s="38"/>
      <c r="L108" s="38"/>
      <c r="M108" s="38"/>
      <c r="N108" s="36"/>
      <c r="O108" s="36" t="n">
        <f aca="false">O102+O103+O104+O105+O106+O107</f>
        <v>372740</v>
      </c>
      <c r="P108" s="36" t="n">
        <f aca="false">P102+P103+P104+P105+P106+P107</f>
        <v>1597624.25579832</v>
      </c>
      <c r="Q108" s="38"/>
    </row>
    <row r="110" customFormat="false" ht="14.25" hidden="false" customHeight="true" outlineLevel="0" collapsed="false">
      <c r="A110" s="10" t="s">
        <v>136</v>
      </c>
      <c r="B110" s="10"/>
      <c r="C110" s="10"/>
    </row>
    <row r="111" customFormat="false" ht="14.25" hidden="true" customHeight="true" outlineLevel="1" collapsed="false">
      <c r="A111" s="13" t="s">
        <v>137</v>
      </c>
    </row>
    <row r="112" customFormat="false" ht="14.25" hidden="true" customHeight="true" outlineLevel="2" collapsed="false">
      <c r="A112" s="16" t="s">
        <v>138</v>
      </c>
    </row>
    <row r="113" customFormat="false" ht="14.25" hidden="true" customHeight="true" outlineLevel="2" collapsed="false">
      <c r="A113" s="16" t="s">
        <v>139</v>
      </c>
    </row>
    <row r="114" customFormat="false" ht="14.25" hidden="false" customHeight="true" outlineLevel="0" collapsed="false">
      <c r="A114" s="25" t="s">
        <v>140</v>
      </c>
      <c r="B114" s="26" t="n">
        <f aca="false">B88</f>
        <v>6140000</v>
      </c>
    </row>
    <row r="115" customFormat="false" ht="14.25" hidden="false" customHeight="true" outlineLevel="0" collapsed="false">
      <c r="A115" s="25" t="s">
        <v>124</v>
      </c>
      <c r="B115" s="27" t="n">
        <f aca="false">B66</f>
        <v>0.450868913679147</v>
      </c>
    </row>
    <row r="116" customFormat="false" ht="14.25" hidden="false" customHeight="true" outlineLevel="0" collapsed="false">
      <c r="A116" s="22" t="s">
        <v>141</v>
      </c>
      <c r="B116" s="23" t="n">
        <f aca="false">B88/B115</f>
        <v>13618148.898084</v>
      </c>
    </row>
    <row r="117" customFormat="false" ht="14.25" hidden="false" customHeight="true" outlineLevel="0" collapsed="false">
      <c r="A117" s="25" t="s">
        <v>142</v>
      </c>
      <c r="B117" s="12" t="n">
        <f aca="false">B6-B116</f>
        <v>3110744.85821853</v>
      </c>
    </row>
  </sheetData>
  <mergeCells count="4">
    <mergeCell ref="A1:C1"/>
    <mergeCell ref="A2:C2"/>
    <mergeCell ref="A5:C5"/>
    <mergeCell ref="A110:C1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B26" activeCellId="0" sqref="B26"/>
    </sheetView>
  </sheetViews>
  <sheetFormatPr defaultColWidth="8.6875" defaultRowHeight="14.2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36"/>
    <col collapsed="false" customWidth="true" hidden="false" outlineLevel="0" max="5" min="5" style="1" width="32"/>
  </cols>
  <sheetData>
    <row r="1" customFormat="false" ht="17.25" hidden="false" customHeight="true" outlineLevel="0" collapsed="false">
      <c r="A1" s="2" t="s">
        <v>143</v>
      </c>
      <c r="B1" s="2"/>
      <c r="C1" s="2"/>
      <c r="D1" s="2"/>
      <c r="E1" s="2"/>
    </row>
    <row r="2" customFormat="false" ht="15" hidden="false" customHeight="true" outlineLevel="0" collapsed="false">
      <c r="A2" s="3" t="s">
        <v>144</v>
      </c>
      <c r="B2" s="3"/>
      <c r="C2" s="3"/>
      <c r="D2" s="3"/>
      <c r="E2" s="3"/>
    </row>
    <row r="4" customFormat="false" ht="15" hidden="false" customHeight="true" outlineLevel="0" collapsed="false">
      <c r="A4" s="10" t="s">
        <v>145</v>
      </c>
      <c r="B4" s="10"/>
      <c r="C4" s="10"/>
      <c r="D4" s="10"/>
    </row>
    <row r="5" customFormat="false" ht="15" hidden="false" customHeight="true" outlineLevel="0" collapsed="false">
      <c r="A5" s="4" t="s">
        <v>146</v>
      </c>
      <c r="B5" s="4" t="s">
        <v>147</v>
      </c>
      <c r="C5" s="4" t="s">
        <v>148</v>
      </c>
    </row>
    <row r="6" customFormat="false" ht="15" hidden="false" customHeight="true" outlineLevel="0" collapsed="false">
      <c r="A6" s="25" t="s">
        <v>149</v>
      </c>
      <c r="B6" s="26" t="n">
        <v>9949471</v>
      </c>
      <c r="C6" s="27" t="n">
        <f aca="false">B6/$B$13</f>
        <v>0.499787993228442</v>
      </c>
    </row>
    <row r="7" customFormat="false" ht="15" hidden="false" customHeight="true" outlineLevel="0" collapsed="false">
      <c r="A7" s="25" t="s">
        <v>150</v>
      </c>
      <c r="B7" s="26" t="n">
        <v>3869500</v>
      </c>
      <c r="C7" s="27" t="n">
        <f aca="false">B7/$B$13</f>
        <v>0.194375122033871</v>
      </c>
    </row>
    <row r="8" customFormat="false" ht="15" hidden="false" customHeight="true" outlineLevel="0" collapsed="false">
      <c r="A8" s="25" t="s">
        <v>151</v>
      </c>
      <c r="B8" s="26" t="n">
        <v>3099712</v>
      </c>
      <c r="C8" s="27" t="n">
        <f aca="false">B8/$B$13</f>
        <v>0.155706654159414</v>
      </c>
    </row>
    <row r="9" customFormat="false" ht="15" hidden="false" customHeight="true" outlineLevel="0" collapsed="false">
      <c r="A9" s="25" t="s">
        <v>152</v>
      </c>
      <c r="B9" s="26" t="n">
        <v>1249500</v>
      </c>
      <c r="C9" s="27" t="n">
        <f aca="false">B9/$B$13</f>
        <v>0.0627656583489653</v>
      </c>
    </row>
    <row r="10" customFormat="false" ht="15" hidden="false" customHeight="true" outlineLevel="0" collapsed="false">
      <c r="A10" s="25" t="s">
        <v>153</v>
      </c>
      <c r="B10" s="26" t="n">
        <v>1240200</v>
      </c>
      <c r="C10" s="27" t="n">
        <f aca="false">B10/$B$13</f>
        <v>0.0622984949855036</v>
      </c>
    </row>
    <row r="11" customFormat="false" ht="15" hidden="false" customHeight="true" outlineLevel="0" collapsed="false">
      <c r="A11" s="25" t="s">
        <v>154</v>
      </c>
      <c r="B11" s="26" t="n">
        <v>380000</v>
      </c>
      <c r="C11" s="27" t="n">
        <f aca="false">B11/$B$13</f>
        <v>0.019088395496284</v>
      </c>
    </row>
    <row r="12" customFormat="false" ht="15" hidden="false" customHeight="true" outlineLevel="0" collapsed="false">
      <c r="A12" s="25" t="s">
        <v>155</v>
      </c>
      <c r="B12" s="26" t="n">
        <v>119000</v>
      </c>
      <c r="C12" s="27" t="n">
        <f aca="false">B12/$B$13</f>
        <v>0.00597768174752051</v>
      </c>
    </row>
    <row r="13" customFormat="false" ht="15" hidden="false" customHeight="true" outlineLevel="0" collapsed="false">
      <c r="A13" s="11" t="s">
        <v>135</v>
      </c>
      <c r="B13" s="12" t="n">
        <f aca="false">SUM(B6:B12)</f>
        <v>19907383</v>
      </c>
    </row>
    <row r="15" customFormat="false" ht="15" hidden="false" customHeight="true" outlineLevel="0" collapsed="false">
      <c r="A15" s="39"/>
      <c r="B15" s="39"/>
      <c r="C15" s="39"/>
      <c r="D15" s="39"/>
    </row>
    <row r="17" customFormat="false" ht="15" hidden="false" customHeight="true" outlineLevel="0" collapsed="false">
      <c r="A17" s="10" t="s">
        <v>156</v>
      </c>
      <c r="B17" s="10"/>
      <c r="C17" s="10"/>
      <c r="D17" s="10"/>
      <c r="E17" s="10"/>
    </row>
    <row r="18" customFormat="false" ht="25.5" hidden="false" customHeight="true" outlineLevel="0" collapsed="false">
      <c r="A18" s="4" t="s">
        <v>146</v>
      </c>
      <c r="B18" s="4" t="s">
        <v>157</v>
      </c>
      <c r="C18" s="4" t="s">
        <v>158</v>
      </c>
      <c r="D18" s="4" t="s">
        <v>159</v>
      </c>
      <c r="E18" s="4" t="s">
        <v>160</v>
      </c>
    </row>
    <row r="19" customFormat="false" ht="15" hidden="false" customHeight="true" outlineLevel="0" collapsed="false">
      <c r="A19" s="5"/>
      <c r="B19" s="5"/>
      <c r="C19" s="5"/>
      <c r="D19" s="5"/>
      <c r="E19" s="7"/>
    </row>
    <row r="20" customFormat="false" ht="15" hidden="false" customHeight="true" outlineLevel="0" collapsed="false">
      <c r="A20" s="5"/>
      <c r="B20" s="5"/>
      <c r="C20" s="5"/>
      <c r="D20" s="5"/>
      <c r="E20" s="7"/>
    </row>
    <row r="21" customFormat="false" ht="15" hidden="false" customHeight="true" outlineLevel="0" collapsed="false">
      <c r="A21" s="5"/>
      <c r="B21" s="5"/>
      <c r="C21" s="5"/>
      <c r="D21" s="5"/>
      <c r="E21" s="7"/>
    </row>
    <row r="23" customFormat="false" ht="15" hidden="false" customHeight="true" outlineLevel="0" collapsed="false">
      <c r="A23" s="3" t="s">
        <v>161</v>
      </c>
      <c r="B23" s="3"/>
      <c r="C23" s="3"/>
      <c r="D23" s="3"/>
      <c r="E23" s="3"/>
    </row>
    <row r="25" customFormat="false" ht="15" hidden="false" customHeight="true" outlineLevel="0" collapsed="false">
      <c r="A25" s="10" t="s">
        <v>162</v>
      </c>
      <c r="B25" s="10"/>
      <c r="C25" s="10"/>
      <c r="D25" s="10"/>
    </row>
    <row r="26" customFormat="false" ht="15" hidden="false" customHeight="true" outlineLevel="0" collapsed="false">
      <c r="A26" s="25" t="s">
        <v>163</v>
      </c>
      <c r="B26" s="11"/>
    </row>
    <row r="27" customFormat="false" ht="15" hidden="false" customHeight="true" outlineLevel="0" collapsed="false">
      <c r="A27" s="25" t="s">
        <v>164</v>
      </c>
      <c r="B27" s="11"/>
    </row>
    <row r="28" customFormat="false" ht="15" hidden="false" customHeight="true" outlineLevel="0" collapsed="false">
      <c r="A28" s="25" t="s">
        <v>165</v>
      </c>
      <c r="B28" s="40"/>
    </row>
    <row r="30" customFormat="false" ht="15" hidden="false" customHeight="true" outlineLevel="0" collapsed="false">
      <c r="A30" s="39"/>
      <c r="B30" s="39"/>
      <c r="C30" s="39"/>
      <c r="D30" s="39"/>
      <c r="E30" s="39"/>
    </row>
  </sheetData>
  <mergeCells count="8">
    <mergeCell ref="A1:E1"/>
    <mergeCell ref="A2:E2"/>
    <mergeCell ref="A4:D4"/>
    <mergeCell ref="A15:D15"/>
    <mergeCell ref="A17:E17"/>
    <mergeCell ref="A23:E23"/>
    <mergeCell ref="A25:D25"/>
    <mergeCell ref="A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4.2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4"/>
    <col collapsed="false" customWidth="true" hidden="false" outlineLevel="0" max="3" min="3" style="1" width="26"/>
    <col collapsed="false" customWidth="true" hidden="false" outlineLevel="0" max="5" min="4" style="1" width="10"/>
  </cols>
  <sheetData>
    <row r="1" customFormat="false" ht="17.25" hidden="false" customHeight="true" outlineLevel="0" collapsed="false">
      <c r="A1" s="2" t="s">
        <v>166</v>
      </c>
      <c r="B1" s="2"/>
      <c r="C1" s="2"/>
      <c r="D1" s="2"/>
      <c r="E1" s="2"/>
    </row>
    <row r="2" customFormat="false" ht="15" hidden="false" customHeight="true" outlineLevel="0" collapsed="false">
      <c r="A2" s="3" t="s">
        <v>167</v>
      </c>
      <c r="B2" s="3"/>
      <c r="C2" s="3"/>
      <c r="D2" s="3"/>
      <c r="E2" s="3"/>
    </row>
    <row r="4" customFormat="false" ht="15" hidden="false" customHeight="true" outlineLevel="0" collapsed="false">
      <c r="A4" s="10" t="s">
        <v>168</v>
      </c>
      <c r="B4" s="10"/>
      <c r="C4" s="10"/>
      <c r="D4" s="10"/>
      <c r="E4" s="10"/>
    </row>
    <row r="5" customFormat="false" ht="15" hidden="false" customHeight="true" outlineLevel="0" collapsed="false">
      <c r="A5" s="4" t="s">
        <v>112</v>
      </c>
      <c r="B5" s="4" t="s">
        <v>169</v>
      </c>
      <c r="C5" s="4" t="s">
        <v>170</v>
      </c>
      <c r="D5" s="4" t="s">
        <v>171</v>
      </c>
      <c r="E5" s="4" t="s">
        <v>172</v>
      </c>
    </row>
    <row r="6" customFormat="false" ht="15" hidden="false" customHeight="true" outlineLevel="0" collapsed="false">
      <c r="A6" s="5" t="str">
        <f aca="false">'Datos - Combustible y GPS'!A4</f>
        <v>DVDS36</v>
      </c>
      <c r="B6" s="5" t="str">
        <f aca="false">'Datos - Combustible y GPS'!B4</f>
        <v>Camión</v>
      </c>
      <c r="C6" s="41" t="n">
        <f aca="false">'Datos - Combustible y GPS'!C4</f>
        <v>1011</v>
      </c>
      <c r="D6" s="42" t="n">
        <f aca="false">'Datos - Combustible y GPS'!D4</f>
        <v>1202490</v>
      </c>
      <c r="E6" s="43" t="n">
        <f aca="false">D6/SUM('Datos - Combustible y GPS'!D4:D10)</f>
        <v>0.158939163133738</v>
      </c>
    </row>
    <row r="7" customFormat="false" ht="15" hidden="false" customHeight="true" outlineLevel="0" collapsed="false">
      <c r="A7" s="5" t="str">
        <f aca="false">'Datos - Combustible y GPS'!A5</f>
        <v>GCFF12</v>
      </c>
      <c r="B7" s="5" t="str">
        <f aca="false">'Datos - Combustible y GPS'!B5</f>
        <v>Camión</v>
      </c>
      <c r="C7" s="41" t="n">
        <f aca="false">'Datos - Combustible y GPS'!C5</f>
        <v>1235.6</v>
      </c>
      <c r="D7" s="42" t="n">
        <f aca="false">'Datos - Combustible y GPS'!D5</f>
        <v>1467626</v>
      </c>
      <c r="E7" s="43" t="n">
        <f aca="false">D7/SUM('Datos - Combustible y GPS'!D4:D10)</f>
        <v>0.193983524381338</v>
      </c>
    </row>
    <row r="8" customFormat="false" ht="15" hidden="false" customHeight="true" outlineLevel="0" collapsed="false">
      <c r="A8" s="5" t="str">
        <f aca="false">'Datos - Combustible y GPS'!A6</f>
        <v>GKFD84</v>
      </c>
      <c r="B8" s="5" t="str">
        <f aca="false">'Datos - Combustible y GPS'!B6</f>
        <v>Camión</v>
      </c>
      <c r="C8" s="41" t="n">
        <f aca="false">'Datos - Combustible y GPS'!C6</f>
        <v>2605.4</v>
      </c>
      <c r="D8" s="42" t="n">
        <f aca="false">'Datos - Combustible y GPS'!D6</f>
        <v>3114070</v>
      </c>
      <c r="E8" s="43" t="n">
        <f aca="false">D8/SUM('Datos - Combustible y GPS'!D4:D10)</f>
        <v>0.411602324958943</v>
      </c>
    </row>
    <row r="9" customFormat="false" ht="15" hidden="false" customHeight="true" outlineLevel="0" collapsed="false">
      <c r="A9" s="5" t="str">
        <f aca="false">'Datos - Combustible y GPS'!A7</f>
        <v>KSRC78</v>
      </c>
      <c r="B9" s="5" t="str">
        <f aca="false">'Datos - Combustible y GPS'!B7</f>
        <v>Camioneta</v>
      </c>
      <c r="C9" s="41" t="n">
        <f aca="false">'Datos - Combustible y GPS'!C7</f>
        <v>456.8</v>
      </c>
      <c r="D9" s="42" t="n">
        <f aca="false">'Datos - Combustible y GPS'!D7</f>
        <v>565507</v>
      </c>
      <c r="E9" s="43" t="n">
        <f aca="false">D9/SUM('Datos - Combustible y GPS'!D4:D10)</f>
        <v>0.0747459100086244</v>
      </c>
    </row>
    <row r="10" customFormat="false" ht="15" hidden="false" customHeight="true" outlineLevel="0" collapsed="false">
      <c r="A10" s="5" t="str">
        <f aca="false">'Datos - Combustible y GPS'!A8</f>
        <v>WR9192</v>
      </c>
      <c r="B10" s="5" t="str">
        <f aca="false">'Datos - Combustible y GPS'!B8</f>
        <v>Camión</v>
      </c>
      <c r="C10" s="41" t="n">
        <f aca="false">'Datos - Combustible y GPS'!C8</f>
        <v>369.9</v>
      </c>
      <c r="D10" s="42" t="n">
        <f aca="false">'Datos - Combustible y GPS'!D8</f>
        <v>431517</v>
      </c>
      <c r="E10" s="43" t="n">
        <f aca="false">D10/SUM('Datos - Combustible y GPS'!D4:D10)</f>
        <v>0.0570357764787909</v>
      </c>
    </row>
    <row r="11" customFormat="false" ht="15" hidden="false" customHeight="true" outlineLevel="0" collapsed="false">
      <c r="A11" s="5" t="str">
        <f aca="false">'Datos - Combustible y GPS'!A9</f>
        <v>XR8555</v>
      </c>
      <c r="B11" s="5" t="str">
        <f aca="false">'Datos - Combustible y GPS'!B9</f>
        <v>Camión</v>
      </c>
      <c r="C11" s="41" t="n">
        <f aca="false">'Datos - Combustible y GPS'!C9</f>
        <v>629.9</v>
      </c>
      <c r="D11" s="42" t="n">
        <f aca="false">'Datos - Combustible y GPS'!D9</f>
        <v>734515</v>
      </c>
      <c r="E11" s="43" t="n">
        <f aca="false">D11/SUM('Datos - Combustible y GPS'!D4:D10)</f>
        <v>0.0970845490683312</v>
      </c>
    </row>
    <row r="12" customFormat="false" ht="15" hidden="false" customHeight="true" outlineLevel="0" collapsed="false">
      <c r="A12" s="5" t="str">
        <f aca="false">'Datos - Combustible y GPS'!A10</f>
        <v>JYJV21</v>
      </c>
      <c r="B12" s="5" t="str">
        <f aca="false">'Datos - Combustible y GPS'!B10</f>
        <v>Camioneta</v>
      </c>
      <c r="C12" s="41" t="n">
        <f aca="false">'Datos - Combustible y GPS'!C10</f>
        <v>41.1</v>
      </c>
      <c r="D12" s="42" t="n">
        <f aca="false">'Datos - Combustible y GPS'!D10</f>
        <v>50000</v>
      </c>
      <c r="E12" s="43" t="n">
        <f aca="false">D12/SUM('Datos - Combustible y GPS'!D4:D10)</f>
        <v>0.00660875197023418</v>
      </c>
    </row>
    <row r="14" customFormat="false" ht="15" hidden="false" customHeight="true" outlineLevel="0" collapsed="false">
      <c r="A14" s="10" t="s">
        <v>173</v>
      </c>
      <c r="B14" s="10"/>
      <c r="C14" s="10"/>
      <c r="D14" s="10"/>
      <c r="E14" s="10"/>
    </row>
    <row r="15" customFormat="false" ht="23.25" hidden="false" customHeight="true" outlineLevel="0" collapsed="false">
      <c r="A15" s="4" t="s">
        <v>112</v>
      </c>
      <c r="B15" s="4" t="s">
        <v>170</v>
      </c>
      <c r="C15" s="4" t="s">
        <v>115</v>
      </c>
      <c r="D15" s="4" t="s">
        <v>174</v>
      </c>
    </row>
    <row r="16" customFormat="false" ht="15" hidden="false" customHeight="true" outlineLevel="0" collapsed="false">
      <c r="A16" s="5" t="str">
        <f aca="false">IF('Datos - Combustible y GPS'!B4="Camión",'Datos - Combustible y GPS'!A4,"")</f>
        <v>DVDS36</v>
      </c>
      <c r="B16" s="41" t="n">
        <f aca="false">IF('Datos - Combustible y GPS'!B4="Camión",'Datos - Combustible y GPS'!C4,"")</f>
        <v>1011</v>
      </c>
      <c r="C16" s="41" t="n">
        <f aca="false">IF(AND('Datos - Combustible y GPS'!B4="Camión",ISNUMBER('Datos - Combustible y GPS'!E4)),'Datos - Combustible y GPS'!E4,"")</f>
        <v>3682.959</v>
      </c>
      <c r="D16" s="44" t="n">
        <f aca="false">IFERROR(C16/B16,"")</f>
        <v>3.64288724035608</v>
      </c>
    </row>
    <row r="17" customFormat="false" ht="15" hidden="false" customHeight="true" outlineLevel="0" collapsed="false">
      <c r="A17" s="5" t="str">
        <f aca="false">IF('Datos - Combustible y GPS'!B5="Camión",'Datos - Combustible y GPS'!A5,"")</f>
        <v>GCFF12</v>
      </c>
      <c r="B17" s="41" t="n">
        <f aca="false">IF('Datos - Combustible y GPS'!B5="Camión",'Datos - Combustible y GPS'!C5,"")</f>
        <v>1235.6</v>
      </c>
      <c r="C17" s="41" t="n">
        <f aca="false">IF(AND('Datos - Combustible y GPS'!B5="Camión",ISNUMBER('Datos - Combustible y GPS'!E5)),'Datos - Combustible y GPS'!E5,"")</f>
        <v>2450.405</v>
      </c>
      <c r="D17" s="44" t="n">
        <f aca="false">IFERROR(C17/B17,"")</f>
        <v>1.98317011977986</v>
      </c>
    </row>
    <row r="18" customFormat="false" ht="15" hidden="false" customHeight="true" outlineLevel="0" collapsed="false">
      <c r="A18" s="5" t="str">
        <f aca="false">IF('Datos - Combustible y GPS'!B6="Camión",'Datos - Combustible y GPS'!A6,"")</f>
        <v>GKFD84</v>
      </c>
      <c r="B18" s="41" t="n">
        <f aca="false">IF('Datos - Combustible y GPS'!B6="Camión",'Datos - Combustible y GPS'!C6,"")</f>
        <v>2605.4</v>
      </c>
      <c r="C18" s="41" t="n">
        <f aca="false">IF(AND('Datos - Combustible y GPS'!B6="Camión",ISNUMBER('Datos - Combustible y GPS'!E6)),'Datos - Combustible y GPS'!E6,"")</f>
        <v>5277.71</v>
      </c>
      <c r="D18" s="44" t="n">
        <f aca="false">IFERROR(C18/B18,"")</f>
        <v>2.02568127734705</v>
      </c>
    </row>
    <row r="19" customFormat="false" ht="15" hidden="false" customHeight="true" outlineLevel="0" collapsed="false">
      <c r="A19" s="5" t="str">
        <f aca="false">IF('Datos - Combustible y GPS'!B8="Camión",'Datos - Combustible y GPS'!A8,"")</f>
        <v>WR9192</v>
      </c>
      <c r="B19" s="41" t="n">
        <f aca="false">IF('Datos - Combustible y GPS'!B8="Camión",'Datos - Combustible y GPS'!C8,"")</f>
        <v>369.9</v>
      </c>
      <c r="C19" s="41" t="n">
        <f aca="false">IF(AND('Datos - Combustible y GPS'!B8="Camión",ISNUMBER('Datos - Combustible y GPS'!E8)),'Datos - Combustible y GPS'!E8,"")</f>
        <v>933.913</v>
      </c>
      <c r="D19" s="44" t="n">
        <f aca="false">IFERROR(C19/B19,"")</f>
        <v>2.52477155988105</v>
      </c>
    </row>
    <row r="20" customFormat="false" ht="15" hidden="false" customHeight="true" outlineLevel="0" collapsed="false">
      <c r="A20" s="5" t="str">
        <f aca="false">IF('Datos - Combustible y GPS'!B9="Camión",'Datos - Combustible y GPS'!A9,"")</f>
        <v>XR8555</v>
      </c>
      <c r="B20" s="41" t="n">
        <f aca="false">IF('Datos - Combustible y GPS'!B9="Camión",'Datos - Combustible y GPS'!C9,"")</f>
        <v>629.9</v>
      </c>
      <c r="C20" s="41" t="n">
        <f aca="false">IF(AND('Datos - Combustible y GPS'!B9="Camión",ISNUMBER('Datos - Combustible y GPS'!E9)),'Datos - Combustible y GPS'!E9,"")</f>
        <v>1403.627</v>
      </c>
      <c r="D20" s="44" t="n">
        <f aca="false">IFERROR(C20/B20,"")</f>
        <v>2.22833306874107</v>
      </c>
    </row>
    <row r="21" customFormat="false" ht="15" hidden="false" customHeight="true" outlineLevel="0" collapsed="false"/>
    <row r="22" customFormat="false" ht="15" hidden="false" customHeight="true" outlineLevel="0" collapsed="false">
      <c r="A22" s="5" t="str">
        <f aca="false">IF('Datos - Combustible y GPS'!B10="Camión",'Datos - Combustible y GPS'!A10,"")</f>
        <v/>
      </c>
      <c r="B22" s="41" t="str">
        <f aca="false">IF('Datos - Combustible y GPS'!B10="Camión",'Datos - Combustible y GPS'!C10,"")</f>
        <v/>
      </c>
      <c r="C22" s="41" t="str">
        <f aca="false">IF(AND('Datos - Combustible y GPS'!B10="Camión",ISNUMBER('Datos - Combustible y GPS'!E10)),'Datos - Combustible y GPS'!E10,"")</f>
        <v/>
      </c>
      <c r="D22" s="44" t="str">
        <f aca="false">IFERROR(C22/B22,"")</f>
        <v/>
      </c>
    </row>
    <row r="24" customFormat="false" ht="15" hidden="false" customHeight="true" outlineLevel="0" collapsed="false">
      <c r="A24" s="10" t="s">
        <v>175</v>
      </c>
      <c r="B24" s="10"/>
      <c r="C24" s="10"/>
      <c r="D24" s="10"/>
      <c r="E24" s="10"/>
    </row>
    <row r="25" customFormat="false" ht="15" hidden="false" customHeight="true" outlineLevel="0" collapsed="false">
      <c r="A25" s="39" t="s">
        <v>176</v>
      </c>
      <c r="B25" s="39"/>
      <c r="C25" s="39"/>
      <c r="D25" s="39"/>
      <c r="E25" s="39"/>
    </row>
    <row r="26" customFormat="false" ht="15" hidden="false" customHeight="true" outlineLevel="0" collapsed="false">
      <c r="A26" s="4" t="s">
        <v>177</v>
      </c>
      <c r="B26" s="4" t="s">
        <v>178</v>
      </c>
    </row>
    <row r="27" customFormat="false" ht="15" hidden="false" customHeight="true" outlineLevel="0" collapsed="false">
      <c r="A27" s="5" t="s">
        <v>129</v>
      </c>
      <c r="B27" s="45" t="n">
        <f aca="false">SUMIFS('Datos - Cartola Jul'!$D$5:$D$167,'Datos - Cartola Jul'!$C$5:$C$167,"mantencion",'Datos - Cartola Jul'!$B$5:$B$167,"egreso",'Datos - Cartola Jul'!$F$5:$F$167,A27)/Presupuesto!$B$21</f>
        <v>0</v>
      </c>
    </row>
    <row r="28" customFormat="false" ht="15" hidden="false" customHeight="true" outlineLevel="0" collapsed="false">
      <c r="A28" s="5" t="s">
        <v>130</v>
      </c>
      <c r="B28" s="45" t="n">
        <f aca="false">SUMIFS('Datos - Cartola Jul'!$D$5:$D$167,'Datos - Cartola Jul'!$C$5:$C$167,"mantencion",'Datos - Cartola Jul'!$B$5:$B$167,"egreso",'Datos - Cartola Jul'!$F$5:$F$167,A28)/Presupuesto!$B$21</f>
        <v>0</v>
      </c>
    </row>
    <row r="29" customFormat="false" ht="15" hidden="false" customHeight="true" outlineLevel="0" collapsed="false">
      <c r="A29" s="5" t="s">
        <v>131</v>
      </c>
      <c r="B29" s="45" t="n">
        <f aca="false">SUMIFS('Datos - Cartola Jul'!$D$5:$D$167,'Datos - Cartola Jul'!$C$5:$C$167,"mantencion",'Datos - Cartola Jul'!$B$5:$B$167,"egreso",'Datos - Cartola Jul'!$F$5:$F$167,A29)/Presupuesto!$B$21</f>
        <v>0</v>
      </c>
    </row>
    <row r="30" customFormat="false" ht="15" hidden="false" customHeight="true" outlineLevel="0" collapsed="false">
      <c r="A30" s="5" t="s">
        <v>132</v>
      </c>
      <c r="B30" s="45" t="n">
        <f aca="false">SUMIFS('Datos - Cartola Jul'!$D$5:$D$167,'Datos - Cartola Jul'!$C$5:$C$167,"mantencion",'Datos - Cartola Jul'!$B$5:$B$167,"egreso",'Datos - Cartola Jul'!$F$5:$F$167,A30)/Presupuesto!$B$21</f>
        <v>0</v>
      </c>
    </row>
    <row r="31" customFormat="false" ht="15" hidden="false" customHeight="true" outlineLevel="0" collapsed="false">
      <c r="A31" s="5" t="s">
        <v>133</v>
      </c>
      <c r="B31" s="45" t="n">
        <f aca="false">SUMIFS('Datos - Cartola Jul'!$D$5:$D$167,'Datos - Cartola Jul'!$C$5:$C$167,"mantencion",'Datos - Cartola Jul'!$B$5:$B$167,"egreso",'Datos - Cartola Jul'!$F$5:$F$167,A31)/Presupuesto!$B$21</f>
        <v>0</v>
      </c>
    </row>
    <row r="32" customFormat="false" ht="15" hidden="false" customHeight="true" outlineLevel="0" collapsed="false">
      <c r="A32" s="11" t="s">
        <v>179</v>
      </c>
      <c r="B32" s="12" t="n">
        <f aca="false">B27+B28+B29+B30+B31</f>
        <v>0</v>
      </c>
    </row>
    <row r="33" customFormat="false" ht="15" hidden="false" customHeight="true" outlineLevel="0" collapsed="false">
      <c r="A33" s="46" t="s">
        <v>180</v>
      </c>
      <c r="B33" s="23" t="n">
        <f aca="false">B32/SUMIFS('Datos - Combustible y GPS'!E4:E10,'Datos - Combustible y GPS'!B4:B10,"Camión")</f>
        <v>0</v>
      </c>
    </row>
    <row r="35" customFormat="false" ht="15" hidden="false" customHeight="true" outlineLevel="0" collapsed="false">
      <c r="A35" s="10" t="s">
        <v>181</v>
      </c>
      <c r="B35" s="10"/>
      <c r="C35" s="10"/>
      <c r="D35" s="10"/>
    </row>
    <row r="36" customFormat="false" ht="15" hidden="false" customHeight="true" outlineLevel="0" collapsed="false">
      <c r="A36" s="25" t="s">
        <v>182</v>
      </c>
      <c r="B36" s="12" t="n">
        <f aca="false">Presupuesto!$B$20</f>
        <v>23</v>
      </c>
    </row>
    <row r="37" customFormat="false" ht="25.5" hidden="false" customHeight="true" outlineLevel="0" collapsed="false">
      <c r="A37" s="4" t="s">
        <v>112</v>
      </c>
      <c r="B37" s="4" t="s">
        <v>183</v>
      </c>
      <c r="C37" s="4" t="s">
        <v>184</v>
      </c>
    </row>
    <row r="38" customFormat="false" ht="15" hidden="false" customHeight="true" outlineLevel="0" collapsed="false">
      <c r="A38" s="5" t="s">
        <v>129</v>
      </c>
      <c r="B38" s="5" t="n">
        <f aca="false">COUNTIF('Datos - GPS Dias'!$A$5:$A$70,A38)</f>
        <v>17</v>
      </c>
      <c r="C38" s="47" t="n">
        <f aca="false">B38/$B$36</f>
        <v>0.739130434782609</v>
      </c>
    </row>
    <row r="39" customFormat="false" ht="15" hidden="false" customHeight="true" outlineLevel="0" collapsed="false">
      <c r="A39" s="5" t="s">
        <v>130</v>
      </c>
      <c r="B39" s="5" t="n">
        <f aca="false">COUNTIF('Datos - GPS Dias'!$A$5:$A$70,A39)</f>
        <v>10</v>
      </c>
      <c r="C39" s="47" t="n">
        <f aca="false">B39/$B$36</f>
        <v>0.434782608695652</v>
      </c>
    </row>
    <row r="40" customFormat="false" ht="15" hidden="false" customHeight="true" outlineLevel="0" collapsed="false">
      <c r="A40" s="5" t="s">
        <v>131</v>
      </c>
      <c r="B40" s="5" t="n">
        <f aca="false">COUNTIF('Datos - GPS Dias'!$A$5:$A$70,A40)</f>
        <v>18</v>
      </c>
      <c r="C40" s="47" t="n">
        <f aca="false">B40/$B$36</f>
        <v>0.782608695652174</v>
      </c>
    </row>
    <row r="41" customFormat="false" ht="15" hidden="false" customHeight="true" outlineLevel="0" collapsed="false">
      <c r="A41" s="5" t="s">
        <v>132</v>
      </c>
      <c r="B41" s="5" t="n">
        <f aca="false">COUNTIF('Datos - GPS Dias'!$A$5:$A$70,A41)</f>
        <v>11</v>
      </c>
      <c r="C41" s="47" t="n">
        <f aca="false">B41/$B$36</f>
        <v>0.478260869565217</v>
      </c>
    </row>
    <row r="42" customFormat="false" ht="15" hidden="false" customHeight="true" outlineLevel="0" collapsed="false">
      <c r="A42" s="5" t="s">
        <v>133</v>
      </c>
      <c r="B42" s="5" t="n">
        <f aca="false">COUNTIF('Datos - GPS Dias'!$A$5:$A$70,A42)</f>
        <v>9</v>
      </c>
      <c r="C42" s="47" t="n">
        <f aca="false">B42/$B$36</f>
        <v>0.391304347826087</v>
      </c>
    </row>
    <row r="43" customFormat="false" ht="15" hidden="false" customHeight="true" outlineLevel="0" collapsed="false">
      <c r="A43" s="5" t="s">
        <v>134</v>
      </c>
      <c r="B43" s="5" t="n">
        <v>0</v>
      </c>
      <c r="C43" s="47" t="n">
        <f aca="false">B43/$B$36</f>
        <v>0</v>
      </c>
    </row>
    <row r="45" customFormat="false" ht="15" hidden="false" customHeight="true" outlineLevel="0" collapsed="false">
      <c r="A45" s="39" t="s">
        <v>185</v>
      </c>
      <c r="B45" s="39"/>
      <c r="C45" s="39"/>
      <c r="D45" s="39"/>
    </row>
    <row r="47" customFormat="false" ht="15" hidden="false" customHeight="true" outlineLevel="0" collapsed="false"/>
  </sheetData>
  <mergeCells count="8">
    <mergeCell ref="A1:E1"/>
    <mergeCell ref="A2:E2"/>
    <mergeCell ref="A4:E4"/>
    <mergeCell ref="A14:E14"/>
    <mergeCell ref="A24:E24"/>
    <mergeCell ref="A25:E25"/>
    <mergeCell ref="A35:D35"/>
    <mergeCell ref="A45:D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6"/>
    <col collapsed="false" customWidth="true" hidden="false" outlineLevel="0" max="4" min="4" style="1" width="14"/>
    <col collapsed="false" customWidth="true" hidden="false" outlineLevel="0" max="5" min="5" style="1" width="20"/>
    <col collapsed="false" customWidth="true" hidden="false" outlineLevel="0" max="7" min="6" style="1" width="16"/>
    <col collapsed="false" customWidth="true" hidden="false" outlineLevel="0" max="8" min="8" style="1" width="12"/>
    <col collapsed="false" customWidth="true" hidden="false" outlineLevel="0" max="9" min="9" style="1" width="20"/>
    <col collapsed="false" customWidth="true" hidden="false" outlineLevel="0" max="11" min="10" style="1" width="18"/>
    <col collapsed="false" customWidth="true" hidden="false" outlineLevel="0" max="12" min="12" style="1" width="20"/>
  </cols>
  <sheetData>
    <row r="1" customFormat="false" ht="17.25" hidden="false" customHeight="true" outlineLevel="0" collapsed="false">
      <c r="A1" s="2" t="s">
        <v>186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48" t="s">
        <v>112</v>
      </c>
      <c r="B3" s="48" t="s">
        <v>187</v>
      </c>
      <c r="C3" s="48" t="s">
        <v>146</v>
      </c>
      <c r="D3" s="48" t="s">
        <v>188</v>
      </c>
      <c r="E3" s="48" t="s">
        <v>189</v>
      </c>
      <c r="F3" s="48" t="s">
        <v>190</v>
      </c>
      <c r="G3" s="48" t="s">
        <v>191</v>
      </c>
      <c r="H3" s="48" t="s">
        <v>192</v>
      </c>
      <c r="I3" s="48" t="s">
        <v>193</v>
      </c>
      <c r="J3" s="48" t="s">
        <v>194</v>
      </c>
      <c r="K3" s="48" t="s">
        <v>195</v>
      </c>
      <c r="L3" s="48" t="s">
        <v>196</v>
      </c>
    </row>
    <row r="4" customFormat="false" ht="15" hidden="false" customHeight="true" outlineLevel="0" collapsed="false">
      <c r="A4" s="5" t="s">
        <v>197</v>
      </c>
      <c r="B4" s="49" t="s">
        <v>198</v>
      </c>
      <c r="C4" s="5" t="s">
        <v>150</v>
      </c>
      <c r="D4" s="5" t="s">
        <v>199</v>
      </c>
      <c r="E4" s="5" t="s">
        <v>200</v>
      </c>
      <c r="F4" s="42" t="n">
        <v>479999.59</v>
      </c>
      <c r="G4" s="42" t="n">
        <f aca="false">F4/1.19</f>
        <v>403361</v>
      </c>
      <c r="H4" s="5" t="s">
        <v>201</v>
      </c>
      <c r="I4" s="5" t="s">
        <v>202</v>
      </c>
      <c r="J4" s="5" t="str">
        <f aca="false">IF(A4="DSDV36","DVDS36",A4)</f>
        <v>DVDS36</v>
      </c>
      <c r="K4" s="5" t="n">
        <f aca="false">IF(SUMPRODUCT(('Datos - GPS Dias'!$A$5:$A$70=J4)*('Datos - GPS Dias'!$B$5:$B$70=TEXT(B4,"yyyy-mm-dd")))&gt;0,1,0)</f>
        <v>1</v>
      </c>
      <c r="L4" s="5" t="n">
        <f aca="false">IF(AND(COUNTIFS($I$4:I4,I4,$B$4:B4,B4)=1,K4=1),1,0)</f>
        <v>1</v>
      </c>
    </row>
    <row r="5" customFormat="false" ht="15" hidden="false" customHeight="true" outlineLevel="0" collapsed="false">
      <c r="A5" s="5" t="s">
        <v>197</v>
      </c>
      <c r="B5" s="49" t="s">
        <v>198</v>
      </c>
      <c r="C5" s="5" t="s">
        <v>150</v>
      </c>
      <c r="D5" s="5" t="s">
        <v>203</v>
      </c>
      <c r="E5" s="5" t="s">
        <v>204</v>
      </c>
      <c r="F5" s="42" t="n">
        <v>40000.66</v>
      </c>
      <c r="G5" s="42" t="n">
        <f aca="false">F5/1.19</f>
        <v>33614</v>
      </c>
      <c r="H5" s="5" t="s">
        <v>201</v>
      </c>
      <c r="I5" s="5" t="s">
        <v>202</v>
      </c>
      <c r="J5" s="5" t="str">
        <f aca="false">IF(A5="DSDV36","DVDS36",A5)</f>
        <v>DVDS36</v>
      </c>
      <c r="K5" s="5" t="n">
        <f aca="false">IF(SUMPRODUCT(('Datos - GPS Dias'!$A$5:$A$70=J5)*('Datos - GPS Dias'!$B$5:$B$70=TEXT(B5,"yyyy-mm-dd")))&gt;0,1,0)</f>
        <v>1</v>
      </c>
      <c r="L5" s="5" t="n">
        <f aca="false">IF(AND(COUNTIFS($I$4:I5,I5,$B$4:B5,B5)=1,K5=1),1,0)</f>
        <v>0</v>
      </c>
    </row>
    <row r="6" customFormat="false" ht="15" hidden="false" customHeight="true" outlineLevel="0" collapsed="false">
      <c r="A6" s="5" t="s">
        <v>197</v>
      </c>
      <c r="B6" s="49" t="s">
        <v>198</v>
      </c>
      <c r="C6" s="5" t="s">
        <v>154</v>
      </c>
      <c r="D6" s="5" t="s">
        <v>205</v>
      </c>
      <c r="E6" s="5" t="s">
        <v>206</v>
      </c>
      <c r="F6" s="42" t="n">
        <v>380000.32</v>
      </c>
      <c r="G6" s="42" t="n">
        <f aca="false">F6/1.19</f>
        <v>319328</v>
      </c>
      <c r="H6" s="5" t="s">
        <v>207</v>
      </c>
      <c r="I6" s="5" t="s">
        <v>208</v>
      </c>
      <c r="J6" s="5" t="str">
        <f aca="false">IF(A6="DSDV36","DVDS36",A6)</f>
        <v>DVDS36</v>
      </c>
      <c r="K6" s="5" t="n">
        <f aca="false">IF(SUMPRODUCT(('Datos - GPS Dias'!$A$5:$A$70=J6)*('Datos - GPS Dias'!$B$5:$B$70=TEXT(B6,"yyyy-mm-dd")))&gt;0,1,0)</f>
        <v>1</v>
      </c>
      <c r="L6" s="5" t="n">
        <f aca="false">IF(AND(COUNTIFS($I$4:I6,I6,$B$4:B6,B6)=1,K6=1),1,0)</f>
        <v>1</v>
      </c>
    </row>
    <row r="7" customFormat="false" ht="15" hidden="false" customHeight="true" outlineLevel="0" collapsed="false">
      <c r="A7" s="5" t="s">
        <v>131</v>
      </c>
      <c r="B7" s="49" t="s">
        <v>198</v>
      </c>
      <c r="C7" s="5" t="s">
        <v>149</v>
      </c>
      <c r="D7" s="5" t="s">
        <v>209</v>
      </c>
      <c r="E7" s="5" t="s">
        <v>210</v>
      </c>
      <c r="F7" s="42" t="n">
        <v>808248</v>
      </c>
      <c r="G7" s="42" t="n">
        <f aca="false">F7/1.19</f>
        <v>679200</v>
      </c>
      <c r="H7" s="5" t="s">
        <v>201</v>
      </c>
      <c r="I7" s="5" t="s">
        <v>202</v>
      </c>
      <c r="J7" s="5" t="str">
        <f aca="false">IF(A7="DSDV36","DVDS36",A7)</f>
        <v>GKFD84</v>
      </c>
      <c r="K7" s="5" t="n">
        <f aca="false">IF(SUMPRODUCT(('Datos - GPS Dias'!$A$5:$A$70=J7)*('Datos - GPS Dias'!$B$5:$B$70=TEXT(B7,"yyyy-mm-dd")))&gt;0,1,0)</f>
        <v>0</v>
      </c>
      <c r="L7" s="5" t="n">
        <f aca="false">IF(AND(COUNTIFS($I$4:I7,I7,$B$4:B7,B7)=1,K7=1),1,0)</f>
        <v>0</v>
      </c>
    </row>
    <row r="8" customFormat="false" ht="15" hidden="false" customHeight="true" outlineLevel="0" collapsed="false">
      <c r="A8" s="5" t="s">
        <v>131</v>
      </c>
      <c r="B8" s="49" t="s">
        <v>211</v>
      </c>
      <c r="C8" s="5" t="s">
        <v>149</v>
      </c>
      <c r="D8" s="5" t="s">
        <v>212</v>
      </c>
      <c r="E8" s="5" t="s">
        <v>209</v>
      </c>
      <c r="F8" s="42" t="n">
        <v>746368</v>
      </c>
      <c r="G8" s="42" t="n">
        <f aca="false">F8/1.19</f>
        <v>627200</v>
      </c>
      <c r="H8" s="5" t="s">
        <v>201</v>
      </c>
      <c r="I8" s="5" t="s">
        <v>202</v>
      </c>
      <c r="J8" s="5" t="str">
        <f aca="false">IF(A8="DSDV36","DVDS36",A8)</f>
        <v>GKFD84</v>
      </c>
      <c r="K8" s="5" t="n">
        <f aca="false">IF(SUMPRODUCT(('Datos - GPS Dias'!$A$5:$A$70=J8)*('Datos - GPS Dias'!$B$5:$B$70=TEXT(B8,"yyyy-mm-dd")))&gt;0,1,0)</f>
        <v>1</v>
      </c>
      <c r="L8" s="5" t="n">
        <f aca="false">IF(AND(COUNTIFS($I$4:I8,I8,$B$4:B8,B8)=1,K8=1),1,0)</f>
        <v>1</v>
      </c>
    </row>
    <row r="9" customFormat="false" ht="15" hidden="false" customHeight="true" outlineLevel="0" collapsed="false">
      <c r="A9" s="5" t="s">
        <v>197</v>
      </c>
      <c r="B9" s="49" t="s">
        <v>211</v>
      </c>
      <c r="C9" s="5" t="s">
        <v>150</v>
      </c>
      <c r="D9" s="5" t="s">
        <v>199</v>
      </c>
      <c r="E9" s="5" t="s">
        <v>200</v>
      </c>
      <c r="F9" s="42" t="n">
        <v>478500</v>
      </c>
      <c r="G9" s="42" t="n">
        <f aca="false">F9/1.19</f>
        <v>402100.840336135</v>
      </c>
      <c r="H9" s="5" t="s">
        <v>201</v>
      </c>
      <c r="I9" s="5" t="s">
        <v>213</v>
      </c>
      <c r="J9" s="5" t="str">
        <f aca="false">IF(A9="DSDV36","DVDS36",A9)</f>
        <v>DVDS36</v>
      </c>
      <c r="K9" s="5" t="n">
        <f aca="false">IF(SUMPRODUCT(('Datos - GPS Dias'!$A$5:$A$70=J9)*('Datos - GPS Dias'!$B$5:$B$70=TEXT(B9,"yyyy-mm-dd")))&gt;0,1,0)</f>
        <v>1</v>
      </c>
      <c r="L9" s="5" t="n">
        <f aca="false">IF(AND(COUNTIFS($I$4:I9,I9,$B$4:B9,B9)=1,K9=1),1,0)</f>
        <v>1</v>
      </c>
    </row>
    <row r="10" customFormat="false" ht="15" hidden="false" customHeight="true" outlineLevel="0" collapsed="false">
      <c r="A10" s="5" t="s">
        <v>131</v>
      </c>
      <c r="B10" s="49" t="s">
        <v>214</v>
      </c>
      <c r="C10" s="5" t="s">
        <v>149</v>
      </c>
      <c r="D10" s="5" t="s">
        <v>209</v>
      </c>
      <c r="E10" s="5" t="s">
        <v>215</v>
      </c>
      <c r="F10" s="42" t="n">
        <v>609280</v>
      </c>
      <c r="G10" s="42" t="n">
        <f aca="false">F10/1.19</f>
        <v>512000</v>
      </c>
      <c r="H10" s="5" t="s">
        <v>201</v>
      </c>
      <c r="I10" s="5" t="s">
        <v>202</v>
      </c>
      <c r="J10" s="5" t="str">
        <f aca="false">IF(A10="DSDV36","DVDS36",A10)</f>
        <v>GKFD84</v>
      </c>
      <c r="K10" s="5" t="n">
        <f aca="false">IF(SUMPRODUCT(('Datos - GPS Dias'!$A$5:$A$70=J10)*('Datos - GPS Dias'!$B$5:$B$70=TEXT(B10,"yyyy-mm-dd")))&gt;0,1,0)</f>
        <v>1</v>
      </c>
      <c r="L10" s="5" t="n">
        <f aca="false">IF(AND(COUNTIFS($I$4:I10,I10,$B$4:B10,B10)=1,K10=1),1,0)</f>
        <v>1</v>
      </c>
    </row>
    <row r="11" customFormat="false" ht="15" hidden="false" customHeight="true" outlineLevel="0" collapsed="false">
      <c r="A11" s="5" t="s">
        <v>197</v>
      </c>
      <c r="B11" s="49" t="s">
        <v>216</v>
      </c>
      <c r="C11" s="5" t="s">
        <v>150</v>
      </c>
      <c r="D11" s="5" t="s">
        <v>204</v>
      </c>
      <c r="E11" s="5" t="s">
        <v>200</v>
      </c>
      <c r="F11" s="42" t="n">
        <v>478500</v>
      </c>
      <c r="G11" s="42" t="n">
        <f aca="false">F11/1.19</f>
        <v>402100.840336135</v>
      </c>
      <c r="H11" s="5" t="s">
        <v>201</v>
      </c>
      <c r="I11" s="5" t="s">
        <v>202</v>
      </c>
      <c r="J11" s="5" t="str">
        <f aca="false">IF(A11="DSDV36","DVDS36",A11)</f>
        <v>DVDS36</v>
      </c>
      <c r="K11" s="5" t="n">
        <f aca="false">IF(SUMPRODUCT(('Datos - GPS Dias'!$A$5:$A$70=J11)*('Datos - GPS Dias'!$B$5:$B$70=TEXT(B11,"yyyy-mm-dd")))&gt;0,1,0)</f>
        <v>1</v>
      </c>
      <c r="L11" s="5" t="n">
        <f aca="false">IF(AND(COUNTIFS($I$4:I11,I11,$B$4:B11,B11)=1,K11=1),1,0)</f>
        <v>1</v>
      </c>
    </row>
    <row r="12" customFormat="false" ht="15" hidden="false" customHeight="true" outlineLevel="0" collapsed="false">
      <c r="A12" s="5" t="s">
        <v>197</v>
      </c>
      <c r="B12" s="49" t="s">
        <v>217</v>
      </c>
      <c r="C12" s="5" t="s">
        <v>150</v>
      </c>
      <c r="D12" s="5" t="s">
        <v>204</v>
      </c>
      <c r="E12" s="5" t="s">
        <v>200</v>
      </c>
      <c r="F12" s="42" t="n">
        <v>478500</v>
      </c>
      <c r="G12" s="42" t="n">
        <f aca="false">F12/1.19</f>
        <v>402100.840336135</v>
      </c>
      <c r="H12" s="5" t="s">
        <v>201</v>
      </c>
      <c r="I12" s="5" t="s">
        <v>213</v>
      </c>
      <c r="J12" s="5" t="str">
        <f aca="false">IF(A12="DSDV36","DVDS36",A12)</f>
        <v>DVDS36</v>
      </c>
      <c r="K12" s="5" t="n">
        <f aca="false">IF(SUMPRODUCT(('Datos - GPS Dias'!$A$5:$A$70=J12)*('Datos - GPS Dias'!$B$5:$B$70=TEXT(B12,"yyyy-mm-dd")))&gt;0,1,0)</f>
        <v>0</v>
      </c>
      <c r="L12" s="5" t="n">
        <f aca="false">IF(AND(COUNTIFS($I$4:I12,I12,$B$4:B12,B12)=1,K12=1),1,0)</f>
        <v>0</v>
      </c>
    </row>
    <row r="13" customFormat="false" ht="15" hidden="false" customHeight="true" outlineLevel="0" collapsed="false">
      <c r="A13" s="5" t="s">
        <v>131</v>
      </c>
      <c r="B13" s="49" t="s">
        <v>218</v>
      </c>
      <c r="C13" s="5" t="s">
        <v>149</v>
      </c>
      <c r="D13" s="5" t="s">
        <v>209</v>
      </c>
      <c r="E13" s="5" t="s">
        <v>219</v>
      </c>
      <c r="F13" s="42" t="n">
        <v>889168</v>
      </c>
      <c r="G13" s="42" t="n">
        <f aca="false">F13/1.19</f>
        <v>747200</v>
      </c>
      <c r="H13" s="5" t="s">
        <v>207</v>
      </c>
      <c r="I13" s="5" t="s">
        <v>202</v>
      </c>
      <c r="J13" s="5" t="str">
        <f aca="false">IF(A13="DSDV36","DVDS36",A13)</f>
        <v>GKFD84</v>
      </c>
      <c r="K13" s="5" t="n">
        <f aca="false">IF(SUMPRODUCT(('Datos - GPS Dias'!$A$5:$A$70=J13)*('Datos - GPS Dias'!$B$5:$B$70=TEXT(B13,"yyyy-mm-dd")))&gt;0,1,0)</f>
        <v>1</v>
      </c>
      <c r="L13" s="5" t="n">
        <f aca="false">IF(AND(COUNTIFS($I$4:I13,I13,$B$4:B13,B13)=1,K13=1),1,0)</f>
        <v>1</v>
      </c>
    </row>
    <row r="14" customFormat="false" ht="15" hidden="false" customHeight="true" outlineLevel="0" collapsed="false">
      <c r="A14" s="5" t="s">
        <v>132</v>
      </c>
      <c r="B14" s="49" t="s">
        <v>220</v>
      </c>
      <c r="C14" s="5" t="s">
        <v>149</v>
      </c>
      <c r="D14" s="5" t="s">
        <v>221</v>
      </c>
      <c r="E14" s="5" t="s">
        <v>222</v>
      </c>
      <c r="F14" s="42" t="n">
        <v>889168</v>
      </c>
      <c r="G14" s="42" t="n">
        <f aca="false">F14/1.19</f>
        <v>747200</v>
      </c>
      <c r="H14" s="5" t="s">
        <v>207</v>
      </c>
      <c r="I14" s="5" t="s">
        <v>223</v>
      </c>
      <c r="J14" s="5" t="str">
        <f aca="false">IF(A14="DSDV36","DVDS36",A14)</f>
        <v>WR9192</v>
      </c>
      <c r="K14" s="5" t="n">
        <f aca="false">IF(SUMPRODUCT(('Datos - GPS Dias'!$A$5:$A$70=J14)*('Datos - GPS Dias'!$B$5:$B$70=TEXT(B14,"yyyy-mm-dd")))&gt;0,1,0)</f>
        <v>1</v>
      </c>
      <c r="L14" s="5" t="n">
        <f aca="false">IF(AND(COUNTIFS($I$4:I14,I14,$B$4:B14,B14)=1,K14=1),1,0)</f>
        <v>1</v>
      </c>
    </row>
    <row r="15" customFormat="false" ht="15" hidden="false" customHeight="true" outlineLevel="0" collapsed="false">
      <c r="A15" s="5" t="s">
        <v>131</v>
      </c>
      <c r="B15" s="49" t="s">
        <v>220</v>
      </c>
      <c r="C15" s="5" t="s">
        <v>149</v>
      </c>
      <c r="D15" s="5" t="s">
        <v>221</v>
      </c>
      <c r="E15" s="5" t="s">
        <v>224</v>
      </c>
      <c r="F15" s="42" t="n">
        <v>609280</v>
      </c>
      <c r="G15" s="42" t="n">
        <f aca="false">F15/1.19</f>
        <v>512000</v>
      </c>
      <c r="H15" s="5" t="s">
        <v>207</v>
      </c>
      <c r="I15" s="5" t="s">
        <v>202</v>
      </c>
      <c r="J15" s="5" t="str">
        <f aca="false">IF(A15="DSDV36","DVDS36",A15)</f>
        <v>GKFD84</v>
      </c>
      <c r="K15" s="5" t="n">
        <f aca="false">IF(SUMPRODUCT(('Datos - GPS Dias'!$A$5:$A$70=J15)*('Datos - GPS Dias'!$B$5:$B$70=TEXT(B15,"yyyy-mm-dd")))&gt;0,1,0)</f>
        <v>1</v>
      </c>
      <c r="L15" s="5" t="n">
        <f aca="false">IF(AND(COUNTIFS($I$4:I15,I15,$B$4:B15,B15)=1,K15=1),1,0)</f>
        <v>1</v>
      </c>
    </row>
    <row r="16" customFormat="false" ht="15" hidden="false" customHeight="true" outlineLevel="0" collapsed="false">
      <c r="A16" s="5" t="s">
        <v>131</v>
      </c>
      <c r="B16" s="49" t="s">
        <v>225</v>
      </c>
      <c r="C16" s="5" t="s">
        <v>150</v>
      </c>
      <c r="D16" s="5" t="s">
        <v>204</v>
      </c>
      <c r="E16" s="5" t="s">
        <v>200</v>
      </c>
      <c r="F16" s="42" t="n">
        <v>478500</v>
      </c>
      <c r="G16" s="42" t="n">
        <f aca="false">F16/1.19</f>
        <v>402100.840336135</v>
      </c>
      <c r="H16" s="5" t="s">
        <v>201</v>
      </c>
      <c r="I16" s="5" t="s">
        <v>202</v>
      </c>
      <c r="J16" s="5" t="str">
        <f aca="false">IF(A16="DSDV36","DVDS36",A16)</f>
        <v>GKFD84</v>
      </c>
      <c r="K16" s="5" t="n">
        <f aca="false">IF(SUMPRODUCT(('Datos - GPS Dias'!$A$5:$A$70=J16)*('Datos - GPS Dias'!$B$5:$B$70=TEXT(B16,"yyyy-mm-dd")))&gt;0,1,0)</f>
        <v>1</v>
      </c>
      <c r="L16" s="5" t="n">
        <f aca="false">IF(AND(COUNTIFS($I$4:I16,I16,$B$4:B16,B16)=1,K16=1),1,0)</f>
        <v>1</v>
      </c>
    </row>
    <row r="17" customFormat="false" ht="15" hidden="false" customHeight="true" outlineLevel="0" collapsed="false">
      <c r="A17" s="5" t="s">
        <v>131</v>
      </c>
      <c r="B17" s="49" t="s">
        <v>226</v>
      </c>
      <c r="C17" s="5" t="s">
        <v>153</v>
      </c>
      <c r="D17" s="5" t="s">
        <v>227</v>
      </c>
      <c r="E17" s="5" t="s">
        <v>204</v>
      </c>
      <c r="F17" s="42" t="n">
        <v>345100</v>
      </c>
      <c r="G17" s="42" t="n">
        <f aca="false">F17/1.19</f>
        <v>290000</v>
      </c>
      <c r="H17" s="5" t="s">
        <v>207</v>
      </c>
      <c r="I17" s="5" t="s">
        <v>213</v>
      </c>
      <c r="J17" s="5" t="str">
        <f aca="false">IF(A17="DSDV36","DVDS36",A17)</f>
        <v>GKFD84</v>
      </c>
      <c r="K17" s="5" t="n">
        <f aca="false">IF(SUMPRODUCT(('Datos - GPS Dias'!$A$5:$A$70=J17)*('Datos - GPS Dias'!$B$5:$B$70=TEXT(B17,"yyyy-mm-dd")))&gt;0,1,0)</f>
        <v>1</v>
      </c>
      <c r="L17" s="5" t="n">
        <f aca="false">IF(AND(COUNTIFS($I$4:I17,I17,$B$4:B17,B17)=1,K17=1),1,0)</f>
        <v>1</v>
      </c>
    </row>
    <row r="18" customFormat="false" ht="15" hidden="false" customHeight="true" outlineLevel="0" collapsed="false">
      <c r="A18" s="5" t="s">
        <v>131</v>
      </c>
      <c r="B18" s="49" t="s">
        <v>228</v>
      </c>
      <c r="C18" s="5" t="s">
        <v>153</v>
      </c>
      <c r="D18" s="5" t="s">
        <v>227</v>
      </c>
      <c r="E18" s="5" t="s">
        <v>204</v>
      </c>
      <c r="F18" s="42" t="n">
        <v>345100</v>
      </c>
      <c r="G18" s="42" t="n">
        <f aca="false">F18/1.19</f>
        <v>290000</v>
      </c>
      <c r="H18" s="5" t="s">
        <v>207</v>
      </c>
      <c r="I18" s="5" t="s">
        <v>213</v>
      </c>
      <c r="J18" s="5" t="str">
        <f aca="false">IF(A18="DSDV36","DVDS36",A18)</f>
        <v>GKFD84</v>
      </c>
      <c r="K18" s="5" t="n">
        <f aca="false">IF(SUMPRODUCT(('Datos - GPS Dias'!$A$5:$A$70=J18)*('Datos - GPS Dias'!$B$5:$B$70=TEXT(B18,"yyyy-mm-dd")))&gt;0,1,0)</f>
        <v>1</v>
      </c>
      <c r="L18" s="5" t="n">
        <f aca="false">IF(AND(COUNTIFS($I$4:I18,I18,$B$4:B18,B18)=1,K18=1),1,0)</f>
        <v>1</v>
      </c>
    </row>
    <row r="19" customFormat="false" ht="15" hidden="false" customHeight="true" outlineLevel="0" collapsed="false">
      <c r="A19" s="5" t="s">
        <v>133</v>
      </c>
      <c r="B19" s="49" t="s">
        <v>229</v>
      </c>
      <c r="C19" s="5" t="s">
        <v>150</v>
      </c>
      <c r="D19" s="5" t="s">
        <v>204</v>
      </c>
      <c r="E19" s="5" t="s">
        <v>200</v>
      </c>
      <c r="F19" s="42" t="n">
        <v>478500</v>
      </c>
      <c r="G19" s="42" t="n">
        <f aca="false">F19/1.19</f>
        <v>402100.840336135</v>
      </c>
      <c r="H19" s="5" t="s">
        <v>201</v>
      </c>
      <c r="I19" s="5" t="s">
        <v>213</v>
      </c>
      <c r="J19" s="5" t="str">
        <f aca="false">IF(A19="DSDV36","DVDS36",A19)</f>
        <v>XR8555</v>
      </c>
      <c r="K19" s="5" t="n">
        <f aca="false">IF(SUMPRODUCT(('Datos - GPS Dias'!$A$5:$A$70=J19)*('Datos - GPS Dias'!$B$5:$B$70=TEXT(B19,"yyyy-mm-dd")))&gt;0,1,0)</f>
        <v>1</v>
      </c>
      <c r="L19" s="5" t="n">
        <f aca="false">IF(AND(COUNTIFS($I$4:I19,I19,$B$4:B19,B19)=1,K19=1),1,0)</f>
        <v>1</v>
      </c>
    </row>
    <row r="20" customFormat="false" ht="15" hidden="false" customHeight="true" outlineLevel="0" collapsed="false">
      <c r="A20" s="5" t="s">
        <v>197</v>
      </c>
      <c r="B20" s="49" t="s">
        <v>230</v>
      </c>
      <c r="C20" s="5" t="s">
        <v>150</v>
      </c>
      <c r="D20" s="5" t="s">
        <v>204</v>
      </c>
      <c r="E20" s="5" t="s">
        <v>200</v>
      </c>
      <c r="F20" s="42" t="n">
        <v>478500</v>
      </c>
      <c r="G20" s="42" t="n">
        <f aca="false">F20/1.19</f>
        <v>402100.840336135</v>
      </c>
      <c r="H20" s="5" t="s">
        <v>201</v>
      </c>
      <c r="I20" s="5" t="s">
        <v>213</v>
      </c>
      <c r="J20" s="5" t="str">
        <f aca="false">IF(A20="DSDV36","DVDS36",A20)</f>
        <v>DVDS36</v>
      </c>
      <c r="K20" s="5" t="n">
        <f aca="false">IF(SUMPRODUCT(('Datos - GPS Dias'!$A$5:$A$70=J20)*('Datos - GPS Dias'!$B$5:$B$70=TEXT(B20,"yyyy-mm-dd")))&gt;0,1,0)</f>
        <v>1</v>
      </c>
      <c r="L20" s="5" t="n">
        <f aca="false">IF(AND(COUNTIFS($I$4:I20,I20,$B$4:B20,B20)=1,K20=1),1,0)</f>
        <v>1</v>
      </c>
    </row>
    <row r="21" customFormat="false" ht="15" hidden="false" customHeight="true" outlineLevel="0" collapsed="false">
      <c r="A21" s="5" t="s">
        <v>130</v>
      </c>
      <c r="B21" s="49" t="s">
        <v>226</v>
      </c>
      <c r="C21" s="5" t="s">
        <v>149</v>
      </c>
      <c r="D21" s="5" t="s">
        <v>209</v>
      </c>
      <c r="E21" s="5" t="s">
        <v>231</v>
      </c>
      <c r="F21" s="42" t="n">
        <v>421260</v>
      </c>
      <c r="G21" s="42" t="n">
        <f aca="false">F21/1.19</f>
        <v>354000</v>
      </c>
      <c r="H21" s="5" t="s">
        <v>201</v>
      </c>
      <c r="I21" s="5" t="s">
        <v>223</v>
      </c>
      <c r="J21" s="5" t="str">
        <f aca="false">IF(A21="DSDV36","DVDS36",A21)</f>
        <v>GCFF12</v>
      </c>
      <c r="K21" s="5" t="n">
        <f aca="false">IF(SUMPRODUCT(('Datos - GPS Dias'!$A$5:$A$70=J21)*('Datos - GPS Dias'!$B$5:$B$70=TEXT(B21,"yyyy-mm-dd")))&gt;0,1,0)</f>
        <v>1</v>
      </c>
      <c r="L21" s="5" t="n">
        <f aca="false">IF(AND(COUNTIFS($I$4:I21,I21,$B$4:B21,B21)=1,K21=1),1,0)</f>
        <v>1</v>
      </c>
    </row>
    <row r="22" customFormat="false" ht="15" hidden="false" customHeight="true" outlineLevel="0" collapsed="false">
      <c r="A22" s="5" t="s">
        <v>131</v>
      </c>
      <c r="B22" s="49" t="s">
        <v>226</v>
      </c>
      <c r="C22" s="5" t="s">
        <v>149</v>
      </c>
      <c r="D22" s="5" t="s">
        <v>209</v>
      </c>
      <c r="E22" s="5" t="s">
        <v>232</v>
      </c>
      <c r="F22" s="42" t="n">
        <v>680680</v>
      </c>
      <c r="G22" s="42" t="n">
        <f aca="false">F22/1.19</f>
        <v>572000</v>
      </c>
      <c r="H22" s="5" t="s">
        <v>201</v>
      </c>
      <c r="I22" s="5" t="s">
        <v>202</v>
      </c>
      <c r="J22" s="5" t="str">
        <f aca="false">IF(A22="DSDV36","DVDS36",A22)</f>
        <v>GKFD84</v>
      </c>
      <c r="K22" s="5" t="n">
        <f aca="false">IF(SUMPRODUCT(('Datos - GPS Dias'!$A$5:$A$70=J22)*('Datos - GPS Dias'!$B$5:$B$70=TEXT(B22,"yyyy-mm-dd")))&gt;0,1,0)</f>
        <v>1</v>
      </c>
      <c r="L22" s="5" t="n">
        <f aca="false">IF(AND(COUNTIFS($I$4:I22,I22,$B$4:B22,B22)=1,K22=1),1,0)</f>
        <v>1</v>
      </c>
    </row>
    <row r="23" customFormat="false" ht="15" hidden="false" customHeight="true" outlineLevel="0" collapsed="false">
      <c r="A23" s="5" t="s">
        <v>130</v>
      </c>
      <c r="B23" s="49" t="s">
        <v>226</v>
      </c>
      <c r="C23" s="5" t="s">
        <v>149</v>
      </c>
      <c r="D23" s="5" t="s">
        <v>209</v>
      </c>
      <c r="E23" s="5" t="s">
        <v>231</v>
      </c>
      <c r="F23" s="42" t="n">
        <v>421260</v>
      </c>
      <c r="G23" s="42" t="n">
        <f aca="false">F23/1.19</f>
        <v>354000</v>
      </c>
      <c r="H23" s="5" t="s">
        <v>201</v>
      </c>
      <c r="I23" s="5" t="s">
        <v>223</v>
      </c>
      <c r="J23" s="5" t="str">
        <f aca="false">IF(A23="DSDV36","DVDS36",A23)</f>
        <v>GCFF12</v>
      </c>
      <c r="K23" s="5" t="n">
        <f aca="false">IF(SUMPRODUCT(('Datos - GPS Dias'!$A$5:$A$70=J23)*('Datos - GPS Dias'!$B$5:$B$70=TEXT(B23,"yyyy-mm-dd")))&gt;0,1,0)</f>
        <v>1</v>
      </c>
      <c r="L23" s="5" t="n">
        <f aca="false">IF(AND(COUNTIFS($I$4:I23,I23,$B$4:B23,B23)=1,K23=1),1,0)</f>
        <v>0</v>
      </c>
    </row>
    <row r="24" customFormat="false" ht="15" hidden="false" customHeight="true" outlineLevel="0" collapsed="false">
      <c r="A24" s="5" t="s">
        <v>133</v>
      </c>
      <c r="B24" s="49" t="s">
        <v>233</v>
      </c>
      <c r="C24" s="5" t="s">
        <v>155</v>
      </c>
      <c r="D24" s="5" t="s">
        <v>234</v>
      </c>
      <c r="E24" s="5" t="s">
        <v>204</v>
      </c>
      <c r="F24" s="42" t="n">
        <v>119000</v>
      </c>
      <c r="G24" s="42" t="n">
        <f aca="false">F24/1.19</f>
        <v>100000</v>
      </c>
      <c r="H24" s="5" t="s">
        <v>201</v>
      </c>
      <c r="I24" s="5" t="s">
        <v>213</v>
      </c>
      <c r="J24" s="5" t="str">
        <f aca="false">IF(A24="DSDV36","DVDS36",A24)</f>
        <v>XR8555</v>
      </c>
      <c r="K24" s="5" t="n">
        <f aca="false">IF(SUMPRODUCT(('Datos - GPS Dias'!$A$5:$A$70=J24)*('Datos - GPS Dias'!$B$5:$B$70=TEXT(B24,"yyyy-mm-dd")))&gt;0,1,0)</f>
        <v>1</v>
      </c>
      <c r="L24" s="5" t="n">
        <f aca="false">IF(AND(COUNTIFS($I$4:I24,I24,$B$4:B24,B24)=1,K24=1),1,0)</f>
        <v>1</v>
      </c>
    </row>
    <row r="25" customFormat="false" ht="15" hidden="false" customHeight="true" outlineLevel="0" collapsed="false">
      <c r="A25" s="5" t="s">
        <v>130</v>
      </c>
      <c r="B25" s="49" t="s">
        <v>233</v>
      </c>
      <c r="C25" s="5" t="s">
        <v>235</v>
      </c>
      <c r="D25" s="5" t="s">
        <v>209</v>
      </c>
      <c r="E25" s="5" t="s">
        <v>236</v>
      </c>
      <c r="F25" s="42" t="n">
        <v>393652</v>
      </c>
      <c r="G25" s="42" t="n">
        <f aca="false">F25/1.19</f>
        <v>330800</v>
      </c>
      <c r="H25" s="5" t="s">
        <v>201</v>
      </c>
      <c r="I25" s="5" t="s">
        <v>223</v>
      </c>
      <c r="J25" s="5" t="str">
        <f aca="false">IF(A25="DSDV36","DVDS36",A25)</f>
        <v>GCFF12</v>
      </c>
      <c r="K25" s="5" t="n">
        <f aca="false">IF(SUMPRODUCT(('Datos - GPS Dias'!$A$5:$A$70=J25)*('Datos - GPS Dias'!$B$5:$B$70=TEXT(B25,"yyyy-mm-dd")))&gt;0,1,0)</f>
        <v>1</v>
      </c>
      <c r="L25" s="5" t="n">
        <f aca="false">IF(AND(COUNTIFS($I$4:I25,I25,$B$4:B25,B25)=1,K25=1),1,0)</f>
        <v>1</v>
      </c>
    </row>
    <row r="26" customFormat="false" ht="15" hidden="false" customHeight="true" outlineLevel="0" collapsed="false">
      <c r="A26" s="5" t="s">
        <v>130</v>
      </c>
      <c r="B26" s="49" t="s">
        <v>233</v>
      </c>
      <c r="C26" s="5" t="s">
        <v>235</v>
      </c>
      <c r="D26" s="5" t="s">
        <v>209</v>
      </c>
      <c r="E26" s="5" t="s">
        <v>236</v>
      </c>
      <c r="F26" s="42" t="n">
        <v>393652</v>
      </c>
      <c r="G26" s="42" t="n">
        <f aca="false">F26/1.19</f>
        <v>330800</v>
      </c>
      <c r="H26" s="5" t="s">
        <v>201</v>
      </c>
      <c r="I26" s="5" t="s">
        <v>202</v>
      </c>
      <c r="J26" s="5" t="str">
        <f aca="false">IF(A26="DSDV36","DVDS36",A26)</f>
        <v>GCFF12</v>
      </c>
      <c r="K26" s="5" t="n">
        <f aca="false">IF(SUMPRODUCT(('Datos - GPS Dias'!$A$5:$A$70=J26)*('Datos - GPS Dias'!$B$5:$B$70=TEXT(B26,"yyyy-mm-dd")))&gt;0,1,0)</f>
        <v>1</v>
      </c>
      <c r="L26" s="5" t="n">
        <f aca="false">IF(AND(COUNTIFS($I$4:I26,I26,$B$4:B26,B26)=1,K26=1),1,0)</f>
        <v>1</v>
      </c>
    </row>
    <row r="27" customFormat="false" ht="15" hidden="false" customHeight="true" outlineLevel="0" collapsed="false">
      <c r="A27" s="5" t="s">
        <v>131</v>
      </c>
      <c r="B27" s="49" t="s">
        <v>229</v>
      </c>
      <c r="C27" s="5" t="s">
        <v>149</v>
      </c>
      <c r="D27" s="5" t="s">
        <v>209</v>
      </c>
      <c r="E27" s="5" t="s">
        <v>237</v>
      </c>
      <c r="F27" s="42" t="n">
        <v>564060</v>
      </c>
      <c r="G27" s="42" t="n">
        <f aca="false">F27/1.19</f>
        <v>474000</v>
      </c>
      <c r="H27" s="5" t="s">
        <v>201</v>
      </c>
      <c r="I27" s="5" t="s">
        <v>202</v>
      </c>
      <c r="J27" s="5" t="str">
        <f aca="false">IF(A27="DSDV36","DVDS36",A27)</f>
        <v>GKFD84</v>
      </c>
      <c r="K27" s="5" t="n">
        <f aca="false">IF(SUMPRODUCT(('Datos - GPS Dias'!$A$5:$A$70=J27)*('Datos - GPS Dias'!$B$5:$B$70=TEXT(B27,"yyyy-mm-dd")))&gt;0,1,0)</f>
        <v>1</v>
      </c>
      <c r="L27" s="5" t="n">
        <f aca="false">IF(AND(COUNTIFS($I$4:I27,I27,$B$4:B27,B27)=1,K27=1),1,0)</f>
        <v>1</v>
      </c>
    </row>
    <row r="28" customFormat="false" ht="15" hidden="false" customHeight="true" outlineLevel="0" collapsed="false">
      <c r="A28" s="5" t="s">
        <v>130</v>
      </c>
      <c r="B28" s="49" t="s">
        <v>233</v>
      </c>
      <c r="C28" s="5" t="s">
        <v>149</v>
      </c>
      <c r="D28" s="5" t="s">
        <v>209</v>
      </c>
      <c r="E28" s="5" t="s">
        <v>224</v>
      </c>
      <c r="F28" s="42" t="n">
        <v>609280</v>
      </c>
      <c r="G28" s="42" t="n">
        <f aca="false">F28/1.19</f>
        <v>512000</v>
      </c>
      <c r="H28" s="5" t="s">
        <v>201</v>
      </c>
      <c r="I28" s="5" t="s">
        <v>223</v>
      </c>
      <c r="J28" s="5" t="str">
        <f aca="false">IF(A28="DSDV36","DVDS36",A28)</f>
        <v>GCFF12</v>
      </c>
      <c r="K28" s="5" t="n">
        <f aca="false">IF(SUMPRODUCT(('Datos - GPS Dias'!$A$5:$A$70=J28)*('Datos - GPS Dias'!$B$5:$B$70=TEXT(B28,"yyyy-mm-dd")))&gt;0,1,0)</f>
        <v>1</v>
      </c>
      <c r="L28" s="5" t="n">
        <f aca="false">IF(AND(COUNTIFS($I$4:I28,I28,$B$4:B28,B28)=1,K28=1),1,0)</f>
        <v>0</v>
      </c>
    </row>
    <row r="29" customFormat="false" ht="15" hidden="false" customHeight="true" outlineLevel="0" collapsed="false">
      <c r="A29" s="5" t="s">
        <v>130</v>
      </c>
      <c r="B29" s="49" t="s">
        <v>230</v>
      </c>
      <c r="C29" s="5" t="s">
        <v>235</v>
      </c>
      <c r="D29" s="5" t="s">
        <v>209</v>
      </c>
      <c r="E29" s="5" t="s">
        <v>236</v>
      </c>
      <c r="F29" s="42" t="n">
        <v>393652</v>
      </c>
      <c r="G29" s="42" t="n">
        <f aca="false">F29/1.19</f>
        <v>330800</v>
      </c>
      <c r="H29" s="5" t="s">
        <v>201</v>
      </c>
      <c r="I29" s="5" t="s">
        <v>223</v>
      </c>
      <c r="J29" s="5" t="str">
        <f aca="false">IF(A29="DSDV36","DVDS36",A29)</f>
        <v>GCFF12</v>
      </c>
      <c r="K29" s="5" t="n">
        <f aca="false">IF(SUMPRODUCT(('Datos - GPS Dias'!$A$5:$A$70=J29)*('Datos - GPS Dias'!$B$5:$B$70=TEXT(B29,"yyyy-mm-dd")))&gt;0,1,0)</f>
        <v>1</v>
      </c>
      <c r="L29" s="5" t="n">
        <f aca="false">IF(AND(COUNTIFS($I$4:I29,I29,$B$4:B29,B29)=1,K29=1),1,0)</f>
        <v>1</v>
      </c>
    </row>
    <row r="30" customFormat="false" ht="15" hidden="false" customHeight="true" outlineLevel="0" collapsed="false">
      <c r="A30" s="5" t="s">
        <v>131</v>
      </c>
      <c r="B30" s="49" t="s">
        <v>230</v>
      </c>
      <c r="C30" s="5" t="s">
        <v>149</v>
      </c>
      <c r="D30" s="5" t="s">
        <v>209</v>
      </c>
      <c r="E30" s="5" t="s">
        <v>238</v>
      </c>
      <c r="F30" s="42" t="n">
        <v>680680</v>
      </c>
      <c r="G30" s="42" t="n">
        <f aca="false">F30/1.19</f>
        <v>572000</v>
      </c>
      <c r="H30" s="5" t="s">
        <v>201</v>
      </c>
      <c r="I30" s="5" t="s">
        <v>202</v>
      </c>
      <c r="J30" s="5" t="str">
        <f aca="false">IF(A30="DSDV36","DVDS36",A30)</f>
        <v>GKFD84</v>
      </c>
      <c r="K30" s="5" t="n">
        <f aca="false">IF(SUMPRODUCT(('Datos - GPS Dias'!$A$5:$A$70=J30)*('Datos - GPS Dias'!$B$5:$B$70=TEXT(B30,"yyyy-mm-dd")))&gt;0,1,0)</f>
        <v>1</v>
      </c>
      <c r="L30" s="5" t="n">
        <f aca="false">IF(AND(COUNTIFS($I$4:I30,I30,$B$4:B30,B30)=1,K30=1),1,0)</f>
        <v>1</v>
      </c>
    </row>
    <row r="31" customFormat="false" ht="15" hidden="false" customHeight="true" outlineLevel="0" collapsed="false">
      <c r="A31" s="5" t="s">
        <v>130</v>
      </c>
      <c r="B31" s="49" t="s">
        <v>239</v>
      </c>
      <c r="C31" s="5" t="s">
        <v>235</v>
      </c>
      <c r="D31" s="5" t="s">
        <v>221</v>
      </c>
      <c r="E31" s="5" t="s">
        <v>236</v>
      </c>
      <c r="F31" s="42" t="n">
        <v>393652</v>
      </c>
      <c r="G31" s="42" t="n">
        <f aca="false">F31/1.19</f>
        <v>330800</v>
      </c>
      <c r="H31" s="5" t="s">
        <v>201</v>
      </c>
      <c r="I31" s="5" t="s">
        <v>223</v>
      </c>
      <c r="J31" s="5" t="str">
        <f aca="false">IF(A31="DSDV36","DVDS36",A31)</f>
        <v>GCFF12</v>
      </c>
      <c r="K31" s="5" t="n">
        <f aca="false">IF(SUMPRODUCT(('Datos - GPS Dias'!$A$5:$A$70=J31)*('Datos - GPS Dias'!$B$5:$B$70=TEXT(B31,"yyyy-mm-dd")))&gt;0,1,0)</f>
        <v>1</v>
      </c>
      <c r="L31" s="5" t="n">
        <f aca="false">IF(AND(COUNTIFS($I$4:I31,I31,$B$4:B31,B31)=1,K31=1),1,0)</f>
        <v>1</v>
      </c>
    </row>
    <row r="32" customFormat="false" ht="15" hidden="false" customHeight="true" outlineLevel="0" collapsed="false">
      <c r="A32" s="5" t="s">
        <v>131</v>
      </c>
      <c r="B32" s="49" t="s">
        <v>239</v>
      </c>
      <c r="C32" s="5" t="s">
        <v>149</v>
      </c>
      <c r="D32" s="5" t="s">
        <v>209</v>
      </c>
      <c r="E32" s="5" t="s">
        <v>240</v>
      </c>
      <c r="F32" s="42" t="n">
        <v>710787</v>
      </c>
      <c r="G32" s="42" t="n">
        <f aca="false">F32/1.19</f>
        <v>597300</v>
      </c>
      <c r="H32" s="5" t="s">
        <v>201</v>
      </c>
      <c r="I32" s="5" t="s">
        <v>202</v>
      </c>
      <c r="J32" s="5" t="str">
        <f aca="false">IF(A32="DSDV36","DVDS36",A32)</f>
        <v>GKFD84</v>
      </c>
      <c r="K32" s="5" t="n">
        <f aca="false">IF(SUMPRODUCT(('Datos - GPS Dias'!$A$5:$A$70=J32)*('Datos - GPS Dias'!$B$5:$B$70=TEXT(B32,"yyyy-mm-dd")))&gt;0,1,0)</f>
        <v>1</v>
      </c>
      <c r="L32" s="5" t="n">
        <f aca="false">IF(AND(COUNTIFS($I$4:I32,I32,$B$4:B32,B32)=1,K32=1),1,0)</f>
        <v>1</v>
      </c>
    </row>
    <row r="33" customFormat="false" ht="15" hidden="false" customHeight="true" outlineLevel="0" collapsed="false">
      <c r="A33" s="5" t="s">
        <v>133</v>
      </c>
      <c r="B33" s="49" t="s">
        <v>239</v>
      </c>
      <c r="C33" s="5" t="s">
        <v>152</v>
      </c>
      <c r="D33" s="5" t="s">
        <v>224</v>
      </c>
      <c r="E33" s="5" t="s">
        <v>241</v>
      </c>
      <c r="F33" s="42" t="n">
        <v>249900</v>
      </c>
      <c r="G33" s="42" t="n">
        <f aca="false">F33/1.19</f>
        <v>210000</v>
      </c>
      <c r="H33" s="5" t="s">
        <v>201</v>
      </c>
      <c r="I33" s="5" t="s">
        <v>213</v>
      </c>
      <c r="J33" s="5" t="str">
        <f aca="false">IF(A33="DSDV36","DVDS36",A33)</f>
        <v>XR8555</v>
      </c>
      <c r="K33" s="5" t="n">
        <f aca="false">IF(SUMPRODUCT(('Datos - GPS Dias'!$A$5:$A$70=J33)*('Datos - GPS Dias'!$B$5:$B$70=TEXT(B33,"yyyy-mm-dd")))&gt;0,1,0)</f>
        <v>1</v>
      </c>
      <c r="L33" s="5" t="n">
        <f aca="false">IF(AND(COUNTIFS($I$4:I33,I33,$B$4:B33,B33)=1,K33=1),1,0)</f>
        <v>1</v>
      </c>
    </row>
    <row r="34" customFormat="false" ht="15" hidden="false" customHeight="true" outlineLevel="0" collapsed="false">
      <c r="A34" s="5" t="s">
        <v>130</v>
      </c>
      <c r="B34" s="49" t="s">
        <v>239</v>
      </c>
      <c r="C34" s="5" t="s">
        <v>235</v>
      </c>
      <c r="D34" s="5" t="s">
        <v>209</v>
      </c>
      <c r="E34" s="5" t="s">
        <v>236</v>
      </c>
      <c r="F34" s="42" t="n">
        <v>393652</v>
      </c>
      <c r="G34" s="42" t="n">
        <f aca="false">F34/1.19</f>
        <v>330800</v>
      </c>
      <c r="H34" s="5" t="s">
        <v>201</v>
      </c>
      <c r="I34" s="5" t="s">
        <v>223</v>
      </c>
      <c r="J34" s="5" t="str">
        <f aca="false">IF(A34="DSDV36","DVDS36",A34)</f>
        <v>GCFF12</v>
      </c>
      <c r="K34" s="5" t="n">
        <f aca="false">IF(SUMPRODUCT(('Datos - GPS Dias'!$A$5:$A$70=J34)*('Datos - GPS Dias'!$B$5:$B$70=TEXT(B34,"yyyy-mm-dd")))&gt;0,1,0)</f>
        <v>1</v>
      </c>
      <c r="L34" s="5" t="n">
        <f aca="false">IF(AND(COUNTIFS($I$4:I34,I34,$B$4:B34,B34)=1,K34=1),1,0)</f>
        <v>0</v>
      </c>
    </row>
    <row r="35" customFormat="false" ht="15" hidden="false" customHeight="true" outlineLevel="0" collapsed="false">
      <c r="A35" s="5" t="s">
        <v>131</v>
      </c>
      <c r="B35" s="49" t="s">
        <v>242</v>
      </c>
      <c r="C35" s="5" t="s">
        <v>149</v>
      </c>
      <c r="D35" s="5" t="s">
        <v>209</v>
      </c>
      <c r="E35" s="5" t="s">
        <v>243</v>
      </c>
      <c r="F35" s="42" t="n">
        <v>685440</v>
      </c>
      <c r="G35" s="42" t="n">
        <f aca="false">F35/1.19</f>
        <v>576000</v>
      </c>
      <c r="H35" s="5" t="s">
        <v>201</v>
      </c>
      <c r="I35" s="5" t="s">
        <v>202</v>
      </c>
      <c r="J35" s="5" t="str">
        <f aca="false">IF(A35="DSDV36","DVDS36",A35)</f>
        <v>GKFD84</v>
      </c>
      <c r="K35" s="5" t="n">
        <f aca="false">IF(SUMPRODUCT(('Datos - GPS Dias'!$A$5:$A$70=J35)*('Datos - GPS Dias'!$B$5:$B$70=TEXT(B35,"yyyy-mm-dd")))&gt;0,1,0)</f>
        <v>1</v>
      </c>
      <c r="L35" s="5" t="n">
        <f aca="false">IF(AND(COUNTIFS($I$4:I35,I35,$B$4:B35,B35)=1,K35=1),1,0)</f>
        <v>1</v>
      </c>
    </row>
    <row r="36" customFormat="false" ht="15" hidden="false" customHeight="true" outlineLevel="0" collapsed="false">
      <c r="A36" s="5" t="s">
        <v>130</v>
      </c>
      <c r="B36" s="49" t="s">
        <v>242</v>
      </c>
      <c r="C36" s="5" t="s">
        <v>235</v>
      </c>
      <c r="D36" s="5" t="s">
        <v>209</v>
      </c>
      <c r="E36" s="5" t="s">
        <v>236</v>
      </c>
      <c r="F36" s="42" t="n">
        <v>393652</v>
      </c>
      <c r="G36" s="42" t="n">
        <f aca="false">F36/1.19</f>
        <v>330800</v>
      </c>
      <c r="H36" s="5" t="s">
        <v>201</v>
      </c>
      <c r="I36" s="5" t="s">
        <v>223</v>
      </c>
      <c r="J36" s="5" t="str">
        <f aca="false">IF(A36="DSDV36","DVDS36",A36)</f>
        <v>GCFF12</v>
      </c>
      <c r="K36" s="5" t="n">
        <f aca="false">IF(SUMPRODUCT(('Datos - GPS Dias'!$A$5:$A$70=J36)*('Datos - GPS Dias'!$B$5:$B$70=TEXT(B36,"yyyy-mm-dd")))&gt;0,1,0)</f>
        <v>1</v>
      </c>
      <c r="L36" s="5" t="n">
        <f aca="false">IF(AND(COUNTIFS($I$4:I36,I36,$B$4:B36,B36)=1,K36=1),1,0)</f>
        <v>1</v>
      </c>
    </row>
    <row r="37" customFormat="false" ht="15" hidden="false" customHeight="true" outlineLevel="0" collapsed="false">
      <c r="A37" s="5" t="s">
        <v>133</v>
      </c>
      <c r="B37" s="49" t="s">
        <v>242</v>
      </c>
      <c r="C37" s="5" t="s">
        <v>152</v>
      </c>
      <c r="D37" s="5" t="s">
        <v>224</v>
      </c>
      <c r="E37" s="5" t="s">
        <v>241</v>
      </c>
      <c r="F37" s="42" t="n">
        <v>249900</v>
      </c>
      <c r="G37" s="42" t="n">
        <f aca="false">F37/1.19</f>
        <v>210000</v>
      </c>
      <c r="H37" s="5" t="s">
        <v>201</v>
      </c>
      <c r="I37" s="5" t="s">
        <v>213</v>
      </c>
      <c r="J37" s="5" t="str">
        <f aca="false">IF(A37="DSDV36","DVDS36",A37)</f>
        <v>XR8555</v>
      </c>
      <c r="K37" s="5" t="n">
        <f aca="false">IF(SUMPRODUCT(('Datos - GPS Dias'!$A$5:$A$70=J37)*('Datos - GPS Dias'!$B$5:$B$70=TEXT(B37,"yyyy-mm-dd")))&gt;0,1,0)</f>
        <v>1</v>
      </c>
      <c r="L37" s="5" t="n">
        <f aca="false">IF(AND(COUNTIFS($I$4:I37,I37,$B$4:B37,B37)=1,K37=1),1,0)</f>
        <v>1</v>
      </c>
    </row>
    <row r="38" customFormat="false" ht="15" hidden="false" customHeight="true" outlineLevel="0" collapsed="false">
      <c r="A38" s="5" t="s">
        <v>133</v>
      </c>
      <c r="B38" s="49" t="s">
        <v>242</v>
      </c>
      <c r="C38" s="5" t="s">
        <v>152</v>
      </c>
      <c r="D38" s="5" t="s">
        <v>224</v>
      </c>
      <c r="E38" s="5" t="s">
        <v>241</v>
      </c>
      <c r="F38" s="42" t="n">
        <v>249900</v>
      </c>
      <c r="G38" s="42" t="n">
        <f aca="false">F38/1.19</f>
        <v>210000</v>
      </c>
      <c r="H38" s="5" t="s">
        <v>201</v>
      </c>
      <c r="I38" s="5" t="s">
        <v>213</v>
      </c>
      <c r="J38" s="5" t="str">
        <f aca="false">IF(A38="DSDV36","DVDS36",A38)</f>
        <v>XR8555</v>
      </c>
      <c r="K38" s="5" t="n">
        <f aca="false">IF(SUMPRODUCT(('Datos - GPS Dias'!$A$5:$A$70=J38)*('Datos - GPS Dias'!$B$5:$B$70=TEXT(B38,"yyyy-mm-dd")))&gt;0,1,0)</f>
        <v>1</v>
      </c>
      <c r="L38" s="5" t="n">
        <f aca="false">IF(AND(COUNTIFS($I$4:I38,I38,$B$4:B38,B38)=1,K38=1),1,0)</f>
        <v>0</v>
      </c>
    </row>
    <row r="39" customFormat="false" ht="15" hidden="false" customHeight="true" outlineLevel="0" collapsed="false">
      <c r="A39" s="5" t="s">
        <v>197</v>
      </c>
      <c r="B39" s="49" t="s">
        <v>244</v>
      </c>
      <c r="C39" s="5" t="s">
        <v>150</v>
      </c>
      <c r="D39" s="5" t="s">
        <v>199</v>
      </c>
      <c r="E39" s="5" t="s">
        <v>200</v>
      </c>
      <c r="F39" s="42" t="n">
        <v>478500</v>
      </c>
      <c r="G39" s="42" t="n">
        <f aca="false">F39/1.19</f>
        <v>402100.840336135</v>
      </c>
      <c r="H39" s="5" t="s">
        <v>201</v>
      </c>
      <c r="I39" s="5" t="s">
        <v>208</v>
      </c>
      <c r="J39" s="5" t="str">
        <f aca="false">IF(A39="DSDV36","DVDS36",A39)</f>
        <v>DVDS36</v>
      </c>
      <c r="K39" s="5" t="n">
        <f aca="false">IF(SUMPRODUCT(('Datos - GPS Dias'!$A$5:$A$70=J39)*('Datos - GPS Dias'!$B$5:$B$70=TEXT(B39,"yyyy-mm-dd")))&gt;0,1,0)</f>
        <v>1</v>
      </c>
      <c r="L39" s="5" t="n">
        <f aca="false">IF(AND(COUNTIFS($I$4:I39,I39,$B$4:B39,B39)=1,K39=1),1,0)</f>
        <v>1</v>
      </c>
    </row>
    <row r="40" customFormat="false" ht="15" hidden="false" customHeight="true" outlineLevel="0" collapsed="false">
      <c r="A40" s="5" t="s">
        <v>133</v>
      </c>
      <c r="B40" s="49" t="s">
        <v>244</v>
      </c>
      <c r="C40" s="5" t="s">
        <v>152</v>
      </c>
      <c r="D40" s="5" t="s">
        <v>224</v>
      </c>
      <c r="E40" s="5" t="s">
        <v>241</v>
      </c>
      <c r="F40" s="42" t="n">
        <v>249900</v>
      </c>
      <c r="G40" s="42" t="n">
        <f aca="false">F40/1.19</f>
        <v>210000</v>
      </c>
      <c r="H40" s="5" t="s">
        <v>201</v>
      </c>
      <c r="I40" s="5" t="s">
        <v>213</v>
      </c>
      <c r="J40" s="5" t="str">
        <f aca="false">IF(A40="DSDV36","DVDS36",A40)</f>
        <v>XR8555</v>
      </c>
      <c r="K40" s="5" t="n">
        <f aca="false">IF(SUMPRODUCT(('Datos - GPS Dias'!$A$5:$A$70=J40)*('Datos - GPS Dias'!$B$5:$B$70=TEXT(B40,"yyyy-mm-dd")))&gt;0,1,0)</f>
        <v>1</v>
      </c>
      <c r="L40" s="5" t="n">
        <f aca="false">IF(AND(COUNTIFS($I$4:I40,I40,$B$4:B40,B40)=1,K40=1),1,0)</f>
        <v>1</v>
      </c>
    </row>
    <row r="41" customFormat="false" ht="15" hidden="false" customHeight="true" outlineLevel="0" collapsed="false">
      <c r="A41" s="5" t="s">
        <v>133</v>
      </c>
      <c r="B41" s="49" t="s">
        <v>244</v>
      </c>
      <c r="C41" s="5" t="s">
        <v>152</v>
      </c>
      <c r="D41" s="5" t="s">
        <v>224</v>
      </c>
      <c r="E41" s="5" t="s">
        <v>241</v>
      </c>
      <c r="F41" s="42" t="n">
        <v>249900</v>
      </c>
      <c r="G41" s="42" t="n">
        <f aca="false">F41/1.19</f>
        <v>210000</v>
      </c>
      <c r="H41" s="5" t="s">
        <v>201</v>
      </c>
      <c r="I41" s="5" t="s">
        <v>213</v>
      </c>
      <c r="J41" s="5" t="str">
        <f aca="false">IF(A41="DSDV36","DVDS36",A41)</f>
        <v>XR8555</v>
      </c>
      <c r="K41" s="5" t="n">
        <f aca="false">IF(SUMPRODUCT(('Datos - GPS Dias'!$A$5:$A$70=J41)*('Datos - GPS Dias'!$B$5:$B$70=TEXT(B41,"yyyy-mm-dd")))&gt;0,1,0)</f>
        <v>1</v>
      </c>
      <c r="L41" s="5" t="n">
        <f aca="false">IF(AND(COUNTIFS($I$4:I41,I41,$B$4:B41,B41)=1,K41=1),1,0)</f>
        <v>0</v>
      </c>
    </row>
    <row r="42" customFormat="false" ht="15" hidden="false" customHeight="true" outlineLevel="0" collapsed="false">
      <c r="A42" s="5" t="s">
        <v>130</v>
      </c>
      <c r="B42" s="49" t="s">
        <v>242</v>
      </c>
      <c r="C42" s="5" t="s">
        <v>235</v>
      </c>
      <c r="D42" s="5" t="s">
        <v>236</v>
      </c>
      <c r="E42" s="5" t="s">
        <v>245</v>
      </c>
      <c r="F42" s="42" t="n">
        <v>737800</v>
      </c>
      <c r="G42" s="42" t="n">
        <f aca="false">F42/1.19</f>
        <v>620000</v>
      </c>
      <c r="H42" s="5" t="s">
        <v>201</v>
      </c>
      <c r="I42" s="5" t="s">
        <v>223</v>
      </c>
      <c r="J42" s="5" t="str">
        <f aca="false">IF(A42="DSDV36","DVDS36",A42)</f>
        <v>GCFF12</v>
      </c>
      <c r="K42" s="5" t="n">
        <f aca="false">IF(SUMPRODUCT(('Datos - GPS Dias'!$A$5:$A$70=J42)*('Datos - GPS Dias'!$B$5:$B$70=TEXT(B42,"yyyy-mm-dd")))&gt;0,1,0)</f>
        <v>1</v>
      </c>
      <c r="L42" s="5" t="n">
        <f aca="false">IF(AND(COUNTIFS($I$4:I42,I42,$B$4:B42,B42)=1,K42=1),1,0)</f>
        <v>0</v>
      </c>
    </row>
    <row r="43" customFormat="false" ht="15" hidden="false" customHeight="true" outlineLevel="0" collapsed="false">
      <c r="A43" s="5" t="s">
        <v>130</v>
      </c>
      <c r="B43" s="49" t="s">
        <v>244</v>
      </c>
      <c r="C43" s="5" t="s">
        <v>149</v>
      </c>
      <c r="D43" s="5" t="s">
        <v>209</v>
      </c>
      <c r="E43" s="5" t="s">
        <v>246</v>
      </c>
      <c r="F43" s="42" t="n">
        <v>624512</v>
      </c>
      <c r="G43" s="42" t="n">
        <f aca="false">F43/1.19</f>
        <v>524800</v>
      </c>
      <c r="H43" s="5" t="s">
        <v>201</v>
      </c>
      <c r="I43" s="5" t="s">
        <v>223</v>
      </c>
      <c r="J43" s="5" t="str">
        <f aca="false">IF(A43="DSDV36","DVDS36",A43)</f>
        <v>GCFF12</v>
      </c>
      <c r="K43" s="5" t="n">
        <f aca="false">IF(SUMPRODUCT(('Datos - GPS Dias'!$A$5:$A$70=J43)*('Datos - GPS Dias'!$B$5:$B$70=TEXT(B43,"yyyy-mm-dd")))&gt;0,1,0)</f>
        <v>1</v>
      </c>
      <c r="L43" s="5" t="n">
        <f aca="false">IF(AND(COUNTIFS($I$4:I43,I43,$B$4:B43,B43)=1,K43=1),1,0)</f>
        <v>1</v>
      </c>
    </row>
    <row r="44" customFormat="false" ht="15" hidden="false" customHeight="true" outlineLevel="0" collapsed="false">
      <c r="A44" s="5" t="s">
        <v>131</v>
      </c>
      <c r="B44" s="49" t="s">
        <v>244</v>
      </c>
      <c r="C44" s="5" t="s">
        <v>153</v>
      </c>
      <c r="D44" s="5" t="s">
        <v>247</v>
      </c>
      <c r="E44" s="5" t="s">
        <v>204</v>
      </c>
      <c r="F44" s="42" t="n">
        <v>550000</v>
      </c>
      <c r="G44" s="42" t="n">
        <f aca="false">F44/1.19</f>
        <v>462184.87394958</v>
      </c>
      <c r="H44" s="5" t="s">
        <v>201</v>
      </c>
      <c r="I44" s="5" t="s">
        <v>202</v>
      </c>
      <c r="J44" s="5" t="str">
        <f aca="false">IF(A44="DSDV36","DVDS36",A44)</f>
        <v>GKFD84</v>
      </c>
      <c r="K44" s="5" t="n">
        <f aca="false">IF(SUMPRODUCT(('Datos - GPS Dias'!$A$5:$A$70=J44)*('Datos - GPS Dias'!$B$5:$B$70=TEXT(B44,"yyyy-mm-dd")))&gt;0,1,0)</f>
        <v>1</v>
      </c>
      <c r="L44" s="5" t="n">
        <f aca="false">IF(AND(COUNTIFS($I$4:I44,I44,$B$4:B44,B44)=1,K44=1),1,0)</f>
        <v>1</v>
      </c>
    </row>
    <row r="45" customFormat="false" ht="15" hidden="false" customHeight="true" outlineLevel="0" collapsed="false">
      <c r="E45" s="46" t="s">
        <v>135</v>
      </c>
      <c r="F45" s="23" t="n">
        <f aca="false">SUM(F4:F44)</f>
        <v>19907383.57</v>
      </c>
      <c r="G45" s="23" t="n">
        <f aca="false">SUM(G4:G44)</f>
        <v>16728893.7563025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24"/>
    <col collapsed="false" customWidth="true" hidden="false" outlineLevel="0" max="4" min="4" style="1" width="14"/>
    <col collapsed="false" customWidth="true" hidden="false" outlineLevel="0" max="5" min="5" style="1" width="30"/>
    <col collapsed="false" customWidth="true" hidden="false" outlineLevel="0" max="6" min="6" style="1" width="16"/>
    <col collapsed="false" customWidth="true" hidden="false" outlineLevel="0" max="7" min="7" style="1" width="28"/>
  </cols>
  <sheetData>
    <row r="1" customFormat="false" ht="17.25" hidden="false" customHeight="true" outlineLevel="0" collapsed="false">
      <c r="A1" s="2" t="s">
        <v>248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9" t="s">
        <v>249</v>
      </c>
      <c r="B2" s="39"/>
      <c r="C2" s="39"/>
      <c r="D2" s="39"/>
      <c r="E2" s="39"/>
      <c r="F2" s="39"/>
      <c r="G2" s="39"/>
    </row>
    <row r="4" customFormat="false" ht="23.25" hidden="false" customHeight="true" outlineLevel="0" collapsed="false">
      <c r="A4" s="4" t="s">
        <v>250</v>
      </c>
      <c r="B4" s="4" t="s">
        <v>169</v>
      </c>
      <c r="C4" s="4" t="s">
        <v>251</v>
      </c>
      <c r="D4" s="4" t="s">
        <v>35</v>
      </c>
      <c r="E4" s="4" t="s">
        <v>252</v>
      </c>
      <c r="F4" s="4" t="s">
        <v>253</v>
      </c>
      <c r="G4" s="4" t="s">
        <v>254</v>
      </c>
    </row>
    <row r="5" customFormat="false" ht="15" hidden="false" customHeight="true" outlineLevel="0" collapsed="false">
      <c r="A5" s="5" t="s">
        <v>255</v>
      </c>
      <c r="B5" s="5" t="s">
        <v>256</v>
      </c>
      <c r="C5" s="5" t="s">
        <v>257</v>
      </c>
      <c r="D5" s="42" t="n">
        <v>6000</v>
      </c>
      <c r="E5" s="5" t="s">
        <v>258</v>
      </c>
      <c r="F5" s="50"/>
      <c r="G5" s="50"/>
    </row>
    <row r="6" customFormat="false" ht="15" hidden="false" customHeight="true" outlineLevel="0" collapsed="false">
      <c r="A6" s="5" t="s">
        <v>255</v>
      </c>
      <c r="B6" s="5" t="s">
        <v>256</v>
      </c>
      <c r="C6" s="5" t="s">
        <v>259</v>
      </c>
      <c r="D6" s="42" t="n">
        <v>1300000</v>
      </c>
      <c r="E6" s="5" t="s">
        <v>260</v>
      </c>
      <c r="F6" s="50"/>
      <c r="G6" s="50"/>
    </row>
    <row r="7" customFormat="false" ht="15" hidden="false" customHeight="true" outlineLevel="0" collapsed="false">
      <c r="A7" s="5" t="s">
        <v>255</v>
      </c>
      <c r="B7" s="5" t="s">
        <v>261</v>
      </c>
      <c r="C7" s="5" t="s">
        <v>262</v>
      </c>
      <c r="D7" s="42" t="n">
        <v>2326472</v>
      </c>
      <c r="E7" s="5" t="s">
        <v>263</v>
      </c>
      <c r="F7" s="50"/>
      <c r="G7" s="50"/>
    </row>
    <row r="8" customFormat="false" ht="15" hidden="false" customHeight="true" outlineLevel="0" collapsed="false">
      <c r="A8" s="5" t="s">
        <v>255</v>
      </c>
      <c r="B8" s="5" t="s">
        <v>256</v>
      </c>
      <c r="C8" s="5" t="s">
        <v>264</v>
      </c>
      <c r="D8" s="42" t="n">
        <v>15000</v>
      </c>
      <c r="E8" s="5" t="s">
        <v>258</v>
      </c>
      <c r="F8" s="50"/>
      <c r="G8" s="50"/>
    </row>
    <row r="9" customFormat="false" ht="15" hidden="false" customHeight="true" outlineLevel="0" collapsed="false">
      <c r="A9" s="5" t="s">
        <v>255</v>
      </c>
      <c r="B9" s="5" t="s">
        <v>256</v>
      </c>
      <c r="C9" s="5" t="s">
        <v>257</v>
      </c>
      <c r="D9" s="42" t="n">
        <v>12000</v>
      </c>
      <c r="E9" s="5" t="s">
        <v>258</v>
      </c>
      <c r="F9" s="50"/>
      <c r="G9" s="50"/>
    </row>
    <row r="10" customFormat="false" ht="15" hidden="false" customHeight="true" outlineLevel="0" collapsed="false">
      <c r="A10" s="5" t="s">
        <v>255</v>
      </c>
      <c r="B10" s="5" t="s">
        <v>256</v>
      </c>
      <c r="C10" s="5" t="s">
        <v>265</v>
      </c>
      <c r="D10" s="42" t="n">
        <v>70000</v>
      </c>
      <c r="E10" s="5" t="s">
        <v>266</v>
      </c>
      <c r="F10" s="50"/>
      <c r="G10" s="50"/>
    </row>
    <row r="11" customFormat="false" ht="15" hidden="false" customHeight="true" outlineLevel="0" collapsed="false">
      <c r="A11" s="5" t="s">
        <v>198</v>
      </c>
      <c r="B11" s="5" t="s">
        <v>256</v>
      </c>
      <c r="C11" s="5" t="s">
        <v>267</v>
      </c>
      <c r="D11" s="42" t="n">
        <v>54000</v>
      </c>
      <c r="E11" s="5" t="s">
        <v>268</v>
      </c>
      <c r="F11" s="50"/>
      <c r="G11" s="50"/>
    </row>
    <row r="12" customFormat="false" ht="15" hidden="false" customHeight="true" outlineLevel="0" collapsed="false">
      <c r="A12" s="5" t="s">
        <v>198</v>
      </c>
      <c r="B12" s="5" t="s">
        <v>256</v>
      </c>
      <c r="C12" s="5" t="s">
        <v>269</v>
      </c>
      <c r="D12" s="42" t="n">
        <v>225000</v>
      </c>
      <c r="E12" s="5" t="s">
        <v>270</v>
      </c>
      <c r="F12" s="50"/>
      <c r="G12" s="50"/>
    </row>
    <row r="13" customFormat="false" ht="15" hidden="false" customHeight="true" outlineLevel="0" collapsed="false">
      <c r="A13" s="5" t="s">
        <v>198</v>
      </c>
      <c r="B13" s="5" t="s">
        <v>256</v>
      </c>
      <c r="C13" s="5" t="s">
        <v>267</v>
      </c>
      <c r="D13" s="42" t="n">
        <v>2700</v>
      </c>
      <c r="E13" s="5" t="s">
        <v>271</v>
      </c>
      <c r="F13" s="50"/>
      <c r="G13" s="50"/>
    </row>
    <row r="14" customFormat="false" ht="15" hidden="false" customHeight="true" outlineLevel="0" collapsed="false">
      <c r="A14" s="5" t="s">
        <v>198</v>
      </c>
      <c r="B14" s="5" t="s">
        <v>256</v>
      </c>
      <c r="C14" s="5" t="s">
        <v>267</v>
      </c>
      <c r="D14" s="42" t="n">
        <v>190000</v>
      </c>
      <c r="E14" s="5" t="s">
        <v>272</v>
      </c>
      <c r="F14" s="50"/>
      <c r="G14" s="50"/>
    </row>
    <row r="15" customFormat="false" ht="15" hidden="false" customHeight="true" outlineLevel="0" collapsed="false">
      <c r="A15" s="5" t="s">
        <v>198</v>
      </c>
      <c r="B15" s="5" t="s">
        <v>256</v>
      </c>
      <c r="C15" s="5" t="s">
        <v>267</v>
      </c>
      <c r="D15" s="42" t="n">
        <v>30000</v>
      </c>
      <c r="E15" s="5" t="s">
        <v>273</v>
      </c>
      <c r="F15" s="50"/>
      <c r="G15" s="50"/>
    </row>
    <row r="16" customFormat="false" ht="15" hidden="false" customHeight="true" outlineLevel="0" collapsed="false">
      <c r="A16" s="5" t="s">
        <v>274</v>
      </c>
      <c r="B16" s="5" t="s">
        <v>256</v>
      </c>
      <c r="C16" s="5" t="s">
        <v>275</v>
      </c>
      <c r="D16" s="42" t="n">
        <v>299606</v>
      </c>
      <c r="E16" s="5" t="s">
        <v>276</v>
      </c>
      <c r="F16" s="50"/>
      <c r="G16" s="50"/>
    </row>
    <row r="17" customFormat="false" ht="15" hidden="false" customHeight="true" outlineLevel="0" collapsed="false">
      <c r="A17" s="5" t="s">
        <v>274</v>
      </c>
      <c r="B17" s="5" t="s">
        <v>261</v>
      </c>
      <c r="C17" s="5" t="s">
        <v>265</v>
      </c>
      <c r="D17" s="42" t="n">
        <v>1200000</v>
      </c>
      <c r="E17" s="5" t="s">
        <v>277</v>
      </c>
      <c r="F17" s="50"/>
      <c r="G17" s="50"/>
    </row>
    <row r="18" customFormat="false" ht="15" hidden="false" customHeight="true" outlineLevel="0" collapsed="false">
      <c r="A18" s="5" t="s">
        <v>274</v>
      </c>
      <c r="B18" s="5" t="s">
        <v>256</v>
      </c>
      <c r="C18" s="5" t="s">
        <v>257</v>
      </c>
      <c r="D18" s="42" t="n">
        <v>12000</v>
      </c>
      <c r="E18" s="5" t="s">
        <v>278</v>
      </c>
      <c r="F18" s="50"/>
      <c r="G18" s="50"/>
    </row>
    <row r="19" customFormat="false" ht="15" hidden="false" customHeight="true" outlineLevel="0" collapsed="false">
      <c r="A19" s="5" t="s">
        <v>274</v>
      </c>
      <c r="B19" s="5" t="s">
        <v>256</v>
      </c>
      <c r="C19" s="5" t="s">
        <v>264</v>
      </c>
      <c r="D19" s="42" t="n">
        <v>3000</v>
      </c>
      <c r="E19" s="5" t="s">
        <v>278</v>
      </c>
      <c r="F19" s="50"/>
      <c r="G19" s="50"/>
    </row>
    <row r="20" customFormat="false" ht="15" hidden="false" customHeight="true" outlineLevel="0" collapsed="false">
      <c r="A20" s="5" t="s">
        <v>274</v>
      </c>
      <c r="B20" s="5" t="s">
        <v>256</v>
      </c>
      <c r="C20" s="5" t="s">
        <v>275</v>
      </c>
      <c r="D20" s="42" t="n">
        <v>92344</v>
      </c>
      <c r="E20" s="5" t="s">
        <v>279</v>
      </c>
      <c r="F20" s="50"/>
      <c r="G20" s="50"/>
    </row>
    <row r="21" customFormat="false" ht="15" hidden="false" customHeight="true" outlineLevel="0" collapsed="false">
      <c r="A21" s="5" t="s">
        <v>274</v>
      </c>
      <c r="B21" s="5" t="s">
        <v>256</v>
      </c>
      <c r="C21" s="5" t="s">
        <v>267</v>
      </c>
      <c r="D21" s="42" t="n">
        <v>280000</v>
      </c>
      <c r="E21" s="5" t="s">
        <v>280</v>
      </c>
      <c r="F21" s="50"/>
      <c r="G21" s="50"/>
    </row>
    <row r="22" customFormat="false" ht="15" hidden="false" customHeight="true" outlineLevel="0" collapsed="false">
      <c r="A22" s="5" t="s">
        <v>274</v>
      </c>
      <c r="B22" s="5" t="s">
        <v>261</v>
      </c>
      <c r="C22" s="5" t="s">
        <v>267</v>
      </c>
      <c r="D22" s="42" t="n">
        <v>270000</v>
      </c>
      <c r="E22" s="5" t="s">
        <v>281</v>
      </c>
      <c r="F22" s="50"/>
      <c r="G22" s="50"/>
    </row>
    <row r="23" customFormat="false" ht="15" hidden="false" customHeight="true" outlineLevel="0" collapsed="false">
      <c r="A23" s="5" t="s">
        <v>274</v>
      </c>
      <c r="B23" s="5" t="s">
        <v>256</v>
      </c>
      <c r="C23" s="5" t="s">
        <v>257</v>
      </c>
      <c r="D23" s="42" t="n">
        <v>12000</v>
      </c>
      <c r="E23" s="5" t="s">
        <v>258</v>
      </c>
      <c r="F23" s="50"/>
      <c r="G23" s="50"/>
    </row>
    <row r="24" customFormat="false" ht="15" hidden="false" customHeight="true" outlineLevel="0" collapsed="false">
      <c r="A24" s="5" t="s">
        <v>274</v>
      </c>
      <c r="B24" s="5" t="s">
        <v>256</v>
      </c>
      <c r="C24" s="5" t="s">
        <v>264</v>
      </c>
      <c r="D24" s="42" t="n">
        <v>5000</v>
      </c>
      <c r="E24" s="5" t="s">
        <v>258</v>
      </c>
      <c r="F24" s="50"/>
      <c r="G24" s="50"/>
    </row>
    <row r="25" customFormat="false" ht="15" hidden="false" customHeight="true" outlineLevel="0" collapsed="false">
      <c r="A25" s="5" t="s">
        <v>274</v>
      </c>
      <c r="B25" s="5" t="s">
        <v>256</v>
      </c>
      <c r="C25" s="5" t="s">
        <v>275</v>
      </c>
      <c r="D25" s="42" t="n">
        <v>17980</v>
      </c>
      <c r="E25" s="5" t="s">
        <v>282</v>
      </c>
      <c r="F25" s="50"/>
      <c r="G25" s="50"/>
    </row>
    <row r="26" customFormat="false" ht="15" hidden="false" customHeight="true" outlineLevel="0" collapsed="false">
      <c r="A26" s="5" t="s">
        <v>274</v>
      </c>
      <c r="B26" s="5" t="s">
        <v>261</v>
      </c>
      <c r="C26" s="5" t="s">
        <v>283</v>
      </c>
      <c r="D26" s="42" t="n">
        <v>83100</v>
      </c>
      <c r="E26" s="5" t="s">
        <v>284</v>
      </c>
      <c r="F26" s="50"/>
      <c r="G26" s="50"/>
    </row>
    <row r="27" customFormat="false" ht="15" hidden="false" customHeight="true" outlineLevel="0" collapsed="false">
      <c r="A27" s="5" t="s">
        <v>211</v>
      </c>
      <c r="B27" s="5" t="s">
        <v>261</v>
      </c>
      <c r="C27" s="5" t="s">
        <v>267</v>
      </c>
      <c r="D27" s="42" t="n">
        <v>320000</v>
      </c>
      <c r="E27" s="5" t="s">
        <v>285</v>
      </c>
      <c r="F27" s="50"/>
      <c r="G27" s="50"/>
    </row>
    <row r="28" customFormat="false" ht="15" hidden="false" customHeight="true" outlineLevel="0" collapsed="false">
      <c r="A28" s="5" t="s">
        <v>211</v>
      </c>
      <c r="B28" s="5" t="s">
        <v>256</v>
      </c>
      <c r="C28" s="5" t="s">
        <v>286</v>
      </c>
      <c r="D28" s="42" t="n">
        <v>100000</v>
      </c>
      <c r="E28" s="5" t="s">
        <v>278</v>
      </c>
      <c r="F28" s="50"/>
      <c r="G28" s="50"/>
    </row>
    <row r="29" customFormat="false" ht="15" hidden="false" customHeight="true" outlineLevel="0" collapsed="false">
      <c r="A29" s="5" t="s">
        <v>211</v>
      </c>
      <c r="B29" s="5" t="s">
        <v>256</v>
      </c>
      <c r="C29" s="5" t="s">
        <v>257</v>
      </c>
      <c r="D29" s="42" t="n">
        <v>12000</v>
      </c>
      <c r="E29" s="5" t="s">
        <v>287</v>
      </c>
      <c r="F29" s="50"/>
      <c r="G29" s="50"/>
    </row>
    <row r="30" customFormat="false" ht="15" hidden="false" customHeight="true" outlineLevel="0" collapsed="false">
      <c r="A30" s="5" t="s">
        <v>211</v>
      </c>
      <c r="B30" s="5" t="s">
        <v>256</v>
      </c>
      <c r="C30" s="5" t="s">
        <v>264</v>
      </c>
      <c r="D30" s="42" t="n">
        <v>38000</v>
      </c>
      <c r="E30" s="5" t="s">
        <v>287</v>
      </c>
      <c r="F30" s="50"/>
      <c r="G30" s="50"/>
    </row>
    <row r="31" customFormat="false" ht="15" hidden="false" customHeight="true" outlineLevel="0" collapsed="false">
      <c r="A31" s="5" t="s">
        <v>211</v>
      </c>
      <c r="B31" s="5" t="s">
        <v>256</v>
      </c>
      <c r="C31" s="5" t="s">
        <v>269</v>
      </c>
      <c r="D31" s="42" t="n">
        <v>225000</v>
      </c>
      <c r="E31" s="5" t="s">
        <v>270</v>
      </c>
      <c r="F31" s="50"/>
      <c r="G31" s="50"/>
    </row>
    <row r="32" customFormat="false" ht="15" hidden="false" customHeight="true" outlineLevel="0" collapsed="false">
      <c r="A32" s="5" t="s">
        <v>211</v>
      </c>
      <c r="B32" s="5" t="s">
        <v>256</v>
      </c>
      <c r="C32" s="5" t="s">
        <v>267</v>
      </c>
      <c r="D32" s="42" t="n">
        <v>100000</v>
      </c>
      <c r="E32" s="5" t="s">
        <v>288</v>
      </c>
      <c r="F32" s="50"/>
      <c r="G32" s="50"/>
    </row>
    <row r="33" customFormat="false" ht="15" hidden="false" customHeight="true" outlineLevel="0" collapsed="false">
      <c r="A33" s="5" t="s">
        <v>211</v>
      </c>
      <c r="B33" s="5" t="s">
        <v>256</v>
      </c>
      <c r="C33" s="5" t="s">
        <v>286</v>
      </c>
      <c r="D33" s="42" t="n">
        <v>250000</v>
      </c>
      <c r="E33" s="5" t="s">
        <v>258</v>
      </c>
      <c r="F33" s="50"/>
      <c r="G33" s="50"/>
    </row>
    <row r="34" customFormat="false" ht="15" hidden="false" customHeight="true" outlineLevel="0" collapsed="false">
      <c r="A34" s="5" t="s">
        <v>211</v>
      </c>
      <c r="B34" s="5" t="s">
        <v>256</v>
      </c>
      <c r="C34" s="5" t="s">
        <v>286</v>
      </c>
      <c r="D34" s="42" t="n">
        <v>120000</v>
      </c>
      <c r="E34" s="5" t="s">
        <v>278</v>
      </c>
      <c r="F34" s="50"/>
      <c r="G34" s="50"/>
    </row>
    <row r="35" customFormat="false" ht="15" hidden="false" customHeight="true" outlineLevel="0" collapsed="false">
      <c r="A35" s="5" t="s">
        <v>211</v>
      </c>
      <c r="B35" s="5" t="s">
        <v>256</v>
      </c>
      <c r="C35" s="5" t="s">
        <v>286</v>
      </c>
      <c r="D35" s="42" t="n">
        <v>180000</v>
      </c>
      <c r="E35" s="5" t="s">
        <v>287</v>
      </c>
      <c r="F35" s="50"/>
      <c r="G35" s="50"/>
    </row>
    <row r="36" customFormat="false" ht="15" hidden="false" customHeight="true" outlineLevel="0" collapsed="false">
      <c r="A36" s="5" t="s">
        <v>211</v>
      </c>
      <c r="B36" s="5" t="s">
        <v>256</v>
      </c>
      <c r="C36" s="5" t="s">
        <v>286</v>
      </c>
      <c r="D36" s="42" t="n">
        <v>150000</v>
      </c>
      <c r="E36" s="5" t="s">
        <v>278</v>
      </c>
      <c r="F36" s="50"/>
      <c r="G36" s="50"/>
    </row>
    <row r="37" customFormat="false" ht="15" hidden="false" customHeight="true" outlineLevel="0" collapsed="false">
      <c r="A37" s="5" t="s">
        <v>211</v>
      </c>
      <c r="B37" s="5" t="s">
        <v>256</v>
      </c>
      <c r="C37" s="5" t="s">
        <v>265</v>
      </c>
      <c r="D37" s="42" t="n">
        <v>270000</v>
      </c>
      <c r="E37" s="5" t="s">
        <v>289</v>
      </c>
      <c r="F37" s="50"/>
      <c r="G37" s="50"/>
    </row>
    <row r="38" customFormat="false" ht="15" hidden="false" customHeight="true" outlineLevel="0" collapsed="false">
      <c r="A38" s="5" t="s">
        <v>211</v>
      </c>
      <c r="B38" s="5" t="s">
        <v>256</v>
      </c>
      <c r="C38" s="5" t="s">
        <v>257</v>
      </c>
      <c r="D38" s="42" t="n">
        <v>12000</v>
      </c>
      <c r="E38" s="5" t="s">
        <v>278</v>
      </c>
      <c r="F38" s="50"/>
      <c r="G38" s="50"/>
    </row>
    <row r="39" customFormat="false" ht="15" hidden="false" customHeight="true" outlineLevel="0" collapsed="false">
      <c r="A39" s="5" t="s">
        <v>214</v>
      </c>
      <c r="B39" s="5" t="s">
        <v>256</v>
      </c>
      <c r="C39" s="5" t="s">
        <v>257</v>
      </c>
      <c r="D39" s="42" t="n">
        <v>12000</v>
      </c>
      <c r="E39" s="5" t="s">
        <v>290</v>
      </c>
      <c r="F39" s="50"/>
      <c r="G39" s="50"/>
    </row>
    <row r="40" customFormat="false" ht="15" hidden="false" customHeight="true" outlineLevel="0" collapsed="false">
      <c r="A40" s="5" t="s">
        <v>214</v>
      </c>
      <c r="B40" s="5" t="s">
        <v>256</v>
      </c>
      <c r="C40" s="5" t="s">
        <v>267</v>
      </c>
      <c r="D40" s="42" t="n">
        <v>4700</v>
      </c>
      <c r="E40" s="5" t="s">
        <v>291</v>
      </c>
      <c r="F40" s="50"/>
      <c r="G40" s="50"/>
    </row>
    <row r="41" customFormat="false" ht="15" hidden="false" customHeight="true" outlineLevel="0" collapsed="false">
      <c r="A41" s="5" t="s">
        <v>214</v>
      </c>
      <c r="B41" s="5" t="s">
        <v>256</v>
      </c>
      <c r="C41" s="5" t="s">
        <v>257</v>
      </c>
      <c r="D41" s="42" t="n">
        <v>12000</v>
      </c>
      <c r="E41" s="5" t="s">
        <v>278</v>
      </c>
      <c r="F41" s="50"/>
      <c r="G41" s="50"/>
    </row>
    <row r="42" customFormat="false" ht="15" hidden="false" customHeight="true" outlineLevel="0" collapsed="false">
      <c r="A42" s="5" t="s">
        <v>214</v>
      </c>
      <c r="B42" s="5" t="s">
        <v>256</v>
      </c>
      <c r="C42" s="5" t="s">
        <v>264</v>
      </c>
      <c r="D42" s="42" t="n">
        <v>5000</v>
      </c>
      <c r="E42" s="5" t="s">
        <v>290</v>
      </c>
      <c r="F42" s="50"/>
      <c r="G42" s="50"/>
    </row>
    <row r="43" customFormat="false" ht="15" hidden="false" customHeight="true" outlineLevel="0" collapsed="false">
      <c r="A43" s="5" t="s">
        <v>292</v>
      </c>
      <c r="B43" s="5" t="s">
        <v>256</v>
      </c>
      <c r="C43" s="5" t="s">
        <v>257</v>
      </c>
      <c r="D43" s="42" t="n">
        <v>8000</v>
      </c>
      <c r="E43" s="5" t="s">
        <v>278</v>
      </c>
      <c r="F43" s="50"/>
      <c r="G43" s="50"/>
    </row>
    <row r="44" customFormat="false" ht="15" hidden="false" customHeight="true" outlineLevel="0" collapsed="false">
      <c r="A44" s="5" t="s">
        <v>292</v>
      </c>
      <c r="B44" s="5" t="s">
        <v>256</v>
      </c>
      <c r="C44" s="5" t="s">
        <v>264</v>
      </c>
      <c r="D44" s="42" t="n">
        <v>20000</v>
      </c>
      <c r="E44" s="5" t="s">
        <v>278</v>
      </c>
      <c r="F44" s="50"/>
      <c r="G44" s="50"/>
    </row>
    <row r="45" customFormat="false" ht="15" hidden="false" customHeight="true" outlineLevel="0" collapsed="false">
      <c r="A45" s="5" t="s">
        <v>292</v>
      </c>
      <c r="B45" s="5" t="s">
        <v>256</v>
      </c>
      <c r="C45" s="5" t="s">
        <v>267</v>
      </c>
      <c r="D45" s="42" t="n">
        <v>14880</v>
      </c>
      <c r="E45" s="5" t="s">
        <v>293</v>
      </c>
      <c r="F45" s="50"/>
      <c r="G45" s="50"/>
    </row>
    <row r="46" customFormat="false" ht="15" hidden="false" customHeight="true" outlineLevel="0" collapsed="false">
      <c r="A46" s="5" t="s">
        <v>292</v>
      </c>
      <c r="B46" s="5" t="s">
        <v>256</v>
      </c>
      <c r="C46" s="5" t="s">
        <v>257</v>
      </c>
      <c r="D46" s="42" t="n">
        <v>12000</v>
      </c>
      <c r="E46" s="5" t="s">
        <v>278</v>
      </c>
      <c r="F46" s="50"/>
      <c r="G46" s="50"/>
    </row>
    <row r="47" customFormat="false" ht="15" hidden="false" customHeight="true" outlineLevel="0" collapsed="false">
      <c r="A47" s="5" t="s">
        <v>216</v>
      </c>
      <c r="B47" s="5" t="s">
        <v>256</v>
      </c>
      <c r="C47" s="5" t="s">
        <v>286</v>
      </c>
      <c r="D47" s="42" t="n">
        <v>100000</v>
      </c>
      <c r="E47" s="5" t="s">
        <v>287</v>
      </c>
      <c r="F47" s="50"/>
      <c r="G47" s="50"/>
    </row>
    <row r="48" customFormat="false" ht="15" hidden="false" customHeight="true" outlineLevel="0" collapsed="false">
      <c r="A48" s="5" t="s">
        <v>216</v>
      </c>
      <c r="B48" s="5" t="s">
        <v>261</v>
      </c>
      <c r="C48" s="5" t="s">
        <v>283</v>
      </c>
      <c r="D48" s="42" t="n">
        <v>440300</v>
      </c>
      <c r="E48" s="5" t="s">
        <v>294</v>
      </c>
      <c r="F48" s="50"/>
      <c r="G48" s="50"/>
    </row>
    <row r="49" customFormat="false" ht="15" hidden="false" customHeight="true" outlineLevel="0" collapsed="false">
      <c r="A49" s="5" t="s">
        <v>216</v>
      </c>
      <c r="B49" s="5" t="s">
        <v>256</v>
      </c>
      <c r="C49" s="5" t="s">
        <v>295</v>
      </c>
      <c r="D49" s="42" t="n">
        <v>31955</v>
      </c>
      <c r="E49" s="5" t="s">
        <v>296</v>
      </c>
      <c r="F49" s="50"/>
      <c r="G49" s="50"/>
    </row>
    <row r="50" customFormat="false" ht="15" hidden="false" customHeight="true" outlineLevel="0" collapsed="false">
      <c r="A50" s="5" t="s">
        <v>216</v>
      </c>
      <c r="B50" s="5" t="s">
        <v>256</v>
      </c>
      <c r="C50" s="5" t="s">
        <v>275</v>
      </c>
      <c r="D50" s="42" t="n">
        <v>88073</v>
      </c>
      <c r="E50" s="5" t="s">
        <v>297</v>
      </c>
      <c r="F50" s="50"/>
      <c r="G50" s="50"/>
    </row>
    <row r="51" customFormat="false" ht="15" hidden="false" customHeight="true" outlineLevel="0" collapsed="false">
      <c r="A51" s="5" t="s">
        <v>216</v>
      </c>
      <c r="B51" s="5" t="s">
        <v>256</v>
      </c>
      <c r="C51" s="5" t="s">
        <v>275</v>
      </c>
      <c r="D51" s="42" t="n">
        <v>63065</v>
      </c>
      <c r="E51" s="5" t="s">
        <v>276</v>
      </c>
      <c r="F51" s="50"/>
      <c r="G51" s="50"/>
    </row>
    <row r="52" customFormat="false" ht="15" hidden="false" customHeight="true" outlineLevel="0" collapsed="false">
      <c r="A52" s="5" t="s">
        <v>216</v>
      </c>
      <c r="B52" s="5" t="s">
        <v>256</v>
      </c>
      <c r="C52" s="5" t="s">
        <v>275</v>
      </c>
      <c r="D52" s="42" t="n">
        <v>36259</v>
      </c>
      <c r="E52" s="5" t="s">
        <v>298</v>
      </c>
      <c r="F52" s="50"/>
      <c r="G52" s="50"/>
    </row>
    <row r="53" customFormat="false" ht="15" hidden="false" customHeight="true" outlineLevel="0" collapsed="false">
      <c r="A53" s="5" t="s">
        <v>299</v>
      </c>
      <c r="B53" s="5" t="s">
        <v>256</v>
      </c>
      <c r="C53" s="5" t="s">
        <v>257</v>
      </c>
      <c r="D53" s="42" t="n">
        <v>12000</v>
      </c>
      <c r="E53" s="5" t="s">
        <v>278</v>
      </c>
      <c r="F53" s="50"/>
      <c r="G53" s="50"/>
    </row>
    <row r="54" customFormat="false" ht="15" hidden="false" customHeight="true" outlineLevel="0" collapsed="false">
      <c r="A54" s="5" t="s">
        <v>299</v>
      </c>
      <c r="B54" s="5" t="s">
        <v>256</v>
      </c>
      <c r="C54" s="5" t="s">
        <v>264</v>
      </c>
      <c r="D54" s="42" t="n">
        <v>5000</v>
      </c>
      <c r="E54" s="5" t="s">
        <v>278</v>
      </c>
      <c r="F54" s="50"/>
      <c r="G54" s="50"/>
    </row>
    <row r="55" customFormat="false" ht="15" hidden="false" customHeight="true" outlineLevel="0" collapsed="false">
      <c r="A55" s="5" t="s">
        <v>299</v>
      </c>
      <c r="B55" s="5" t="s">
        <v>256</v>
      </c>
      <c r="C55" s="5" t="s">
        <v>275</v>
      </c>
      <c r="D55" s="42" t="n">
        <v>77990</v>
      </c>
      <c r="E55" s="5" t="s">
        <v>300</v>
      </c>
      <c r="F55" s="50"/>
      <c r="G55" s="50"/>
    </row>
    <row r="56" customFormat="false" ht="15" hidden="false" customHeight="true" outlineLevel="0" collapsed="false">
      <c r="A56" s="5" t="s">
        <v>218</v>
      </c>
      <c r="B56" s="5" t="s">
        <v>261</v>
      </c>
      <c r="C56" s="5" t="s">
        <v>301</v>
      </c>
      <c r="D56" s="42" t="n">
        <v>1650249</v>
      </c>
      <c r="E56" s="5" t="s">
        <v>263</v>
      </c>
      <c r="F56" s="50"/>
      <c r="G56" s="50"/>
    </row>
    <row r="57" customFormat="false" ht="15" hidden="false" customHeight="true" outlineLevel="0" collapsed="false">
      <c r="A57" s="5" t="s">
        <v>218</v>
      </c>
      <c r="B57" s="5" t="s">
        <v>256</v>
      </c>
      <c r="C57" s="5" t="s">
        <v>275</v>
      </c>
      <c r="D57" s="42" t="n">
        <v>83300</v>
      </c>
      <c r="E57" s="5" t="s">
        <v>302</v>
      </c>
      <c r="F57" s="50"/>
      <c r="G57" s="50"/>
    </row>
    <row r="58" customFormat="false" ht="15" hidden="false" customHeight="true" outlineLevel="0" collapsed="false">
      <c r="A58" s="5" t="s">
        <v>218</v>
      </c>
      <c r="B58" s="5" t="s">
        <v>256</v>
      </c>
      <c r="C58" s="5" t="s">
        <v>259</v>
      </c>
      <c r="D58" s="42" t="n">
        <v>30000</v>
      </c>
      <c r="E58" s="5" t="s">
        <v>303</v>
      </c>
      <c r="F58" s="50"/>
      <c r="G58" s="50"/>
    </row>
    <row r="59" customFormat="false" ht="15" hidden="false" customHeight="true" outlineLevel="0" collapsed="false">
      <c r="A59" s="5" t="s">
        <v>218</v>
      </c>
      <c r="B59" s="5" t="s">
        <v>256</v>
      </c>
      <c r="C59" s="5" t="s">
        <v>286</v>
      </c>
      <c r="D59" s="42" t="n">
        <v>200000</v>
      </c>
      <c r="E59" s="5" t="s">
        <v>258</v>
      </c>
      <c r="F59" s="50"/>
      <c r="G59" s="50"/>
    </row>
    <row r="60" customFormat="false" ht="15" hidden="false" customHeight="true" outlineLevel="0" collapsed="false">
      <c r="A60" s="5" t="s">
        <v>218</v>
      </c>
      <c r="B60" s="5" t="s">
        <v>256</v>
      </c>
      <c r="C60" s="5" t="s">
        <v>257</v>
      </c>
      <c r="D60" s="42" t="n">
        <v>12000</v>
      </c>
      <c r="E60" s="5" t="s">
        <v>278</v>
      </c>
      <c r="F60" s="50"/>
      <c r="G60" s="50"/>
    </row>
    <row r="61" customFormat="false" ht="15" hidden="false" customHeight="true" outlineLevel="0" collapsed="false">
      <c r="A61" s="5" t="s">
        <v>218</v>
      </c>
      <c r="B61" s="5" t="s">
        <v>256</v>
      </c>
      <c r="C61" s="5" t="s">
        <v>264</v>
      </c>
      <c r="D61" s="42" t="n">
        <v>38000</v>
      </c>
      <c r="E61" s="5" t="s">
        <v>278</v>
      </c>
      <c r="F61" s="50"/>
      <c r="G61" s="50"/>
    </row>
    <row r="62" customFormat="false" ht="15" hidden="false" customHeight="true" outlineLevel="0" collapsed="false">
      <c r="A62" s="5" t="s">
        <v>218</v>
      </c>
      <c r="B62" s="5" t="s">
        <v>256</v>
      </c>
      <c r="C62" s="5" t="s">
        <v>257</v>
      </c>
      <c r="D62" s="42" t="n">
        <v>12000</v>
      </c>
      <c r="E62" s="5" t="s">
        <v>278</v>
      </c>
      <c r="F62" s="50"/>
      <c r="G62" s="50"/>
    </row>
    <row r="63" customFormat="false" ht="15" hidden="false" customHeight="true" outlineLevel="0" collapsed="false">
      <c r="A63" s="5" t="s">
        <v>218</v>
      </c>
      <c r="B63" s="5" t="s">
        <v>256</v>
      </c>
      <c r="C63" s="5" t="s">
        <v>257</v>
      </c>
      <c r="D63" s="42" t="n">
        <v>12000</v>
      </c>
      <c r="E63" s="5" t="s">
        <v>287</v>
      </c>
      <c r="F63" s="50"/>
      <c r="G63" s="50"/>
    </row>
    <row r="64" customFormat="false" ht="15" hidden="false" customHeight="true" outlineLevel="0" collapsed="false">
      <c r="A64" s="5" t="s">
        <v>218</v>
      </c>
      <c r="B64" s="5" t="s">
        <v>256</v>
      </c>
      <c r="C64" s="5" t="s">
        <v>259</v>
      </c>
      <c r="D64" s="42" t="n">
        <v>1000000</v>
      </c>
      <c r="E64" s="5" t="s">
        <v>260</v>
      </c>
      <c r="F64" s="50"/>
      <c r="G64" s="50"/>
    </row>
    <row r="65" customFormat="false" ht="15" hidden="false" customHeight="true" outlineLevel="0" collapsed="false">
      <c r="A65" s="5" t="s">
        <v>218</v>
      </c>
      <c r="B65" s="5" t="s">
        <v>256</v>
      </c>
      <c r="C65" s="5" t="s">
        <v>264</v>
      </c>
      <c r="D65" s="42" t="n">
        <v>38000</v>
      </c>
      <c r="E65" s="5" t="s">
        <v>287</v>
      </c>
      <c r="F65" s="50"/>
      <c r="G65" s="50"/>
    </row>
    <row r="66" customFormat="false" ht="15" hidden="false" customHeight="true" outlineLevel="0" collapsed="false">
      <c r="A66" s="5" t="s">
        <v>218</v>
      </c>
      <c r="B66" s="5" t="s">
        <v>261</v>
      </c>
      <c r="C66" s="5" t="s">
        <v>265</v>
      </c>
      <c r="D66" s="42" t="n">
        <v>200000</v>
      </c>
      <c r="E66" s="5" t="s">
        <v>277</v>
      </c>
      <c r="F66" s="50"/>
      <c r="G66" s="50"/>
    </row>
    <row r="67" customFormat="false" ht="15" hidden="false" customHeight="true" outlineLevel="0" collapsed="false">
      <c r="A67" s="5" t="s">
        <v>218</v>
      </c>
      <c r="B67" s="5" t="s">
        <v>256</v>
      </c>
      <c r="C67" s="5" t="s">
        <v>267</v>
      </c>
      <c r="D67" s="42" t="n">
        <v>21470</v>
      </c>
      <c r="E67" s="5" t="s">
        <v>304</v>
      </c>
      <c r="F67" s="50"/>
      <c r="G67" s="50"/>
    </row>
    <row r="68" customFormat="false" ht="15" hidden="false" customHeight="true" outlineLevel="0" collapsed="false">
      <c r="A68" s="5" t="s">
        <v>220</v>
      </c>
      <c r="B68" s="5" t="s">
        <v>256</v>
      </c>
      <c r="C68" s="5" t="s">
        <v>267</v>
      </c>
      <c r="D68" s="42" t="n">
        <v>225000</v>
      </c>
      <c r="E68" s="5" t="s">
        <v>270</v>
      </c>
      <c r="F68" s="50"/>
      <c r="G68" s="50"/>
    </row>
    <row r="69" customFormat="false" ht="15" hidden="false" customHeight="true" outlineLevel="0" collapsed="false">
      <c r="A69" s="5" t="s">
        <v>220</v>
      </c>
      <c r="B69" s="5" t="s">
        <v>256</v>
      </c>
      <c r="C69" s="5" t="s">
        <v>264</v>
      </c>
      <c r="D69" s="42" t="n">
        <v>4000</v>
      </c>
      <c r="E69" s="5" t="s">
        <v>278</v>
      </c>
      <c r="F69" s="50"/>
      <c r="G69" s="50"/>
    </row>
    <row r="70" customFormat="false" ht="15" hidden="false" customHeight="true" outlineLevel="0" collapsed="false">
      <c r="A70" s="5" t="s">
        <v>220</v>
      </c>
      <c r="B70" s="5" t="s">
        <v>256</v>
      </c>
      <c r="C70" s="5" t="s">
        <v>257</v>
      </c>
      <c r="D70" s="42" t="n">
        <v>12000</v>
      </c>
      <c r="E70" s="5" t="s">
        <v>278</v>
      </c>
      <c r="F70" s="50"/>
      <c r="G70" s="50"/>
    </row>
    <row r="71" customFormat="false" ht="15" hidden="false" customHeight="true" outlineLevel="0" collapsed="false">
      <c r="A71" s="5" t="s">
        <v>220</v>
      </c>
      <c r="B71" s="5" t="s">
        <v>256</v>
      </c>
      <c r="C71" s="5" t="s">
        <v>264</v>
      </c>
      <c r="D71" s="42" t="n">
        <v>3000</v>
      </c>
      <c r="E71" s="5" t="s">
        <v>287</v>
      </c>
      <c r="F71" s="50"/>
      <c r="G71" s="50"/>
    </row>
    <row r="72" customFormat="false" ht="15" hidden="false" customHeight="true" outlineLevel="0" collapsed="false">
      <c r="A72" s="5" t="s">
        <v>220</v>
      </c>
      <c r="B72" s="5" t="s">
        <v>256</v>
      </c>
      <c r="C72" s="5" t="s">
        <v>257</v>
      </c>
      <c r="D72" s="42" t="n">
        <v>12000</v>
      </c>
      <c r="E72" s="5" t="s">
        <v>287</v>
      </c>
      <c r="F72" s="50"/>
      <c r="G72" s="50"/>
    </row>
    <row r="73" customFormat="false" ht="15" hidden="false" customHeight="true" outlineLevel="0" collapsed="false">
      <c r="A73" s="5" t="s">
        <v>305</v>
      </c>
      <c r="B73" s="5" t="s">
        <v>256</v>
      </c>
      <c r="C73" s="5" t="s">
        <v>264</v>
      </c>
      <c r="D73" s="42" t="n">
        <v>18000</v>
      </c>
      <c r="E73" s="5" t="s">
        <v>287</v>
      </c>
      <c r="F73" s="50"/>
      <c r="G73" s="50"/>
    </row>
    <row r="74" customFormat="false" ht="15" hidden="false" customHeight="true" outlineLevel="0" collapsed="false">
      <c r="A74" s="5" t="s">
        <v>305</v>
      </c>
      <c r="B74" s="5" t="s">
        <v>256</v>
      </c>
      <c r="C74" s="5" t="s">
        <v>257</v>
      </c>
      <c r="D74" s="42" t="n">
        <v>6800</v>
      </c>
      <c r="E74" s="5" t="s">
        <v>278</v>
      </c>
      <c r="F74" s="50"/>
      <c r="G74" s="50"/>
    </row>
    <row r="75" customFormat="false" ht="15" hidden="false" customHeight="true" outlineLevel="0" collapsed="false">
      <c r="A75" s="5" t="s">
        <v>305</v>
      </c>
      <c r="B75" s="5" t="s">
        <v>256</v>
      </c>
      <c r="C75" s="5" t="s">
        <v>257</v>
      </c>
      <c r="D75" s="42" t="n">
        <v>12000</v>
      </c>
      <c r="E75" s="5" t="s">
        <v>287</v>
      </c>
      <c r="F75" s="50"/>
      <c r="G75" s="50"/>
    </row>
    <row r="76" customFormat="false" ht="15" hidden="false" customHeight="true" outlineLevel="0" collapsed="false">
      <c r="A76" s="5" t="s">
        <v>305</v>
      </c>
      <c r="B76" s="5" t="s">
        <v>256</v>
      </c>
      <c r="C76" s="5" t="s">
        <v>257</v>
      </c>
      <c r="D76" s="42" t="n">
        <v>6000</v>
      </c>
      <c r="E76" s="5" t="s">
        <v>278</v>
      </c>
      <c r="F76" s="50"/>
      <c r="G76" s="50"/>
    </row>
    <row r="77" customFormat="false" ht="15" hidden="false" customHeight="true" outlineLevel="0" collapsed="false">
      <c r="A77" s="5" t="s">
        <v>305</v>
      </c>
      <c r="B77" s="5" t="s">
        <v>256</v>
      </c>
      <c r="C77" s="5" t="s">
        <v>264</v>
      </c>
      <c r="D77" s="42" t="n">
        <v>3000</v>
      </c>
      <c r="E77" s="5" t="s">
        <v>287</v>
      </c>
      <c r="F77" s="50"/>
      <c r="G77" s="50"/>
    </row>
    <row r="78" customFormat="false" ht="15" hidden="false" customHeight="true" outlineLevel="0" collapsed="false">
      <c r="A78" s="5" t="s">
        <v>305</v>
      </c>
      <c r="B78" s="5" t="s">
        <v>256</v>
      </c>
      <c r="C78" s="5" t="s">
        <v>257</v>
      </c>
      <c r="D78" s="42" t="n">
        <v>12000</v>
      </c>
      <c r="E78" s="5" t="s">
        <v>287</v>
      </c>
      <c r="F78" s="50"/>
      <c r="G78" s="50"/>
    </row>
    <row r="79" customFormat="false" ht="15" hidden="false" customHeight="true" outlineLevel="0" collapsed="false">
      <c r="A79" s="5" t="s">
        <v>305</v>
      </c>
      <c r="B79" s="5" t="s">
        <v>256</v>
      </c>
      <c r="C79" s="5" t="s">
        <v>264</v>
      </c>
      <c r="D79" s="42" t="n">
        <v>38000</v>
      </c>
      <c r="E79" s="5" t="s">
        <v>278</v>
      </c>
      <c r="F79" s="50"/>
      <c r="G79" s="50"/>
    </row>
    <row r="80" customFormat="false" ht="15" hidden="false" customHeight="true" outlineLevel="0" collapsed="false">
      <c r="A80" s="5" t="s">
        <v>305</v>
      </c>
      <c r="B80" s="5" t="s">
        <v>256</v>
      </c>
      <c r="C80" s="5" t="s">
        <v>257</v>
      </c>
      <c r="D80" s="42" t="n">
        <v>12000</v>
      </c>
      <c r="E80" s="5" t="s">
        <v>278</v>
      </c>
      <c r="F80" s="50"/>
      <c r="G80" s="50"/>
    </row>
    <row r="81" customFormat="false" ht="15" hidden="false" customHeight="true" outlineLevel="0" collapsed="false">
      <c r="A81" s="5" t="s">
        <v>306</v>
      </c>
      <c r="B81" s="5" t="s">
        <v>256</v>
      </c>
      <c r="C81" s="5" t="s">
        <v>264</v>
      </c>
      <c r="D81" s="42" t="n">
        <v>38000</v>
      </c>
      <c r="E81" s="5" t="s">
        <v>287</v>
      </c>
      <c r="F81" s="50"/>
      <c r="G81" s="50"/>
    </row>
    <row r="82" customFormat="false" ht="15" hidden="false" customHeight="true" outlineLevel="0" collapsed="false">
      <c r="A82" s="5" t="s">
        <v>306</v>
      </c>
      <c r="B82" s="5" t="s">
        <v>256</v>
      </c>
      <c r="C82" s="5" t="s">
        <v>257</v>
      </c>
      <c r="D82" s="42" t="n">
        <v>12000</v>
      </c>
      <c r="E82" s="5" t="s">
        <v>287</v>
      </c>
      <c r="F82" s="50"/>
      <c r="G82" s="50"/>
    </row>
    <row r="83" customFormat="false" ht="15" hidden="false" customHeight="true" outlineLevel="0" collapsed="false">
      <c r="A83" s="5" t="s">
        <v>306</v>
      </c>
      <c r="B83" s="5" t="s">
        <v>261</v>
      </c>
      <c r="C83" s="5" t="s">
        <v>262</v>
      </c>
      <c r="D83" s="42" t="n">
        <v>2813595</v>
      </c>
      <c r="E83" s="5" t="s">
        <v>307</v>
      </c>
      <c r="F83" s="50"/>
      <c r="G83" s="50"/>
    </row>
    <row r="84" customFormat="false" ht="15" hidden="false" customHeight="true" outlineLevel="0" collapsed="false">
      <c r="A84" s="5" t="s">
        <v>225</v>
      </c>
      <c r="B84" s="5" t="s">
        <v>256</v>
      </c>
      <c r="C84" s="5" t="s">
        <v>259</v>
      </c>
      <c r="D84" s="42" t="n">
        <v>1000000</v>
      </c>
      <c r="E84" s="5" t="s">
        <v>260</v>
      </c>
      <c r="F84" s="50"/>
      <c r="G84" s="50"/>
    </row>
    <row r="85" customFormat="false" ht="15" hidden="false" customHeight="true" outlineLevel="0" collapsed="false">
      <c r="A85" s="5" t="s">
        <v>225</v>
      </c>
      <c r="B85" s="5" t="s">
        <v>256</v>
      </c>
      <c r="C85" s="5" t="s">
        <v>267</v>
      </c>
      <c r="D85" s="42" t="n">
        <v>55000</v>
      </c>
      <c r="E85" s="5" t="s">
        <v>270</v>
      </c>
      <c r="F85" s="50"/>
      <c r="G85" s="50"/>
    </row>
    <row r="86" customFormat="false" ht="15" hidden="false" customHeight="true" outlineLevel="0" collapsed="false">
      <c r="A86" s="5" t="s">
        <v>225</v>
      </c>
      <c r="B86" s="5" t="s">
        <v>256</v>
      </c>
      <c r="C86" s="5" t="s">
        <v>308</v>
      </c>
      <c r="D86" s="42" t="n">
        <v>1000000</v>
      </c>
      <c r="E86" s="5" t="s">
        <v>309</v>
      </c>
      <c r="F86" s="50"/>
      <c r="G86" s="50"/>
    </row>
    <row r="87" customFormat="false" ht="15" hidden="false" customHeight="true" outlineLevel="0" collapsed="false">
      <c r="A87" s="5" t="s">
        <v>225</v>
      </c>
      <c r="B87" s="5" t="s">
        <v>256</v>
      </c>
      <c r="C87" s="5" t="s">
        <v>267</v>
      </c>
      <c r="D87" s="42" t="n">
        <v>150000</v>
      </c>
      <c r="E87" s="5" t="s">
        <v>288</v>
      </c>
      <c r="F87" s="50"/>
      <c r="G87" s="50"/>
    </row>
    <row r="88" customFormat="false" ht="15" hidden="false" customHeight="true" outlineLevel="0" collapsed="false">
      <c r="A88" s="5" t="s">
        <v>225</v>
      </c>
      <c r="B88" s="5" t="s">
        <v>256</v>
      </c>
      <c r="C88" s="5" t="s">
        <v>286</v>
      </c>
      <c r="D88" s="42" t="n">
        <v>70000</v>
      </c>
      <c r="E88" s="5" t="s">
        <v>287</v>
      </c>
      <c r="F88" s="50"/>
      <c r="G88" s="50"/>
    </row>
    <row r="89" customFormat="false" ht="15" hidden="false" customHeight="true" outlineLevel="0" collapsed="false">
      <c r="A89" s="5" t="s">
        <v>225</v>
      </c>
      <c r="B89" s="5" t="s">
        <v>256</v>
      </c>
      <c r="C89" s="5" t="s">
        <v>286</v>
      </c>
      <c r="D89" s="42" t="n">
        <v>300000</v>
      </c>
      <c r="E89" s="5" t="s">
        <v>290</v>
      </c>
      <c r="F89" s="50"/>
      <c r="G89" s="50"/>
    </row>
    <row r="90" customFormat="false" ht="15" hidden="false" customHeight="true" outlineLevel="0" collapsed="false">
      <c r="A90" s="5" t="s">
        <v>225</v>
      </c>
      <c r="B90" s="5" t="s">
        <v>256</v>
      </c>
      <c r="C90" s="5" t="s">
        <v>286</v>
      </c>
      <c r="D90" s="42" t="n">
        <v>250000</v>
      </c>
      <c r="E90" s="5" t="s">
        <v>278</v>
      </c>
      <c r="F90" s="50"/>
      <c r="G90" s="50"/>
    </row>
    <row r="91" customFormat="false" ht="15" hidden="false" customHeight="true" outlineLevel="0" collapsed="false">
      <c r="A91" s="5" t="s">
        <v>225</v>
      </c>
      <c r="B91" s="5" t="s">
        <v>261</v>
      </c>
      <c r="C91" s="5" t="s">
        <v>267</v>
      </c>
      <c r="D91" s="42" t="n">
        <v>760000</v>
      </c>
      <c r="E91" s="5" t="s">
        <v>310</v>
      </c>
      <c r="F91" s="50"/>
      <c r="G91" s="50"/>
    </row>
    <row r="92" customFormat="false" ht="15" hidden="false" customHeight="true" outlineLevel="0" collapsed="false">
      <c r="A92" s="5" t="s">
        <v>225</v>
      </c>
      <c r="B92" s="5" t="s">
        <v>256</v>
      </c>
      <c r="C92" s="5" t="s">
        <v>259</v>
      </c>
      <c r="D92" s="42" t="n">
        <v>19145</v>
      </c>
      <c r="E92" s="5" t="s">
        <v>303</v>
      </c>
      <c r="F92" s="50"/>
      <c r="G92" s="50"/>
    </row>
    <row r="93" customFormat="false" ht="15" hidden="false" customHeight="true" outlineLevel="0" collapsed="false">
      <c r="A93" s="5" t="s">
        <v>225</v>
      </c>
      <c r="B93" s="5" t="s">
        <v>256</v>
      </c>
      <c r="C93" s="5" t="s">
        <v>275</v>
      </c>
      <c r="D93" s="42" t="n">
        <v>25000</v>
      </c>
      <c r="E93" s="5" t="s">
        <v>311</v>
      </c>
      <c r="F93" s="50"/>
      <c r="G93" s="50"/>
    </row>
    <row r="94" customFormat="false" ht="15" hidden="false" customHeight="true" outlineLevel="0" collapsed="false">
      <c r="A94" s="5" t="s">
        <v>225</v>
      </c>
      <c r="B94" s="5" t="s">
        <v>256</v>
      </c>
      <c r="C94" s="5" t="s">
        <v>286</v>
      </c>
      <c r="D94" s="42" t="n">
        <v>400000</v>
      </c>
      <c r="E94" s="5" t="s">
        <v>258</v>
      </c>
      <c r="F94" s="50"/>
      <c r="G94" s="50"/>
    </row>
    <row r="95" customFormat="false" ht="15" hidden="false" customHeight="true" outlineLevel="0" collapsed="false">
      <c r="A95" s="5" t="s">
        <v>225</v>
      </c>
      <c r="B95" s="5" t="s">
        <v>256</v>
      </c>
      <c r="C95" s="5" t="s">
        <v>269</v>
      </c>
      <c r="D95" s="42" t="n">
        <v>300000</v>
      </c>
      <c r="E95" s="5" t="s">
        <v>289</v>
      </c>
      <c r="F95" s="50"/>
      <c r="G95" s="50"/>
    </row>
    <row r="96" customFormat="false" ht="15" hidden="false" customHeight="true" outlineLevel="0" collapsed="false">
      <c r="A96" s="5" t="s">
        <v>226</v>
      </c>
      <c r="B96" s="5" t="s">
        <v>256</v>
      </c>
      <c r="C96" s="5" t="s">
        <v>312</v>
      </c>
      <c r="D96" s="42" t="n">
        <v>9471</v>
      </c>
      <c r="E96" s="5" t="s">
        <v>313</v>
      </c>
      <c r="F96" s="50"/>
      <c r="G96" s="50"/>
    </row>
    <row r="97" customFormat="false" ht="15" hidden="false" customHeight="true" outlineLevel="0" collapsed="false">
      <c r="A97" s="5" t="s">
        <v>226</v>
      </c>
      <c r="B97" s="5" t="s">
        <v>256</v>
      </c>
      <c r="C97" s="5" t="s">
        <v>257</v>
      </c>
      <c r="D97" s="42" t="n">
        <v>12000</v>
      </c>
      <c r="E97" s="5" t="s">
        <v>287</v>
      </c>
      <c r="F97" s="50"/>
      <c r="G97" s="50"/>
    </row>
    <row r="98" customFormat="false" ht="15" hidden="false" customHeight="true" outlineLevel="0" collapsed="false">
      <c r="A98" s="5" t="s">
        <v>226</v>
      </c>
      <c r="B98" s="5" t="s">
        <v>256</v>
      </c>
      <c r="C98" s="5" t="s">
        <v>257</v>
      </c>
      <c r="D98" s="42" t="n">
        <v>12000</v>
      </c>
      <c r="E98" s="5" t="s">
        <v>290</v>
      </c>
      <c r="F98" s="50"/>
      <c r="G98" s="50"/>
    </row>
    <row r="99" customFormat="false" ht="15" hidden="false" customHeight="true" outlineLevel="0" collapsed="false">
      <c r="A99" s="5" t="s">
        <v>226</v>
      </c>
      <c r="B99" s="5" t="s">
        <v>256</v>
      </c>
      <c r="C99" s="5" t="s">
        <v>264</v>
      </c>
      <c r="D99" s="42" t="n">
        <v>5000</v>
      </c>
      <c r="E99" s="5" t="s">
        <v>287</v>
      </c>
      <c r="F99" s="50"/>
      <c r="G99" s="50"/>
    </row>
    <row r="100" customFormat="false" ht="15" hidden="false" customHeight="true" outlineLevel="0" collapsed="false">
      <c r="A100" s="5" t="s">
        <v>226</v>
      </c>
      <c r="B100" s="5" t="s">
        <v>256</v>
      </c>
      <c r="C100" s="5" t="s">
        <v>264</v>
      </c>
      <c r="D100" s="42" t="n">
        <v>3000</v>
      </c>
      <c r="E100" s="5" t="s">
        <v>278</v>
      </c>
      <c r="F100" s="50"/>
      <c r="G100" s="50"/>
    </row>
    <row r="101" customFormat="false" ht="15" hidden="false" customHeight="true" outlineLevel="0" collapsed="false">
      <c r="A101" s="5" t="s">
        <v>226</v>
      </c>
      <c r="B101" s="5" t="s">
        <v>256</v>
      </c>
      <c r="C101" s="5" t="s">
        <v>264</v>
      </c>
      <c r="D101" s="42" t="n">
        <v>20000</v>
      </c>
      <c r="E101" s="5" t="s">
        <v>290</v>
      </c>
      <c r="F101" s="50"/>
      <c r="G101" s="50"/>
    </row>
    <row r="102" customFormat="false" ht="15" hidden="false" customHeight="true" outlineLevel="0" collapsed="false">
      <c r="A102" s="5" t="s">
        <v>226</v>
      </c>
      <c r="B102" s="5" t="s">
        <v>256</v>
      </c>
      <c r="C102" s="5" t="s">
        <v>257</v>
      </c>
      <c r="D102" s="42" t="n">
        <v>12000</v>
      </c>
      <c r="E102" s="5" t="s">
        <v>278</v>
      </c>
      <c r="F102" s="50"/>
      <c r="G102" s="50"/>
    </row>
    <row r="103" customFormat="false" ht="15" hidden="false" customHeight="true" outlineLevel="0" collapsed="false">
      <c r="A103" s="5" t="s">
        <v>228</v>
      </c>
      <c r="B103" s="5" t="s">
        <v>256</v>
      </c>
      <c r="C103" s="5" t="s">
        <v>257</v>
      </c>
      <c r="D103" s="42" t="n">
        <v>12000</v>
      </c>
      <c r="E103" s="5" t="s">
        <v>278</v>
      </c>
      <c r="F103" s="50"/>
      <c r="G103" s="50"/>
    </row>
    <row r="104" customFormat="false" ht="15" hidden="false" customHeight="true" outlineLevel="0" collapsed="false">
      <c r="A104" s="5" t="s">
        <v>228</v>
      </c>
      <c r="B104" s="5" t="s">
        <v>256</v>
      </c>
      <c r="C104" s="5" t="s">
        <v>275</v>
      </c>
      <c r="D104" s="42" t="n">
        <v>31319</v>
      </c>
      <c r="E104" s="5" t="s">
        <v>314</v>
      </c>
      <c r="F104" s="50"/>
      <c r="G104" s="50"/>
    </row>
    <row r="105" customFormat="false" ht="15" hidden="false" customHeight="true" outlineLevel="0" collapsed="false">
      <c r="A105" s="5" t="s">
        <v>228</v>
      </c>
      <c r="B105" s="5" t="s">
        <v>261</v>
      </c>
      <c r="C105" s="5" t="s">
        <v>301</v>
      </c>
      <c r="D105" s="42" t="n">
        <v>198000</v>
      </c>
      <c r="E105" s="5" t="s">
        <v>263</v>
      </c>
      <c r="F105" s="50"/>
      <c r="G105" s="50"/>
    </row>
    <row r="106" customFormat="false" ht="15" hidden="false" customHeight="true" outlineLevel="0" collapsed="false">
      <c r="A106" s="5" t="s">
        <v>228</v>
      </c>
      <c r="B106" s="5" t="s">
        <v>256</v>
      </c>
      <c r="C106" s="5" t="s">
        <v>259</v>
      </c>
      <c r="D106" s="42" t="n">
        <v>150000</v>
      </c>
      <c r="E106" s="5" t="s">
        <v>260</v>
      </c>
      <c r="F106" s="50"/>
      <c r="G106" s="50"/>
    </row>
    <row r="107" customFormat="false" ht="15" hidden="false" customHeight="true" outlineLevel="0" collapsed="false">
      <c r="A107" s="5" t="s">
        <v>228</v>
      </c>
      <c r="B107" s="5" t="s">
        <v>256</v>
      </c>
      <c r="C107" s="5" t="s">
        <v>257</v>
      </c>
      <c r="D107" s="42" t="n">
        <v>12000</v>
      </c>
      <c r="E107" s="5" t="s">
        <v>287</v>
      </c>
      <c r="F107" s="50"/>
      <c r="G107" s="50"/>
    </row>
    <row r="108" customFormat="false" ht="15" hidden="false" customHeight="true" outlineLevel="0" collapsed="false">
      <c r="A108" s="5" t="s">
        <v>228</v>
      </c>
      <c r="B108" s="5" t="s">
        <v>256</v>
      </c>
      <c r="C108" s="5" t="s">
        <v>259</v>
      </c>
      <c r="D108" s="42" t="n">
        <v>160000</v>
      </c>
      <c r="E108" s="5" t="s">
        <v>260</v>
      </c>
      <c r="F108" s="50"/>
      <c r="G108" s="50"/>
    </row>
    <row r="109" customFormat="false" ht="15" hidden="false" customHeight="true" outlineLevel="0" collapsed="false">
      <c r="A109" s="5" t="s">
        <v>228</v>
      </c>
      <c r="B109" s="5" t="s">
        <v>261</v>
      </c>
      <c r="C109" s="5" t="s">
        <v>262</v>
      </c>
      <c r="D109" s="42" t="n">
        <v>2234722</v>
      </c>
      <c r="E109" s="5" t="s">
        <v>307</v>
      </c>
      <c r="F109" s="50"/>
      <c r="G109" s="50"/>
    </row>
    <row r="110" customFormat="false" ht="15" hidden="false" customHeight="true" outlineLevel="0" collapsed="false">
      <c r="A110" s="5" t="s">
        <v>229</v>
      </c>
      <c r="B110" s="5" t="s">
        <v>256</v>
      </c>
      <c r="C110" s="5" t="s">
        <v>264</v>
      </c>
      <c r="D110" s="42" t="n">
        <v>3000</v>
      </c>
      <c r="E110" s="5" t="s">
        <v>290</v>
      </c>
      <c r="F110" s="50"/>
      <c r="G110" s="50"/>
    </row>
    <row r="111" customFormat="false" ht="15" hidden="false" customHeight="true" outlineLevel="0" collapsed="false">
      <c r="A111" s="5" t="s">
        <v>229</v>
      </c>
      <c r="B111" s="5" t="s">
        <v>256</v>
      </c>
      <c r="C111" s="5" t="s">
        <v>257</v>
      </c>
      <c r="D111" s="42" t="n">
        <v>12000</v>
      </c>
      <c r="E111" s="5" t="s">
        <v>290</v>
      </c>
      <c r="F111" s="50"/>
      <c r="G111" s="50"/>
    </row>
    <row r="112" customFormat="false" ht="15" hidden="false" customHeight="true" outlineLevel="0" collapsed="false">
      <c r="A112" s="5" t="s">
        <v>229</v>
      </c>
      <c r="B112" s="5" t="s">
        <v>256</v>
      </c>
      <c r="C112" s="5" t="s">
        <v>259</v>
      </c>
      <c r="D112" s="42" t="n">
        <v>1000000</v>
      </c>
      <c r="E112" s="5" t="s">
        <v>260</v>
      </c>
      <c r="F112" s="50"/>
      <c r="G112" s="50"/>
    </row>
    <row r="113" customFormat="false" ht="15" hidden="false" customHeight="true" outlineLevel="0" collapsed="false">
      <c r="A113" s="5" t="s">
        <v>229</v>
      </c>
      <c r="B113" s="5" t="s">
        <v>256</v>
      </c>
      <c r="C113" s="5" t="s">
        <v>264</v>
      </c>
      <c r="D113" s="42" t="n">
        <v>8000</v>
      </c>
      <c r="E113" s="5" t="s">
        <v>287</v>
      </c>
      <c r="F113" s="50"/>
      <c r="G113" s="50"/>
    </row>
    <row r="114" customFormat="false" ht="15" hidden="false" customHeight="true" outlineLevel="0" collapsed="false">
      <c r="A114" s="5" t="s">
        <v>229</v>
      </c>
      <c r="B114" s="5" t="s">
        <v>256</v>
      </c>
      <c r="C114" s="5" t="s">
        <v>257</v>
      </c>
      <c r="D114" s="42" t="n">
        <v>12000</v>
      </c>
      <c r="E114" s="5" t="s">
        <v>287</v>
      </c>
      <c r="F114" s="50"/>
      <c r="G114" s="50"/>
    </row>
    <row r="115" customFormat="false" ht="15" hidden="false" customHeight="true" outlineLevel="0" collapsed="false">
      <c r="A115" s="5" t="s">
        <v>229</v>
      </c>
      <c r="B115" s="5" t="s">
        <v>256</v>
      </c>
      <c r="C115" s="5" t="s">
        <v>308</v>
      </c>
      <c r="D115" s="42" t="n">
        <v>405600</v>
      </c>
      <c r="E115" s="5" t="s">
        <v>315</v>
      </c>
      <c r="F115" s="50"/>
      <c r="G115" s="50"/>
    </row>
    <row r="116" customFormat="false" ht="15" hidden="false" customHeight="true" outlineLevel="0" collapsed="false">
      <c r="A116" s="5" t="s">
        <v>233</v>
      </c>
      <c r="B116" s="5" t="s">
        <v>256</v>
      </c>
      <c r="C116" s="5" t="s">
        <v>286</v>
      </c>
      <c r="D116" s="42" t="n">
        <v>20000</v>
      </c>
      <c r="E116" s="5" t="s">
        <v>278</v>
      </c>
      <c r="F116" s="50"/>
      <c r="G116" s="50"/>
    </row>
    <row r="117" customFormat="false" ht="15" hidden="false" customHeight="true" outlineLevel="0" collapsed="false">
      <c r="A117" s="5" t="s">
        <v>233</v>
      </c>
      <c r="B117" s="5" t="s">
        <v>256</v>
      </c>
      <c r="C117" s="5" t="s">
        <v>275</v>
      </c>
      <c r="D117" s="42" t="n">
        <v>19999</v>
      </c>
      <c r="E117" s="5" t="s">
        <v>316</v>
      </c>
      <c r="F117" s="50"/>
      <c r="G117" s="50"/>
    </row>
    <row r="118" customFormat="false" ht="15" hidden="false" customHeight="true" outlineLevel="0" collapsed="false">
      <c r="A118" s="5" t="s">
        <v>233</v>
      </c>
      <c r="B118" s="5" t="s">
        <v>256</v>
      </c>
      <c r="C118" s="5" t="s">
        <v>275</v>
      </c>
      <c r="D118" s="42" t="n">
        <v>19781</v>
      </c>
      <c r="E118" s="5" t="s">
        <v>316</v>
      </c>
      <c r="F118" s="50"/>
      <c r="G118" s="50"/>
    </row>
    <row r="119" customFormat="false" ht="15" hidden="false" customHeight="true" outlineLevel="0" collapsed="false">
      <c r="A119" s="5" t="s">
        <v>233</v>
      </c>
      <c r="B119" s="5" t="s">
        <v>261</v>
      </c>
      <c r="C119" s="5" t="s">
        <v>283</v>
      </c>
      <c r="D119" s="42" t="n">
        <v>357000</v>
      </c>
      <c r="E119" s="5" t="s">
        <v>317</v>
      </c>
      <c r="F119" s="50"/>
      <c r="G119" s="50"/>
    </row>
    <row r="120" customFormat="false" ht="15" hidden="false" customHeight="true" outlineLevel="0" collapsed="false">
      <c r="A120" s="5" t="s">
        <v>233</v>
      </c>
      <c r="B120" s="5" t="s">
        <v>256</v>
      </c>
      <c r="C120" s="5" t="s">
        <v>286</v>
      </c>
      <c r="D120" s="42" t="n">
        <v>29000</v>
      </c>
      <c r="E120" s="5" t="s">
        <v>290</v>
      </c>
      <c r="F120" s="50"/>
      <c r="G120" s="50"/>
    </row>
    <row r="121" customFormat="false" ht="15" hidden="false" customHeight="true" outlineLevel="0" collapsed="false">
      <c r="A121" s="5" t="s">
        <v>233</v>
      </c>
      <c r="B121" s="5" t="s">
        <v>256</v>
      </c>
      <c r="C121" s="5" t="s">
        <v>286</v>
      </c>
      <c r="D121" s="42" t="n">
        <v>20000</v>
      </c>
      <c r="E121" s="5" t="s">
        <v>287</v>
      </c>
      <c r="F121" s="50"/>
      <c r="G121" s="50"/>
    </row>
    <row r="122" customFormat="false" ht="15" hidden="false" customHeight="true" outlineLevel="0" collapsed="false">
      <c r="A122" s="5" t="s">
        <v>233</v>
      </c>
      <c r="B122" s="5" t="s">
        <v>256</v>
      </c>
      <c r="C122" s="5" t="s">
        <v>318</v>
      </c>
      <c r="D122" s="42" t="n">
        <v>20000</v>
      </c>
      <c r="E122" s="5" t="s">
        <v>289</v>
      </c>
      <c r="F122" s="50"/>
      <c r="G122" s="50"/>
    </row>
    <row r="123" customFormat="false" ht="15" hidden="false" customHeight="true" outlineLevel="0" collapsed="false">
      <c r="A123" s="5" t="s">
        <v>230</v>
      </c>
      <c r="B123" s="5" t="s">
        <v>256</v>
      </c>
      <c r="C123" s="5" t="s">
        <v>275</v>
      </c>
      <c r="D123" s="42" t="n">
        <v>4200</v>
      </c>
      <c r="E123" s="5" t="s">
        <v>319</v>
      </c>
      <c r="F123" s="50"/>
      <c r="G123" s="50"/>
    </row>
    <row r="124" customFormat="false" ht="15" hidden="false" customHeight="true" outlineLevel="0" collapsed="false">
      <c r="A124" s="5" t="s">
        <v>230</v>
      </c>
      <c r="B124" s="5" t="s">
        <v>256</v>
      </c>
      <c r="C124" s="5" t="s">
        <v>320</v>
      </c>
      <c r="D124" s="42" t="n">
        <v>58001</v>
      </c>
      <c r="E124" s="5" t="s">
        <v>321</v>
      </c>
      <c r="F124" s="50"/>
      <c r="G124" s="50"/>
    </row>
    <row r="125" customFormat="false" ht="15" hidden="false" customHeight="true" outlineLevel="0" collapsed="false">
      <c r="A125" s="5" t="s">
        <v>230</v>
      </c>
      <c r="B125" s="5" t="s">
        <v>256</v>
      </c>
      <c r="C125" s="5" t="s">
        <v>275</v>
      </c>
      <c r="D125" s="42" t="n">
        <v>38000</v>
      </c>
      <c r="E125" s="5" t="s">
        <v>322</v>
      </c>
      <c r="F125" s="50"/>
      <c r="G125" s="50"/>
    </row>
    <row r="126" customFormat="false" ht="15" hidden="false" customHeight="true" outlineLevel="0" collapsed="false">
      <c r="A126" s="5" t="s">
        <v>230</v>
      </c>
      <c r="B126" s="5" t="s">
        <v>256</v>
      </c>
      <c r="C126" s="5" t="s">
        <v>318</v>
      </c>
      <c r="D126" s="42" t="n">
        <v>25000</v>
      </c>
      <c r="E126" s="5" t="s">
        <v>289</v>
      </c>
      <c r="F126" s="50"/>
      <c r="G126" s="50"/>
    </row>
    <row r="127" customFormat="false" ht="15" hidden="false" customHeight="true" outlineLevel="0" collapsed="false">
      <c r="A127" s="5" t="s">
        <v>230</v>
      </c>
      <c r="B127" s="5" t="s">
        <v>261</v>
      </c>
      <c r="C127" s="5" t="s">
        <v>265</v>
      </c>
      <c r="D127" s="42" t="n">
        <v>1000000</v>
      </c>
      <c r="E127" s="5" t="s">
        <v>277</v>
      </c>
      <c r="F127" s="50"/>
      <c r="G127" s="50"/>
    </row>
    <row r="128" customFormat="false" ht="15" hidden="false" customHeight="true" outlineLevel="0" collapsed="false">
      <c r="A128" s="5" t="s">
        <v>230</v>
      </c>
      <c r="B128" s="5" t="s">
        <v>261</v>
      </c>
      <c r="C128" s="5" t="s">
        <v>320</v>
      </c>
      <c r="D128" s="42" t="n">
        <v>490200</v>
      </c>
      <c r="E128" s="5" t="s">
        <v>323</v>
      </c>
      <c r="F128" s="50"/>
      <c r="G128" s="50"/>
    </row>
    <row r="129" customFormat="false" ht="15" hidden="false" customHeight="true" outlineLevel="0" collapsed="false">
      <c r="A129" s="5" t="s">
        <v>230</v>
      </c>
      <c r="B129" s="5" t="s">
        <v>261</v>
      </c>
      <c r="C129" s="5" t="s">
        <v>320</v>
      </c>
      <c r="D129" s="42" t="n">
        <v>200000</v>
      </c>
      <c r="E129" s="5" t="s">
        <v>323</v>
      </c>
      <c r="F129" s="50"/>
      <c r="G129" s="50"/>
    </row>
    <row r="130" customFormat="false" ht="15" hidden="false" customHeight="true" outlineLevel="0" collapsed="false">
      <c r="A130" s="5" t="s">
        <v>230</v>
      </c>
      <c r="B130" s="5" t="s">
        <v>256</v>
      </c>
      <c r="C130" s="5" t="s">
        <v>275</v>
      </c>
      <c r="D130" s="42" t="n">
        <v>296037</v>
      </c>
      <c r="E130" s="5" t="s">
        <v>324</v>
      </c>
      <c r="F130" s="50"/>
      <c r="G130" s="50"/>
    </row>
    <row r="131" customFormat="false" ht="15" hidden="false" customHeight="true" outlineLevel="0" collapsed="false">
      <c r="A131" s="5" t="s">
        <v>230</v>
      </c>
      <c r="B131" s="5" t="s">
        <v>256</v>
      </c>
      <c r="C131" s="5" t="s">
        <v>286</v>
      </c>
      <c r="D131" s="42" t="n">
        <v>120000</v>
      </c>
      <c r="E131" s="5" t="s">
        <v>287</v>
      </c>
      <c r="F131" s="50"/>
      <c r="G131" s="50"/>
    </row>
    <row r="132" customFormat="false" ht="15" hidden="false" customHeight="true" outlineLevel="0" collapsed="false">
      <c r="A132" s="5" t="s">
        <v>230</v>
      </c>
      <c r="B132" s="5" t="s">
        <v>256</v>
      </c>
      <c r="C132" s="5" t="s">
        <v>325</v>
      </c>
      <c r="D132" s="42" t="n">
        <v>80000</v>
      </c>
      <c r="E132" s="5" t="s">
        <v>326</v>
      </c>
      <c r="F132" s="50"/>
      <c r="G132" s="50"/>
    </row>
    <row r="133" customFormat="false" ht="15" hidden="false" customHeight="true" outlineLevel="0" collapsed="false">
      <c r="A133" s="5" t="s">
        <v>230</v>
      </c>
      <c r="B133" s="5" t="s">
        <v>256</v>
      </c>
      <c r="C133" s="5" t="s">
        <v>286</v>
      </c>
      <c r="D133" s="42" t="n">
        <v>70000</v>
      </c>
      <c r="E133" s="5" t="s">
        <v>278</v>
      </c>
      <c r="F133" s="50"/>
      <c r="G133" s="50"/>
    </row>
    <row r="134" customFormat="false" ht="15" hidden="false" customHeight="true" outlineLevel="0" collapsed="false">
      <c r="A134" s="5" t="s">
        <v>230</v>
      </c>
      <c r="B134" s="5" t="s">
        <v>256</v>
      </c>
      <c r="C134" s="5" t="s">
        <v>275</v>
      </c>
      <c r="D134" s="42" t="n">
        <v>66878</v>
      </c>
      <c r="E134" s="5" t="s">
        <v>327</v>
      </c>
      <c r="F134" s="50"/>
      <c r="G134" s="50"/>
    </row>
    <row r="135" customFormat="false" ht="15" hidden="false" customHeight="true" outlineLevel="0" collapsed="false">
      <c r="A135" s="5" t="s">
        <v>230</v>
      </c>
      <c r="B135" s="5" t="s">
        <v>256</v>
      </c>
      <c r="C135" s="5" t="s">
        <v>325</v>
      </c>
      <c r="D135" s="42" t="n">
        <v>60000</v>
      </c>
      <c r="E135" s="5" t="s">
        <v>326</v>
      </c>
      <c r="F135" s="50"/>
      <c r="G135" s="50"/>
    </row>
    <row r="136" customFormat="false" ht="15" hidden="false" customHeight="true" outlineLevel="0" collapsed="false">
      <c r="A136" s="5" t="s">
        <v>230</v>
      </c>
      <c r="B136" s="5" t="s">
        <v>256</v>
      </c>
      <c r="C136" s="5" t="s">
        <v>286</v>
      </c>
      <c r="D136" s="42" t="n">
        <v>18000</v>
      </c>
      <c r="E136" s="5" t="s">
        <v>270</v>
      </c>
      <c r="F136" s="50"/>
      <c r="G136" s="50"/>
    </row>
    <row r="137" customFormat="false" ht="15" hidden="false" customHeight="true" outlineLevel="0" collapsed="false">
      <c r="A137" s="5" t="s">
        <v>230</v>
      </c>
      <c r="B137" s="5" t="s">
        <v>256</v>
      </c>
      <c r="C137" s="5" t="s">
        <v>275</v>
      </c>
      <c r="D137" s="42" t="n">
        <v>16500</v>
      </c>
      <c r="E137" s="5" t="s">
        <v>319</v>
      </c>
      <c r="F137" s="50"/>
      <c r="G137" s="50"/>
    </row>
    <row r="138" customFormat="false" ht="15" hidden="false" customHeight="true" outlineLevel="0" collapsed="false">
      <c r="A138" s="5" t="s">
        <v>230</v>
      </c>
      <c r="B138" s="5" t="s">
        <v>256</v>
      </c>
      <c r="C138" s="5" t="s">
        <v>286</v>
      </c>
      <c r="D138" s="42" t="n">
        <v>15000</v>
      </c>
      <c r="E138" s="5" t="s">
        <v>278</v>
      </c>
      <c r="F138" s="50"/>
      <c r="G138" s="50"/>
    </row>
    <row r="139" customFormat="false" ht="15" hidden="false" customHeight="true" outlineLevel="0" collapsed="false">
      <c r="A139" s="5" t="s">
        <v>230</v>
      </c>
      <c r="B139" s="5" t="s">
        <v>256</v>
      </c>
      <c r="C139" s="5" t="s">
        <v>286</v>
      </c>
      <c r="D139" s="42" t="n">
        <v>12000</v>
      </c>
      <c r="E139" s="5" t="s">
        <v>287</v>
      </c>
      <c r="F139" s="50"/>
      <c r="G139" s="50"/>
    </row>
    <row r="140" customFormat="false" ht="15" hidden="false" customHeight="true" outlineLevel="0" collapsed="false">
      <c r="A140" s="5" t="s">
        <v>230</v>
      </c>
      <c r="B140" s="5" t="s">
        <v>256</v>
      </c>
      <c r="C140" s="5" t="s">
        <v>275</v>
      </c>
      <c r="D140" s="42" t="n">
        <v>6950</v>
      </c>
      <c r="E140" s="5" t="s">
        <v>328</v>
      </c>
      <c r="F140" s="50"/>
      <c r="G140" s="50"/>
    </row>
    <row r="141" customFormat="false" ht="15" hidden="false" customHeight="true" outlineLevel="0" collapsed="false">
      <c r="A141" s="5" t="s">
        <v>230</v>
      </c>
      <c r="B141" s="5" t="s">
        <v>256</v>
      </c>
      <c r="C141" s="5" t="s">
        <v>275</v>
      </c>
      <c r="D141" s="42" t="n">
        <v>6700</v>
      </c>
      <c r="E141" s="5" t="s">
        <v>319</v>
      </c>
      <c r="F141" s="50"/>
      <c r="G141" s="50"/>
    </row>
    <row r="142" customFormat="false" ht="15" hidden="false" customHeight="true" outlineLevel="0" collapsed="false">
      <c r="A142" s="5" t="s">
        <v>230</v>
      </c>
      <c r="B142" s="5" t="s">
        <v>256</v>
      </c>
      <c r="C142" s="5" t="s">
        <v>286</v>
      </c>
      <c r="D142" s="42" t="n">
        <v>3000</v>
      </c>
      <c r="E142" s="5" t="s">
        <v>287</v>
      </c>
      <c r="F142" s="50"/>
      <c r="G142" s="50"/>
    </row>
    <row r="143" customFormat="false" ht="15" hidden="false" customHeight="true" outlineLevel="0" collapsed="false">
      <c r="A143" s="5" t="s">
        <v>239</v>
      </c>
      <c r="B143" s="5" t="s">
        <v>256</v>
      </c>
      <c r="C143" s="5" t="s">
        <v>259</v>
      </c>
      <c r="D143" s="42" t="n">
        <v>800000</v>
      </c>
      <c r="E143" s="5" t="s">
        <v>260</v>
      </c>
      <c r="F143" s="50"/>
      <c r="G143" s="50"/>
    </row>
    <row r="144" customFormat="false" ht="15" hidden="false" customHeight="true" outlineLevel="0" collapsed="false">
      <c r="A144" s="5" t="s">
        <v>239</v>
      </c>
      <c r="B144" s="5" t="s">
        <v>256</v>
      </c>
      <c r="C144" s="5" t="s">
        <v>318</v>
      </c>
      <c r="D144" s="42" t="n">
        <v>170000</v>
      </c>
      <c r="E144" s="5" t="s">
        <v>289</v>
      </c>
      <c r="F144" s="50"/>
      <c r="G144" s="50"/>
    </row>
    <row r="145" customFormat="false" ht="15" hidden="false" customHeight="true" outlineLevel="0" collapsed="false">
      <c r="A145" s="5" t="s">
        <v>239</v>
      </c>
      <c r="B145" s="5" t="s">
        <v>256</v>
      </c>
      <c r="C145" s="5" t="s">
        <v>325</v>
      </c>
      <c r="D145" s="42" t="n">
        <v>100000</v>
      </c>
      <c r="E145" s="5" t="s">
        <v>326</v>
      </c>
      <c r="F145" s="50"/>
      <c r="G145" s="50"/>
    </row>
    <row r="146" customFormat="false" ht="15" hidden="false" customHeight="true" outlineLevel="0" collapsed="false">
      <c r="A146" s="5" t="s">
        <v>239</v>
      </c>
      <c r="B146" s="5" t="s">
        <v>256</v>
      </c>
      <c r="C146" s="5" t="s">
        <v>286</v>
      </c>
      <c r="D146" s="42" t="n">
        <v>97000</v>
      </c>
      <c r="E146" s="5" t="s">
        <v>329</v>
      </c>
      <c r="F146" s="50"/>
      <c r="G146" s="50"/>
    </row>
    <row r="147" customFormat="false" ht="15" hidden="false" customHeight="true" outlineLevel="0" collapsed="false">
      <c r="A147" s="5" t="s">
        <v>239</v>
      </c>
      <c r="B147" s="5" t="s">
        <v>256</v>
      </c>
      <c r="C147" s="5" t="s">
        <v>286</v>
      </c>
      <c r="D147" s="42" t="n">
        <v>20000</v>
      </c>
      <c r="E147" s="5" t="s">
        <v>287</v>
      </c>
      <c r="F147" s="50"/>
      <c r="G147" s="50"/>
    </row>
    <row r="148" customFormat="false" ht="15" hidden="false" customHeight="true" outlineLevel="0" collapsed="false">
      <c r="A148" s="5" t="s">
        <v>239</v>
      </c>
      <c r="B148" s="5" t="s">
        <v>256</v>
      </c>
      <c r="C148" s="5" t="s">
        <v>286</v>
      </c>
      <c r="D148" s="42" t="n">
        <v>15000</v>
      </c>
      <c r="E148" s="5" t="s">
        <v>278</v>
      </c>
      <c r="F148" s="50"/>
      <c r="G148" s="50"/>
    </row>
    <row r="149" customFormat="false" ht="15" hidden="false" customHeight="true" outlineLevel="0" collapsed="false">
      <c r="A149" s="5" t="s">
        <v>242</v>
      </c>
      <c r="B149" s="5" t="s">
        <v>261</v>
      </c>
      <c r="C149" s="5" t="s">
        <v>265</v>
      </c>
      <c r="D149" s="42" t="n">
        <v>500000</v>
      </c>
      <c r="E149" s="5" t="s">
        <v>277</v>
      </c>
      <c r="F149" s="50"/>
      <c r="G149" s="50"/>
    </row>
    <row r="150" customFormat="false" ht="15" hidden="false" customHeight="true" outlineLevel="0" collapsed="false">
      <c r="A150" s="5" t="s">
        <v>242</v>
      </c>
      <c r="B150" s="5" t="s">
        <v>261</v>
      </c>
      <c r="C150" s="5" t="s">
        <v>325</v>
      </c>
      <c r="D150" s="42" t="n">
        <v>500000</v>
      </c>
      <c r="E150" s="5" t="s">
        <v>330</v>
      </c>
      <c r="F150" s="50"/>
      <c r="G150" s="50"/>
    </row>
    <row r="151" customFormat="false" ht="15" hidden="false" customHeight="true" outlineLevel="0" collapsed="false">
      <c r="A151" s="5" t="s">
        <v>242</v>
      </c>
      <c r="B151" s="5" t="s">
        <v>256</v>
      </c>
      <c r="C151" s="5" t="s">
        <v>259</v>
      </c>
      <c r="D151" s="42" t="n">
        <v>700000</v>
      </c>
      <c r="E151" s="5" t="s">
        <v>260</v>
      </c>
      <c r="F151" s="50"/>
      <c r="G151" s="50"/>
    </row>
    <row r="152" customFormat="false" ht="15" hidden="false" customHeight="true" outlineLevel="0" collapsed="false">
      <c r="A152" s="5" t="s">
        <v>242</v>
      </c>
      <c r="B152" s="5" t="s">
        <v>256</v>
      </c>
      <c r="C152" s="5" t="s">
        <v>286</v>
      </c>
      <c r="D152" s="42" t="n">
        <v>100000</v>
      </c>
      <c r="E152" s="5" t="s">
        <v>287</v>
      </c>
      <c r="F152" s="50"/>
      <c r="G152" s="50"/>
    </row>
    <row r="153" customFormat="false" ht="15" hidden="false" customHeight="true" outlineLevel="0" collapsed="false">
      <c r="A153" s="5" t="s">
        <v>242</v>
      </c>
      <c r="B153" s="5" t="s">
        <v>256</v>
      </c>
      <c r="C153" s="5" t="s">
        <v>275</v>
      </c>
      <c r="D153" s="42" t="n">
        <v>76668</v>
      </c>
      <c r="E153" s="5" t="s">
        <v>316</v>
      </c>
      <c r="F153" s="50"/>
      <c r="G153" s="50"/>
    </row>
    <row r="154" customFormat="false" ht="15" hidden="false" customHeight="true" outlineLevel="0" collapsed="false">
      <c r="A154" s="5" t="s">
        <v>242</v>
      </c>
      <c r="B154" s="5" t="s">
        <v>256</v>
      </c>
      <c r="C154" s="5" t="s">
        <v>286</v>
      </c>
      <c r="D154" s="42" t="n">
        <v>53000</v>
      </c>
      <c r="E154" s="5" t="s">
        <v>287</v>
      </c>
      <c r="F154" s="50"/>
      <c r="G154" s="50"/>
    </row>
    <row r="155" customFormat="false" ht="15" hidden="false" customHeight="true" outlineLevel="0" collapsed="false">
      <c r="A155" s="5" t="s">
        <v>242</v>
      </c>
      <c r="B155" s="5" t="s">
        <v>256</v>
      </c>
      <c r="C155" s="5" t="s">
        <v>325</v>
      </c>
      <c r="D155" s="42" t="n">
        <v>50000</v>
      </c>
      <c r="E155" s="5" t="s">
        <v>326</v>
      </c>
      <c r="F155" s="50"/>
      <c r="G155" s="50"/>
    </row>
    <row r="156" customFormat="false" ht="15" hidden="false" customHeight="true" outlineLevel="0" collapsed="false">
      <c r="A156" s="5" t="s">
        <v>242</v>
      </c>
      <c r="B156" s="5" t="s">
        <v>256</v>
      </c>
      <c r="C156" s="5" t="s">
        <v>286</v>
      </c>
      <c r="D156" s="42" t="n">
        <v>39000</v>
      </c>
      <c r="E156" s="5" t="s">
        <v>290</v>
      </c>
      <c r="F156" s="50"/>
      <c r="G156" s="50"/>
    </row>
    <row r="157" customFormat="false" ht="15" hidden="false" customHeight="true" outlineLevel="0" collapsed="false">
      <c r="A157" s="5" t="s">
        <v>242</v>
      </c>
      <c r="B157" s="5" t="s">
        <v>256</v>
      </c>
      <c r="C157" s="5" t="s">
        <v>286</v>
      </c>
      <c r="D157" s="42" t="n">
        <v>12000</v>
      </c>
      <c r="E157" s="5" t="s">
        <v>278</v>
      </c>
      <c r="F157" s="50"/>
      <c r="G157" s="50"/>
    </row>
    <row r="158" customFormat="false" ht="15" hidden="false" customHeight="true" outlineLevel="0" collapsed="false">
      <c r="A158" s="5" t="s">
        <v>242</v>
      </c>
      <c r="B158" s="5" t="s">
        <v>256</v>
      </c>
      <c r="C158" s="5" t="s">
        <v>286</v>
      </c>
      <c r="D158" s="42" t="n">
        <v>12000</v>
      </c>
      <c r="E158" s="5" t="s">
        <v>287</v>
      </c>
      <c r="F158" s="50"/>
      <c r="G158" s="50"/>
    </row>
    <row r="159" customFormat="false" ht="15" hidden="false" customHeight="true" outlineLevel="0" collapsed="false">
      <c r="A159" s="5" t="s">
        <v>244</v>
      </c>
      <c r="B159" s="5" t="s">
        <v>256</v>
      </c>
      <c r="C159" s="5" t="s">
        <v>286</v>
      </c>
      <c r="D159" s="42" t="n">
        <v>20000</v>
      </c>
      <c r="E159" s="5" t="s">
        <v>287</v>
      </c>
      <c r="F159" s="50"/>
      <c r="G159" s="50"/>
    </row>
    <row r="160" customFormat="false" ht="15" hidden="false" customHeight="true" outlineLevel="0" collapsed="false">
      <c r="A160" s="5" t="s">
        <v>244</v>
      </c>
      <c r="B160" s="5" t="s">
        <v>256</v>
      </c>
      <c r="C160" s="5" t="s">
        <v>286</v>
      </c>
      <c r="D160" s="42" t="n">
        <v>20000</v>
      </c>
      <c r="E160" s="5" t="s">
        <v>278</v>
      </c>
      <c r="F160" s="50"/>
      <c r="G160" s="50"/>
    </row>
    <row r="161" customFormat="false" ht="15" hidden="false" customHeight="true" outlineLevel="0" collapsed="false">
      <c r="A161" s="5" t="s">
        <v>331</v>
      </c>
      <c r="B161" s="5" t="s">
        <v>261</v>
      </c>
      <c r="C161" s="5" t="s">
        <v>262</v>
      </c>
      <c r="D161" s="42" t="n">
        <v>4625470</v>
      </c>
      <c r="E161" s="5" t="s">
        <v>332</v>
      </c>
      <c r="F161" s="50"/>
      <c r="G161" s="50"/>
    </row>
    <row r="162" customFormat="false" ht="15" hidden="false" customHeight="true" outlineLevel="0" collapsed="false">
      <c r="A162" s="5" t="s">
        <v>331</v>
      </c>
      <c r="B162" s="5" t="s">
        <v>256</v>
      </c>
      <c r="C162" s="5" t="s">
        <v>286</v>
      </c>
      <c r="D162" s="42" t="n">
        <v>250000</v>
      </c>
      <c r="E162" s="5" t="s">
        <v>278</v>
      </c>
      <c r="F162" s="50"/>
      <c r="G162" s="50"/>
    </row>
    <row r="163" customFormat="false" ht="15" hidden="false" customHeight="true" outlineLevel="0" collapsed="false">
      <c r="A163" s="5" t="s">
        <v>331</v>
      </c>
      <c r="B163" s="5" t="s">
        <v>256</v>
      </c>
      <c r="C163" s="5" t="s">
        <v>275</v>
      </c>
      <c r="D163" s="42" t="n">
        <v>71822</v>
      </c>
      <c r="E163" s="5" t="s">
        <v>316</v>
      </c>
      <c r="F163" s="50"/>
      <c r="G163" s="50"/>
    </row>
    <row r="164" customFormat="false" ht="15" hidden="false" customHeight="true" outlineLevel="0" collapsed="false">
      <c r="A164" s="5" t="s">
        <v>331</v>
      </c>
      <c r="B164" s="5" t="s">
        <v>256</v>
      </c>
      <c r="C164" s="5" t="s">
        <v>275</v>
      </c>
      <c r="D164" s="42" t="n">
        <v>46550</v>
      </c>
      <c r="E164" s="5" t="s">
        <v>333</v>
      </c>
      <c r="F164" s="50"/>
      <c r="G164" s="50"/>
    </row>
    <row r="165" customFormat="false" ht="15" hidden="false" customHeight="true" outlineLevel="0" collapsed="false">
      <c r="A165" s="5" t="s">
        <v>331</v>
      </c>
      <c r="B165" s="5" t="s">
        <v>256</v>
      </c>
      <c r="C165" s="5" t="s">
        <v>286</v>
      </c>
      <c r="D165" s="42" t="n">
        <v>30000</v>
      </c>
      <c r="E165" s="5" t="s">
        <v>287</v>
      </c>
      <c r="F165" s="50"/>
      <c r="G165" s="50"/>
    </row>
    <row r="166" customFormat="false" ht="15" hidden="false" customHeight="true" outlineLevel="0" collapsed="false">
      <c r="A166" s="5" t="s">
        <v>331</v>
      </c>
      <c r="B166" s="5" t="s">
        <v>256</v>
      </c>
      <c r="C166" s="5" t="s">
        <v>286</v>
      </c>
      <c r="D166" s="42" t="n">
        <v>24000</v>
      </c>
      <c r="E166" s="5" t="s">
        <v>270</v>
      </c>
      <c r="F166" s="50"/>
      <c r="G166" s="50"/>
    </row>
    <row r="167" customFormat="false" ht="15" hidden="false" customHeight="true" outlineLevel="0" collapsed="false">
      <c r="A167" s="5" t="s">
        <v>331</v>
      </c>
      <c r="B167" s="5" t="s">
        <v>256</v>
      </c>
      <c r="C167" s="5" t="s">
        <v>286</v>
      </c>
      <c r="D167" s="42" t="n">
        <v>6000</v>
      </c>
      <c r="E167" s="5" t="s">
        <v>287</v>
      </c>
      <c r="F167" s="50"/>
      <c r="G167" s="50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8.6875" defaultRowHeight="14.2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8"/>
    <col collapsed="false" customWidth="true" hidden="false" outlineLevel="0" max="4" min="4" style="1" width="20"/>
    <col collapsed="false" customWidth="true" hidden="false" outlineLevel="0" max="5" min="5" style="1" width="28"/>
  </cols>
  <sheetData>
    <row r="1" customFormat="false" ht="17.25" hidden="false" customHeight="true" outlineLevel="0" collapsed="false">
      <c r="A1" s="2" t="s">
        <v>334</v>
      </c>
      <c r="B1" s="2"/>
      <c r="C1" s="2"/>
      <c r="D1" s="2"/>
      <c r="E1" s="2"/>
    </row>
    <row r="3" customFormat="false" ht="23.25" hidden="false" customHeight="true" outlineLevel="0" collapsed="false">
      <c r="A3" s="4" t="s">
        <v>112</v>
      </c>
      <c r="B3" s="4" t="s">
        <v>335</v>
      </c>
      <c r="C3" s="4" t="s">
        <v>336</v>
      </c>
      <c r="D3" s="4" t="s">
        <v>337</v>
      </c>
      <c r="E3" s="4" t="s">
        <v>338</v>
      </c>
    </row>
    <row r="4" customFormat="false" ht="15" hidden="false" customHeight="true" outlineLevel="0" collapsed="false">
      <c r="A4" s="5" t="s">
        <v>129</v>
      </c>
      <c r="B4" s="5" t="s">
        <v>339</v>
      </c>
      <c r="C4" s="41" t="n">
        <v>1011</v>
      </c>
      <c r="D4" s="42" t="n">
        <v>1202490</v>
      </c>
      <c r="E4" s="41" t="n">
        <v>3682.959</v>
      </c>
    </row>
    <row r="5" customFormat="false" ht="15" hidden="false" customHeight="true" outlineLevel="0" collapsed="false">
      <c r="A5" s="5" t="s">
        <v>130</v>
      </c>
      <c r="B5" s="5" t="s">
        <v>339</v>
      </c>
      <c r="C5" s="41" t="n">
        <v>1235.6</v>
      </c>
      <c r="D5" s="42" t="n">
        <v>1467626</v>
      </c>
      <c r="E5" s="41" t="n">
        <v>2450.405</v>
      </c>
    </row>
    <row r="6" customFormat="false" ht="15" hidden="false" customHeight="true" outlineLevel="0" collapsed="false">
      <c r="A6" s="5" t="s">
        <v>131</v>
      </c>
      <c r="B6" s="5" t="s">
        <v>339</v>
      </c>
      <c r="C6" s="41" t="n">
        <v>2605.4</v>
      </c>
      <c r="D6" s="42" t="n">
        <v>3114070</v>
      </c>
      <c r="E6" s="41" t="n">
        <v>5277.71</v>
      </c>
    </row>
    <row r="7" customFormat="false" ht="15" hidden="false" customHeight="true" outlineLevel="0" collapsed="false">
      <c r="A7" s="5" t="s">
        <v>340</v>
      </c>
      <c r="B7" s="5" t="s">
        <v>341</v>
      </c>
      <c r="C7" s="41" t="n">
        <v>456.8</v>
      </c>
      <c r="D7" s="42" t="n">
        <v>565507</v>
      </c>
      <c r="E7" s="5" t="s">
        <v>342</v>
      </c>
    </row>
    <row r="8" customFormat="false" ht="15" hidden="false" customHeight="true" outlineLevel="0" collapsed="false">
      <c r="A8" s="5" t="s">
        <v>132</v>
      </c>
      <c r="B8" s="5" t="s">
        <v>339</v>
      </c>
      <c r="C8" s="41" t="n">
        <v>369.9</v>
      </c>
      <c r="D8" s="42" t="n">
        <v>431517</v>
      </c>
      <c r="E8" s="41" t="n">
        <v>933.913</v>
      </c>
    </row>
    <row r="9" customFormat="false" ht="15" hidden="false" customHeight="true" outlineLevel="0" collapsed="false">
      <c r="A9" s="5" t="s">
        <v>133</v>
      </c>
      <c r="B9" s="5" t="s">
        <v>339</v>
      </c>
      <c r="C9" s="41" t="n">
        <v>629.9</v>
      </c>
      <c r="D9" s="42" t="n">
        <v>734515</v>
      </c>
      <c r="E9" s="41" t="n">
        <v>1403.627</v>
      </c>
    </row>
    <row r="10" customFormat="false" ht="15" hidden="false" customHeight="true" outlineLevel="0" collapsed="false">
      <c r="A10" s="5" t="s">
        <v>343</v>
      </c>
      <c r="B10" s="5" t="s">
        <v>341</v>
      </c>
      <c r="C10" s="41" t="n">
        <v>41.1</v>
      </c>
      <c r="D10" s="42" t="n">
        <v>50000</v>
      </c>
      <c r="E10" s="5" t="s">
        <v>342</v>
      </c>
    </row>
    <row r="13" customFormat="false" ht="15" hidden="false" customHeight="true" outlineLevel="0" collapsed="false">
      <c r="A13" s="51" t="s">
        <v>344</v>
      </c>
      <c r="B13" s="51"/>
      <c r="C13" s="51"/>
      <c r="D13" s="51"/>
      <c r="E13" s="51"/>
    </row>
  </sheetData>
  <mergeCells count="2">
    <mergeCell ref="A1:E1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8.6875" defaultRowHeight="14.25" zeroHeight="false" outlineLevelRow="0" outlineLevelCol="0"/>
  <cols>
    <col collapsed="false" customWidth="true" hidden="false" outlineLevel="0" max="2" min="1" style="1" width="14"/>
  </cols>
  <sheetData>
    <row r="1" customFormat="false" ht="17.25" hidden="false" customHeight="true" outlineLevel="0" collapsed="false">
      <c r="A1" s="2" t="s">
        <v>345</v>
      </c>
      <c r="B1" s="2"/>
    </row>
    <row r="2" customFormat="false" ht="15" hidden="false" customHeight="true" outlineLevel="0" collapsed="false">
      <c r="A2" s="39" t="s">
        <v>346</v>
      </c>
      <c r="B2" s="39"/>
    </row>
    <row r="4" customFormat="false" ht="15" hidden="false" customHeight="true" outlineLevel="0" collapsed="false">
      <c r="A4" s="48" t="s">
        <v>112</v>
      </c>
      <c r="B4" s="48" t="s">
        <v>250</v>
      </c>
    </row>
    <row r="5" customFormat="false" ht="15" hidden="false" customHeight="true" outlineLevel="0" collapsed="false">
      <c r="A5" s="5" t="s">
        <v>129</v>
      </c>
      <c r="B5" s="5" t="s">
        <v>198</v>
      </c>
    </row>
    <row r="6" customFormat="false" ht="15" hidden="false" customHeight="true" outlineLevel="0" collapsed="false">
      <c r="A6" s="5" t="s">
        <v>129</v>
      </c>
      <c r="B6" s="5" t="s">
        <v>274</v>
      </c>
    </row>
    <row r="7" customFormat="false" ht="15" hidden="false" customHeight="true" outlineLevel="0" collapsed="false">
      <c r="A7" s="5" t="s">
        <v>129</v>
      </c>
      <c r="B7" s="5" t="s">
        <v>347</v>
      </c>
    </row>
    <row r="8" customFormat="false" ht="15" hidden="false" customHeight="true" outlineLevel="0" collapsed="false">
      <c r="A8" s="5" t="s">
        <v>129</v>
      </c>
      <c r="B8" s="5" t="s">
        <v>211</v>
      </c>
    </row>
    <row r="9" customFormat="false" ht="15" hidden="false" customHeight="true" outlineLevel="0" collapsed="false">
      <c r="A9" s="5" t="s">
        <v>129</v>
      </c>
      <c r="B9" s="5" t="s">
        <v>214</v>
      </c>
    </row>
    <row r="10" customFormat="false" ht="15" hidden="false" customHeight="true" outlineLevel="0" collapsed="false">
      <c r="A10" s="5" t="s">
        <v>129</v>
      </c>
      <c r="B10" s="5" t="s">
        <v>216</v>
      </c>
    </row>
    <row r="11" customFormat="false" ht="15" hidden="false" customHeight="true" outlineLevel="0" collapsed="false">
      <c r="A11" s="5" t="s">
        <v>129</v>
      </c>
      <c r="B11" s="5" t="s">
        <v>299</v>
      </c>
    </row>
    <row r="12" customFormat="false" ht="15" hidden="false" customHeight="true" outlineLevel="0" collapsed="false">
      <c r="A12" s="5" t="s">
        <v>129</v>
      </c>
      <c r="B12" s="5" t="s">
        <v>218</v>
      </c>
    </row>
    <row r="13" customFormat="false" ht="15" hidden="false" customHeight="true" outlineLevel="0" collapsed="false">
      <c r="A13" s="5" t="s">
        <v>129</v>
      </c>
      <c r="B13" s="5" t="s">
        <v>220</v>
      </c>
    </row>
    <row r="14" customFormat="false" ht="15" hidden="false" customHeight="true" outlineLevel="0" collapsed="false">
      <c r="A14" s="5" t="s">
        <v>129</v>
      </c>
      <c r="B14" s="5" t="s">
        <v>305</v>
      </c>
    </row>
    <row r="15" customFormat="false" ht="15" hidden="false" customHeight="true" outlineLevel="0" collapsed="false">
      <c r="A15" s="5" t="s">
        <v>129</v>
      </c>
      <c r="B15" s="5" t="s">
        <v>225</v>
      </c>
    </row>
    <row r="16" customFormat="false" ht="15" hidden="false" customHeight="true" outlineLevel="0" collapsed="false">
      <c r="A16" s="5" t="s">
        <v>129</v>
      </c>
      <c r="B16" s="5" t="s">
        <v>226</v>
      </c>
    </row>
    <row r="17" customFormat="false" ht="15" hidden="false" customHeight="true" outlineLevel="0" collapsed="false">
      <c r="A17" s="5" t="s">
        <v>129</v>
      </c>
      <c r="B17" s="5" t="s">
        <v>228</v>
      </c>
    </row>
    <row r="18" customFormat="false" ht="15" hidden="false" customHeight="true" outlineLevel="0" collapsed="false">
      <c r="A18" s="5" t="s">
        <v>129</v>
      </c>
      <c r="B18" s="5" t="s">
        <v>230</v>
      </c>
    </row>
    <row r="19" customFormat="false" ht="15" hidden="false" customHeight="true" outlineLevel="0" collapsed="false">
      <c r="A19" s="5" t="s">
        <v>129</v>
      </c>
      <c r="B19" s="5" t="s">
        <v>239</v>
      </c>
    </row>
    <row r="20" customFormat="false" ht="15" hidden="false" customHeight="true" outlineLevel="0" collapsed="false">
      <c r="A20" s="5" t="s">
        <v>129</v>
      </c>
      <c r="B20" s="5" t="s">
        <v>244</v>
      </c>
    </row>
    <row r="21" customFormat="false" ht="15" hidden="false" customHeight="true" outlineLevel="0" collapsed="false">
      <c r="A21" s="5" t="s">
        <v>129</v>
      </c>
      <c r="B21" s="5" t="s">
        <v>331</v>
      </c>
    </row>
    <row r="22" customFormat="false" ht="15" hidden="false" customHeight="true" outlineLevel="0" collapsed="false">
      <c r="A22" s="5" t="s">
        <v>130</v>
      </c>
      <c r="B22" s="5" t="s">
        <v>255</v>
      </c>
    </row>
    <row r="23" customFormat="false" ht="15" hidden="false" customHeight="true" outlineLevel="0" collapsed="false">
      <c r="A23" s="5" t="s">
        <v>130</v>
      </c>
      <c r="B23" s="5" t="s">
        <v>226</v>
      </c>
    </row>
    <row r="24" customFormat="false" ht="15" hidden="false" customHeight="true" outlineLevel="0" collapsed="false">
      <c r="A24" s="5" t="s">
        <v>130</v>
      </c>
      <c r="B24" s="5" t="s">
        <v>228</v>
      </c>
    </row>
    <row r="25" customFormat="false" ht="15" hidden="false" customHeight="true" outlineLevel="0" collapsed="false">
      <c r="A25" s="5" t="s">
        <v>130</v>
      </c>
      <c r="B25" s="5" t="s">
        <v>229</v>
      </c>
    </row>
    <row r="26" customFormat="false" ht="15" hidden="false" customHeight="true" outlineLevel="0" collapsed="false">
      <c r="A26" s="5" t="s">
        <v>130</v>
      </c>
      <c r="B26" s="5" t="s">
        <v>233</v>
      </c>
    </row>
    <row r="27" customFormat="false" ht="15" hidden="false" customHeight="true" outlineLevel="0" collapsed="false">
      <c r="A27" s="5" t="s">
        <v>130</v>
      </c>
      <c r="B27" s="5" t="s">
        <v>230</v>
      </c>
    </row>
    <row r="28" customFormat="false" ht="15" hidden="false" customHeight="true" outlineLevel="0" collapsed="false">
      <c r="A28" s="5" t="s">
        <v>130</v>
      </c>
      <c r="B28" s="5" t="s">
        <v>239</v>
      </c>
    </row>
    <row r="29" customFormat="false" ht="15" hidden="false" customHeight="true" outlineLevel="0" collapsed="false">
      <c r="A29" s="5" t="s">
        <v>130</v>
      </c>
      <c r="B29" s="5" t="s">
        <v>242</v>
      </c>
    </row>
    <row r="30" customFormat="false" ht="15" hidden="false" customHeight="true" outlineLevel="0" collapsed="false">
      <c r="A30" s="5" t="s">
        <v>130</v>
      </c>
      <c r="B30" s="5" t="s">
        <v>244</v>
      </c>
    </row>
    <row r="31" customFormat="false" ht="15" hidden="false" customHeight="true" outlineLevel="0" collapsed="false">
      <c r="A31" s="5" t="s">
        <v>130</v>
      </c>
      <c r="B31" s="5" t="s">
        <v>331</v>
      </c>
    </row>
    <row r="32" customFormat="false" ht="15" hidden="false" customHeight="true" outlineLevel="0" collapsed="false">
      <c r="A32" s="5" t="s">
        <v>131</v>
      </c>
      <c r="B32" s="5" t="s">
        <v>274</v>
      </c>
    </row>
    <row r="33" customFormat="false" ht="15" hidden="false" customHeight="true" outlineLevel="0" collapsed="false">
      <c r="A33" s="5" t="s">
        <v>131</v>
      </c>
      <c r="B33" s="5" t="s">
        <v>211</v>
      </c>
    </row>
    <row r="34" customFormat="false" ht="15" hidden="false" customHeight="true" outlineLevel="0" collapsed="false">
      <c r="A34" s="5" t="s">
        <v>131</v>
      </c>
      <c r="B34" s="5" t="s">
        <v>214</v>
      </c>
    </row>
    <row r="35" customFormat="false" ht="15" hidden="false" customHeight="true" outlineLevel="0" collapsed="false">
      <c r="A35" s="5" t="s">
        <v>131</v>
      </c>
      <c r="B35" s="5" t="s">
        <v>292</v>
      </c>
    </row>
    <row r="36" customFormat="false" ht="15" hidden="false" customHeight="true" outlineLevel="0" collapsed="false">
      <c r="A36" s="5" t="s">
        <v>131</v>
      </c>
      <c r="B36" s="5" t="s">
        <v>299</v>
      </c>
    </row>
    <row r="37" customFormat="false" ht="15" hidden="false" customHeight="true" outlineLevel="0" collapsed="false">
      <c r="A37" s="5" t="s">
        <v>131</v>
      </c>
      <c r="B37" s="5" t="s">
        <v>348</v>
      </c>
    </row>
    <row r="38" customFormat="false" ht="15" hidden="false" customHeight="true" outlineLevel="0" collapsed="false">
      <c r="A38" s="5" t="s">
        <v>131</v>
      </c>
      <c r="B38" s="5" t="s">
        <v>218</v>
      </c>
    </row>
    <row r="39" customFormat="false" ht="15" hidden="false" customHeight="true" outlineLevel="0" collapsed="false">
      <c r="A39" s="5" t="s">
        <v>131</v>
      </c>
      <c r="B39" s="5" t="s">
        <v>220</v>
      </c>
    </row>
    <row r="40" customFormat="false" ht="15" hidden="false" customHeight="true" outlineLevel="0" collapsed="false">
      <c r="A40" s="5" t="s">
        <v>131</v>
      </c>
      <c r="B40" s="5" t="s">
        <v>305</v>
      </c>
    </row>
    <row r="41" customFormat="false" ht="15" hidden="false" customHeight="true" outlineLevel="0" collapsed="false">
      <c r="A41" s="5" t="s">
        <v>131</v>
      </c>
      <c r="B41" s="5" t="s">
        <v>225</v>
      </c>
    </row>
    <row r="42" customFormat="false" ht="15" hidden="false" customHeight="true" outlineLevel="0" collapsed="false">
      <c r="A42" s="5" t="s">
        <v>131</v>
      </c>
      <c r="B42" s="5" t="s">
        <v>226</v>
      </c>
    </row>
    <row r="43" customFormat="false" ht="15" hidden="false" customHeight="true" outlineLevel="0" collapsed="false">
      <c r="A43" s="5" t="s">
        <v>131</v>
      </c>
      <c r="B43" s="5" t="s">
        <v>228</v>
      </c>
    </row>
    <row r="44" customFormat="false" ht="15" hidden="false" customHeight="true" outlineLevel="0" collapsed="false">
      <c r="A44" s="5" t="s">
        <v>131</v>
      </c>
      <c r="B44" s="5" t="s">
        <v>229</v>
      </c>
    </row>
    <row r="45" customFormat="false" ht="15" hidden="false" customHeight="true" outlineLevel="0" collapsed="false">
      <c r="A45" s="5" t="s">
        <v>131</v>
      </c>
      <c r="B45" s="5" t="s">
        <v>233</v>
      </c>
    </row>
    <row r="46" customFormat="false" ht="15" hidden="false" customHeight="true" outlineLevel="0" collapsed="false">
      <c r="A46" s="5" t="s">
        <v>131</v>
      </c>
      <c r="B46" s="5" t="s">
        <v>230</v>
      </c>
    </row>
    <row r="47" customFormat="false" ht="15" hidden="false" customHeight="true" outlineLevel="0" collapsed="false">
      <c r="A47" s="5" t="s">
        <v>131</v>
      </c>
      <c r="B47" s="5" t="s">
        <v>239</v>
      </c>
    </row>
    <row r="48" customFormat="false" ht="15" hidden="false" customHeight="true" outlineLevel="0" collapsed="false">
      <c r="A48" s="5" t="s">
        <v>131</v>
      </c>
      <c r="B48" s="5" t="s">
        <v>242</v>
      </c>
    </row>
    <row r="49" customFormat="false" ht="15" hidden="false" customHeight="true" outlineLevel="0" collapsed="false">
      <c r="A49" s="5" t="s">
        <v>131</v>
      </c>
      <c r="B49" s="5" t="s">
        <v>244</v>
      </c>
    </row>
    <row r="50" customFormat="false" ht="15" hidden="false" customHeight="true" outlineLevel="0" collapsed="false">
      <c r="A50" s="5" t="s">
        <v>134</v>
      </c>
      <c r="B50" s="5" t="s">
        <v>305</v>
      </c>
    </row>
    <row r="51" customFormat="false" ht="15" hidden="false" customHeight="true" outlineLevel="0" collapsed="false">
      <c r="A51" s="5" t="s">
        <v>132</v>
      </c>
      <c r="B51" s="5" t="s">
        <v>255</v>
      </c>
    </row>
    <row r="52" customFormat="false" ht="15" hidden="false" customHeight="true" outlineLevel="0" collapsed="false">
      <c r="A52" s="5" t="s">
        <v>132</v>
      </c>
      <c r="B52" s="5" t="s">
        <v>198</v>
      </c>
    </row>
    <row r="53" customFormat="false" ht="15" hidden="false" customHeight="true" outlineLevel="0" collapsed="false">
      <c r="A53" s="5" t="s">
        <v>132</v>
      </c>
      <c r="B53" s="5" t="s">
        <v>274</v>
      </c>
    </row>
    <row r="54" customFormat="false" ht="15" hidden="false" customHeight="true" outlineLevel="0" collapsed="false">
      <c r="A54" s="5" t="s">
        <v>132</v>
      </c>
      <c r="B54" s="5" t="s">
        <v>349</v>
      </c>
    </row>
    <row r="55" customFormat="false" ht="15" hidden="false" customHeight="true" outlineLevel="0" collapsed="false">
      <c r="A55" s="5" t="s">
        <v>132</v>
      </c>
      <c r="B55" s="5" t="s">
        <v>211</v>
      </c>
    </row>
    <row r="56" customFormat="false" ht="15" hidden="false" customHeight="true" outlineLevel="0" collapsed="false">
      <c r="A56" s="5" t="s">
        <v>132</v>
      </c>
      <c r="B56" s="5" t="s">
        <v>214</v>
      </c>
    </row>
    <row r="57" customFormat="false" ht="15" hidden="false" customHeight="true" outlineLevel="0" collapsed="false">
      <c r="A57" s="5" t="s">
        <v>132</v>
      </c>
      <c r="B57" s="5" t="s">
        <v>218</v>
      </c>
    </row>
    <row r="58" customFormat="false" ht="15" hidden="false" customHeight="true" outlineLevel="0" collapsed="false">
      <c r="A58" s="5" t="s">
        <v>132</v>
      </c>
      <c r="B58" s="5" t="s">
        <v>220</v>
      </c>
    </row>
    <row r="59" customFormat="false" ht="15" hidden="false" customHeight="true" outlineLevel="0" collapsed="false">
      <c r="A59" s="5" t="s">
        <v>132</v>
      </c>
      <c r="B59" s="5" t="s">
        <v>305</v>
      </c>
    </row>
    <row r="60" customFormat="false" ht="15" hidden="false" customHeight="true" outlineLevel="0" collapsed="false">
      <c r="A60" s="5" t="s">
        <v>132</v>
      </c>
      <c r="B60" s="5" t="s">
        <v>225</v>
      </c>
    </row>
    <row r="61" customFormat="false" ht="15" hidden="false" customHeight="true" outlineLevel="0" collapsed="false">
      <c r="A61" s="5" t="s">
        <v>132</v>
      </c>
      <c r="B61" s="5" t="s">
        <v>331</v>
      </c>
    </row>
    <row r="62" customFormat="false" ht="15" hidden="false" customHeight="true" outlineLevel="0" collapsed="false">
      <c r="A62" s="5" t="s">
        <v>133</v>
      </c>
      <c r="B62" s="5" t="s">
        <v>305</v>
      </c>
    </row>
    <row r="63" customFormat="false" ht="15" hidden="false" customHeight="true" outlineLevel="0" collapsed="false">
      <c r="A63" s="5" t="s">
        <v>133</v>
      </c>
      <c r="B63" s="5" t="s">
        <v>228</v>
      </c>
    </row>
    <row r="64" customFormat="false" ht="15" hidden="false" customHeight="true" outlineLevel="0" collapsed="false">
      <c r="A64" s="5" t="s">
        <v>133</v>
      </c>
      <c r="B64" s="5" t="s">
        <v>229</v>
      </c>
    </row>
    <row r="65" customFormat="false" ht="15" hidden="false" customHeight="true" outlineLevel="0" collapsed="false">
      <c r="A65" s="5" t="s">
        <v>133</v>
      </c>
      <c r="B65" s="5" t="s">
        <v>233</v>
      </c>
    </row>
    <row r="66" customFormat="false" ht="15" hidden="false" customHeight="true" outlineLevel="0" collapsed="false">
      <c r="A66" s="5" t="s">
        <v>133</v>
      </c>
      <c r="B66" s="5" t="s">
        <v>350</v>
      </c>
    </row>
    <row r="67" customFormat="false" ht="15" hidden="false" customHeight="true" outlineLevel="0" collapsed="false">
      <c r="A67" s="5" t="s">
        <v>133</v>
      </c>
      <c r="B67" s="5" t="s">
        <v>230</v>
      </c>
    </row>
    <row r="68" customFormat="false" ht="15" hidden="false" customHeight="true" outlineLevel="0" collapsed="false">
      <c r="A68" s="5" t="s">
        <v>133</v>
      </c>
      <c r="B68" s="5" t="s">
        <v>239</v>
      </c>
    </row>
    <row r="69" customFormat="false" ht="15" hidden="false" customHeight="true" outlineLevel="0" collapsed="false">
      <c r="A69" s="5" t="s">
        <v>133</v>
      </c>
      <c r="B69" s="5" t="s">
        <v>242</v>
      </c>
    </row>
    <row r="70" customFormat="false" ht="15" hidden="false" customHeight="true" outlineLevel="0" collapsed="false">
      <c r="A70" s="5" t="s">
        <v>133</v>
      </c>
      <c r="B70" s="5" t="s">
        <v>244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2026-10-03T14:17:00Z</dcterms:created>
  <dc:creator>openpyxl</dc:creator>
  <dc:description/>
  <dc:language>en-US</dc:language>
  <cp:lastModifiedBy>WPS_1788553954</cp:lastModifiedBy>
  <dcterms:modified xsi:type="dcterms:W3CDTF">2026-10-04T16:23:20Z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0F4F40F90C8F46E884B745605A9A5EAA_13</vt:lpwstr>
  </property>
  <property fmtid="{D5CDD505-2E9C-101B-9397-08002B2CF9AE}" pid="4" name="KSOProductBuildVer">
    <vt:lpwstr>2058-12.1.0.28485</vt:lpwstr>
  </property>
</Properties>
</file>